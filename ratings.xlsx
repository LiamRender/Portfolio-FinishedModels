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7sher\Downloads\"/>
    </mc:Choice>
  </mc:AlternateContent>
  <xr:revisionPtr revIDLastSave="0" documentId="13_ncr:1_{84F39A55-7E81-44E0-8ABC-05D75713683B}" xr6:coauthVersionLast="47" xr6:coauthVersionMax="47" xr10:uidLastSave="{00000000-0000-0000-0000-000000000000}"/>
  <bookViews>
    <workbookView xWindow="-120" yWindow="-120" windowWidth="29040" windowHeight="15720" xr2:uid="{975520F9-B6E9-48FA-9812-89BEC17E316B}"/>
  </bookViews>
  <sheets>
    <sheet name="Ma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6" i="1" l="1"/>
  <c r="H45" i="1"/>
  <c r="H44" i="1"/>
  <c r="H43" i="1"/>
  <c r="J47" i="1"/>
  <c r="H37" i="1"/>
  <c r="M37" i="1" s="1"/>
  <c r="H39" i="1"/>
  <c r="M39" i="1" s="1"/>
  <c r="H41" i="1"/>
  <c r="K41" i="1" s="1"/>
  <c r="H35" i="1"/>
  <c r="K35" i="1" s="1"/>
  <c r="H31" i="1"/>
  <c r="K31" i="1" s="1"/>
  <c r="H33" i="1"/>
  <c r="K33" i="1" s="1"/>
  <c r="H26" i="1"/>
  <c r="K26" i="1" s="1"/>
  <c r="L49" i="1"/>
  <c r="L48" i="1" a="1"/>
  <c r="L48" i="1" s="1"/>
  <c r="H24" i="1"/>
  <c r="K24" i="1" s="1"/>
  <c r="H21" i="1"/>
  <c r="M21" i="1" s="1"/>
  <c r="H18" i="1"/>
  <c r="M19" i="1" s="1"/>
  <c r="H11" i="1"/>
  <c r="M11" i="1" s="1"/>
  <c r="M23" i="1"/>
  <c r="H3" i="1"/>
  <c r="K3" i="1" s="1"/>
  <c r="H5" i="1"/>
  <c r="M5" i="1" s="1"/>
  <c r="H7" i="1"/>
  <c r="M7" i="1" s="1"/>
  <c r="H13" i="1"/>
  <c r="M13" i="1" s="1"/>
  <c r="M33" i="1" l="1"/>
  <c r="K39" i="1"/>
  <c r="M35" i="1"/>
  <c r="K37" i="1"/>
  <c r="M31" i="1"/>
  <c r="M41" i="1"/>
  <c r="K11" i="1"/>
  <c r="K13" i="1"/>
  <c r="K21" i="1"/>
  <c r="K18" i="1"/>
  <c r="K7" i="1"/>
  <c r="K5" i="1"/>
  <c r="M26" i="1" l="1"/>
  <c r="H28" i="1"/>
  <c r="K28" i="1" s="1"/>
  <c r="M18" i="1"/>
  <c r="M24" i="1"/>
  <c r="F49" i="1"/>
  <c r="H51" i="1"/>
  <c r="M51" i="1" s="1"/>
  <c r="M28" i="1" l="1"/>
  <c r="V15" i="1" l="1"/>
  <c r="M3" i="1" l="1"/>
  <c r="K51" i="1"/>
  <c r="K52" i="1" l="1"/>
  <c r="H16" i="1"/>
  <c r="K16" i="1" s="1"/>
  <c r="H9" i="1"/>
  <c r="H49" i="1" l="1"/>
  <c r="K9" i="1"/>
  <c r="K49" i="1" s="1"/>
  <c r="M16" i="1"/>
  <c r="M9" i="1"/>
  <c r="M49" i="1" s="1"/>
  <c r="V7" i="1"/>
  <c r="V11" i="1"/>
  <c r="V13" i="1"/>
  <c r="V5" i="1"/>
  <c r="V3" i="1"/>
  <c r="V16" i="1" l="1"/>
  <c r="V9" i="1"/>
  <c r="V4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tc={B4EED76B-49BB-40DB-92C4-49E5B3985B9F}</author>
  </authors>
  <commentList>
    <comment ref="R2" authorId="0" shapeId="0" xr:uid="{B4EED76B-49BB-40DB-92C4-49E5B3985B9F}">
      <text>
        <t>[Threaded comment]
Your version of Excel allows you to read this threaded comment; however, any edits to it will get removed if the file is opened in a newer version of Excel. Learn more: https://go.microsoft.com/fwlink/?linkid=870924
Comment:
    10YR yield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<sst xmlns="http://schemas.openxmlformats.org/spreadsheetml/2006/main" count="163" uniqueCount="97">
  <si>
    <t>Date</t>
  </si>
  <si>
    <t>SRPT</t>
  </si>
  <si>
    <t>AVXL</t>
  </si>
  <si>
    <t>PYPL</t>
  </si>
  <si>
    <t>SPY (Benchmark)</t>
  </si>
  <si>
    <t>ATYR</t>
  </si>
  <si>
    <t>ABVX</t>
  </si>
  <si>
    <t>OXY</t>
  </si>
  <si>
    <t>SMMT</t>
  </si>
  <si>
    <t>Stock</t>
  </si>
  <si>
    <t>Direction</t>
  </si>
  <si>
    <t>Price</t>
  </si>
  <si>
    <t>Conviction/Size</t>
  </si>
  <si>
    <t>Current Price</t>
  </si>
  <si>
    <t>%</t>
  </si>
  <si>
    <t>Notes</t>
  </si>
  <si>
    <t>W/L</t>
  </si>
  <si>
    <t>LONG</t>
  </si>
  <si>
    <t>SHORT</t>
  </si>
  <si>
    <t>alpha</t>
  </si>
  <si>
    <t>10YR US Yield</t>
  </si>
  <si>
    <t>beta</t>
  </si>
  <si>
    <t>WinRate</t>
  </si>
  <si>
    <t>(test)</t>
  </si>
  <si>
    <t>conviction adj. alpha</t>
  </si>
  <si>
    <t>CRDF</t>
  </si>
  <si>
    <t>AVG</t>
  </si>
  <si>
    <t>Sector</t>
  </si>
  <si>
    <t>Biopharma</t>
  </si>
  <si>
    <t>Energy</t>
  </si>
  <si>
    <t>CLOSE</t>
  </si>
  <si>
    <t>IRR</t>
  </si>
  <si>
    <t>RFR</t>
  </si>
  <si>
    <t>SPY Price</t>
  </si>
  <si>
    <t>Model</t>
  </si>
  <si>
    <t>Thesis</t>
  </si>
  <si>
    <t>X</t>
  </si>
  <si>
    <t>AVOID</t>
  </si>
  <si>
    <t>OKLO</t>
  </si>
  <si>
    <t>JOBY</t>
  </si>
  <si>
    <t>MSTR</t>
  </si>
  <si>
    <t>Crypto/Fake</t>
  </si>
  <si>
    <t>Aerospace</t>
  </si>
  <si>
    <t>Closed after final clinical trial results released. The data from new patients added was about as bad as it could be but the company proceeded with a phase 3 so the stock didn't completely collapsed. The phase 3 is likely to fail but I recommended closing the position due to limited upside and long time it will take for the phase 3 results to be released and collapse the stock price.</t>
  </si>
  <si>
    <t>Very stable cheap stock with a significant amount of PP&amp;E even subtracting debt the PP&amp;E is worth more than the market cap. This buisness virtually has no threat and easy to run so assuming any positive return on PP&amp;E the stock is cheap.</t>
  </si>
  <si>
    <t>Stock collapsed in the past year due to regulatory scrutiny requesting voluntary halt of shipments of a treatment for DMD. The FDA regulator responsible for this scrutiny was fired and now there isn't much risk to their drug 'Elevidys'. Many of the deaths which collapsed the stock have also been assumed as non-treatment related and were reported to the FDA before they were publically announced. The companies other drugs the "PMOs" are even worth more than the market cap and adding 'Elevidys' the stock can easily double. It seems that distrust in management or the many FDA scares collapsed the stock but the fundamental buisness is unchanged from a year ago except maybe non-ambulatory patients for Elevidys which only makes up less than 20% of the treatment population.</t>
  </si>
  <si>
    <t>Very weak data and only submission for EMA approval and not FDA. Many people including Jesse Brodkin have wrote a lot about the problems with the recent phase 3 trial for their main drug they are trying to get approval for and these questions remain unanswered by the company. I don't see this ever getting approved by the FDA or EMA with the current data from the clinical trials and the company is likely doing this tactic for time to raise capital for a new drug before it gets denied.</t>
  </si>
  <si>
    <t>Cheap stock w/ strong cash-flow and a good competitive moat not as strong as a company as OXY but for a tech company it is decently strong.</t>
  </si>
  <si>
    <t>Leveraged bitcoin holding company w/ stock over 2x NAV. The way they leverage is mainly converts either their BTC holdings need to more than double or they need to issue way more converts AND BTC needs to rise otherwise the stock collapes and if a downturn happens it has very significant downside. With the excess 40B of value not being accounted for in NAV it seems unlikely they will be able to get many more investment banks buying converts the market is just not that big. However I would rather avoid than short this stock due to the random nature of the underlying crypto that this is based on and irrational market around this sort of thing.</t>
  </si>
  <si>
    <t>Very weak/basically completely failed clinical trials and this upcoming data release is likely to prove the drug doesn’t work and the stock will collapse.</t>
  </si>
  <si>
    <t>Lots of problems w/ the type of reactor this company is developing and misleading statements made by management. The stock is trading at ~11B way overvalued for a company that has a lot of regulatory scrutiny over their reactor design which was denied and isn't likely to be approved for years. The margins and use cases of this reactor seem a lot smaller than what the market is implying. It seems that this stock went so high due to management claims that this will "solve the energy problem" in AI datacenters. This claim however has many flaws and its likely the stock collapses. Also, their current buisness model they say they want to execute (owning of reactors and selling energy) requires a lot of capital and would have to take a lot of debt or dilute shareholders.</t>
  </si>
  <si>
    <t>eVTOL company which wants to be like Uber however they still don't have regulatory approval and even when they do there is likely a lot of restrictions for cities (the majority of the TAM) and they have to follow regulations for planes and need licensed pilots currently which would be very expensive and the price of the stock is implying a lot more market than what is likely.</t>
  </si>
  <si>
    <t>The China data for their main drug in the pipeline was very strong but the problem is the FDA has historically almost never approved a drug based on China data and it may not be reliable so further studies in the USA are needed and are being conducted the market is fairly priced in for a decent chance of success but the recent USA interim data isn't very bullish and at this price I wouldn't recommend a position in either direction it is just hard to tell what the data could show. Also, with Keytruda's patent expiry in 2028 this drugs pricing if not significantly better in PFS and OS will be severely limited. I wouldn't short this stock but I see long being pretty risky and would rather avoid this stock.</t>
  </si>
  <si>
    <t>New Phase III data from Sep 7th with America data (not just china) was good and the stock is trading at ~30% lower than before</t>
  </si>
  <si>
    <t>Undervalued breakthrough treatment for huntingtons FDA almost guarenteed has to approve this really good data could easily 4x</t>
  </si>
  <si>
    <t>QURE</t>
  </si>
  <si>
    <t>CRNX</t>
  </si>
  <si>
    <t>Really good data for a first oral treatment for a orphan disease and decent pipeline mostly priced in approval but likely to go up 20-30% in the short term</t>
  </si>
  <si>
    <t>ADD</t>
  </si>
  <si>
    <t>Lots of market exposure to movement but long term this is likely to drop and I would add here to the short at this very high price as long as your position isn't too large</t>
  </si>
  <si>
    <t>Current Date</t>
  </si>
  <si>
    <t>Current FDA regulations not good for their business model and large DMD competition. Weak outlook.</t>
  </si>
  <si>
    <t>Was wrong. Weak business model. Not a good moat. Bad bet. Better options.</t>
  </si>
  <si>
    <t>Really good data for drug, likely approval. Currently holding. Really good market potential. Performance dependent on marketing.</t>
  </si>
  <si>
    <t>Sell unless hedging, good hedge still.</t>
  </si>
  <si>
    <t>Alright Long. Not the best currently.</t>
  </si>
  <si>
    <t>HOLD</t>
  </si>
  <si>
    <t>FDA regulatory pathway delayed. Still good data. Good potential.</t>
  </si>
  <si>
    <t>ADBE</t>
  </si>
  <si>
    <t>MANH</t>
  </si>
  <si>
    <t>Cheap good long term potential tracking KPIs and management changes to see how genAI changes business model.</t>
  </si>
  <si>
    <t>Cheap solid long term stock</t>
  </si>
  <si>
    <t>ASTS</t>
  </si>
  <si>
    <t>Business model flawed. They have to use spacex rockets to get satellites into space and their biggest competitor is starlink which is part of spacex. They are just at a big disadvantage and constant management lies guidance was way more sattelites years ago but keep getting delayed. Way overvalued, sattelitle internet isnt even that good most places are fully covered by normal telecom. They just can not compete with starlink.</t>
  </si>
  <si>
    <t>CVNA</t>
  </si>
  <si>
    <t>Super expensive, not a good business model. They already almost failed once. The street is over estimating what they can do by a lot.</t>
  </si>
  <si>
    <t>NTLA</t>
  </si>
  <si>
    <t>The market is overestimating the impact of the FDA hold and the patient death. Likely from previous trials it is solid and cheap.</t>
  </si>
  <si>
    <t>VIR</t>
  </si>
  <si>
    <t>Undervalued pipeline+platforms</t>
  </si>
  <si>
    <t>Software</t>
  </si>
  <si>
    <t>Supply Chain Management</t>
  </si>
  <si>
    <t>Automotive Resale</t>
  </si>
  <si>
    <t>Satellite Telecom</t>
  </si>
  <si>
    <t>Fintech</t>
  </si>
  <si>
    <t>update: 8/27/2026</t>
  </si>
  <si>
    <t>Long term hold</t>
  </si>
  <si>
    <t>Cheap but in transitional phase depends on next management which were still waiting on wouldn’t add just hold until management is clear on their plan in next fiscal year</t>
  </si>
  <si>
    <t>Thesis proven right long term hold</t>
  </si>
  <si>
    <t>Good short for hedge and high beta</t>
  </si>
  <si>
    <t>NRG</t>
  </si>
  <si>
    <t>Large demand regulatory is likely to be loose and growth looks good cheap</t>
  </si>
  <si>
    <t>COGT</t>
  </si>
  <si>
    <t>ARQT</t>
  </si>
  <si>
    <t>SNDX</t>
  </si>
  <si>
    <t>don’t really like original reason of shorting based on just valuation and not something guaranteed to force the stock down</t>
  </si>
  <si>
    <t>Q426 Q127 data readouts good Ph2 likely Ph3 success implied success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</si>
</sst>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b/>
      <sz val="10"/>
      <color theme="1"/>
      <name val="Arial"/>
      <family val="2"/>
    </font>
    <font>
      <u/>
      <sz val="10"/>
      <color theme="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14" fontId="0" fillId="0" borderId="0" xfId="0" applyNumberFormat="1"/>
    <xf numFmtId="4" fontId="0" fillId="0" borderId="0" xfId="0" applyNumberFormat="1"/>
    <xf numFmtId="9" fontId="0" fillId="0" borderId="0" xfId="0" applyNumberFormat="1"/>
    <xf numFmtId="0" fontId="0" fillId="0" borderId="0" xfId="0" applyAlignment="1">
      <alignment horizontal="right"/>
    </xf>
    <xf numFmtId="10" fontId="0" fillId="0" borderId="0" xfId="0" applyNumberFormat="1"/>
    <xf numFmtId="0" fontId="0" fillId="0" borderId="0" xfId="0" applyAlignment="1">
      <alignment horizontal="center"/>
    </xf>
    <xf numFmtId="9" fontId="0" fillId="0" borderId="0" xfId="0" applyNumberFormat="1" applyAlignment="1">
      <alignment horizontal="right"/>
    </xf>
    <xf numFmtId="10" fontId="2" fillId="0" borderId="0" xfId="1" applyNumberFormat="1" applyAlignment="1">
      <alignment horizontal="center"/>
    </xf>
    <xf numFmtId="10" fontId="0" fillId="0" borderId="0" xfId="0" applyNumberFormat="1" applyAlignment="1">
      <alignment horizontal="center"/>
    </xf>
    <xf numFmtId="49" fontId="1" fillId="0" borderId="0" xfId="0" applyNumberFormat="1" applyFont="1"/>
    <xf numFmtId="0" fontId="0" fillId="0" borderId="0" xfId="0" applyAlignment="1">
      <alignment horizontal="fill"/>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iam R" id="{C2F22929-51C4-4A49-8A52-D430D2AD0712}" userId="be0b8782fa6c70c8"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2" dT="2025-08-26T05:28:16.22" personId="{C2F22929-51C4-4A49-8A52-D430D2AD0712}" id="{B4EED76B-49BB-40DB-92C4-49E5B3985B9F}">
    <text>10YR yield</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github.com/LiamRender/models/blob/main/OXY.xlsx" TargetMode="External"/><Relationship Id="rId13" Type="http://schemas.openxmlformats.org/officeDocument/2006/relationships/hyperlink" Target="https://github.com/LiamRender/models/blob/main/CRNX.xlsx" TargetMode="External"/><Relationship Id="rId3" Type="http://schemas.openxmlformats.org/officeDocument/2006/relationships/hyperlink" Target="https://github.com/LiamRender/models/blob/main/SRPT.xlsx" TargetMode="External"/><Relationship Id="rId7" Type="http://schemas.openxmlformats.org/officeDocument/2006/relationships/hyperlink" Target="https://github.com/LiamRender/models/blob/main/ABVX.xlsx" TargetMode="External"/><Relationship Id="rId12" Type="http://schemas.openxmlformats.org/officeDocument/2006/relationships/hyperlink" Target="https://github.com/LiamRender/models/blob/main/SMMT.xlsx" TargetMode="External"/><Relationship Id="rId17" Type="http://schemas.microsoft.com/office/2017/10/relationships/threadedComment" Target="../threadedComments/threadedComment1.xml"/><Relationship Id="rId2" Type="http://schemas.openxmlformats.org/officeDocument/2006/relationships/hyperlink" Target="https://github.com/LiamRender/theses/blob/main/CRDFthesis.pdf" TargetMode="External"/><Relationship Id="rId16" Type="http://schemas.openxmlformats.org/officeDocument/2006/relationships/comments" Target="../comments1.xml"/><Relationship Id="rId1" Type="http://schemas.openxmlformats.org/officeDocument/2006/relationships/hyperlink" Target="https://github.com/LiamRender/models/blob/main/CRDF.xlsx" TargetMode="External"/><Relationship Id="rId6" Type="http://schemas.openxmlformats.org/officeDocument/2006/relationships/hyperlink" Target="https://github.com/LiamRender/models/blob/main/ATYR.xlsx" TargetMode="External"/><Relationship Id="rId11" Type="http://schemas.openxmlformats.org/officeDocument/2006/relationships/hyperlink" Target="https://github.com/LiamRender/models/blob/main/JOBY.xlsx" TargetMode="External"/><Relationship Id="rId5" Type="http://schemas.openxmlformats.org/officeDocument/2006/relationships/hyperlink" Target="https://github.com/LiamRender/models/blob/main/PYPL.xlsx" TargetMode="External"/><Relationship Id="rId15" Type="http://schemas.openxmlformats.org/officeDocument/2006/relationships/vmlDrawing" Target="../drawings/vmlDrawing1.vml"/><Relationship Id="rId10" Type="http://schemas.openxmlformats.org/officeDocument/2006/relationships/hyperlink" Target="https://github.com/LiamRender/models/blob/main/OKLO.xlsx" TargetMode="External"/><Relationship Id="rId4" Type="http://schemas.openxmlformats.org/officeDocument/2006/relationships/hyperlink" Target="https://github.com/LiamRender/models/blob/main/AVXL.xlsx" TargetMode="External"/><Relationship Id="rId9" Type="http://schemas.openxmlformats.org/officeDocument/2006/relationships/hyperlink" Target="https://github.com/LiamRender/models/blob/main/SMMT.xlsx"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A6B13-8CAC-436C-8123-F4D415EF8DC4}">
  <dimension ref="A1:V54"/>
  <sheetViews>
    <sheetView tabSelected="1" zoomScale="160" zoomScaleNormal="160" workbookViewId="0">
      <pane xSplit="2" ySplit="2" topLeftCell="C9" activePane="bottomRight" state="frozen"/>
      <selection pane="topRight" activeCell="C1" sqref="C1"/>
      <selection pane="bottomLeft" activeCell="A2" sqref="A2"/>
      <selection pane="bottomRight" activeCell="I46" sqref="I46"/>
    </sheetView>
  </sheetViews>
  <sheetFormatPr defaultRowHeight="12.75" x14ac:dyDescent="0.2"/>
  <cols>
    <col min="1" max="1" width="7.42578125" bestFit="1" customWidth="1"/>
    <col min="2" max="2" width="16.140625" bestFit="1" customWidth="1"/>
    <col min="3" max="4" width="9.42578125" bestFit="1" customWidth="1"/>
    <col min="5" max="5" width="7" bestFit="1" customWidth="1"/>
    <col min="6" max="6" width="13.85546875" bestFit="1" customWidth="1"/>
    <col min="7" max="7" width="11.85546875" bestFit="1" customWidth="1"/>
    <col min="8" max="8" width="10.140625" customWidth="1"/>
    <col min="9" max="9" width="8.5703125" bestFit="1" customWidth="1"/>
    <col min="14" max="14" width="11.140625" bestFit="1" customWidth="1"/>
    <col min="15" max="15" width="9.85546875" customWidth="1"/>
    <col min="22" max="22" width="18" bestFit="1" customWidth="1"/>
  </cols>
  <sheetData>
    <row r="1" spans="1:22" x14ac:dyDescent="0.2">
      <c r="A1" s="10" t="s">
        <v>85</v>
      </c>
      <c r="B1" s="1"/>
      <c r="V1" t="s">
        <v>23</v>
      </c>
    </row>
    <row r="2" spans="1:22" x14ac:dyDescent="0.2">
      <c r="B2" t="s">
        <v>9</v>
      </c>
      <c r="C2" t="s">
        <v>0</v>
      </c>
      <c r="D2" t="s">
        <v>10</v>
      </c>
      <c r="E2" t="s">
        <v>11</v>
      </c>
      <c r="F2" t="s">
        <v>12</v>
      </c>
      <c r="G2" t="s">
        <v>13</v>
      </c>
      <c r="H2" s="4" t="s">
        <v>14</v>
      </c>
      <c r="I2" t="s">
        <v>15</v>
      </c>
      <c r="J2" t="s">
        <v>16</v>
      </c>
      <c r="K2" t="s">
        <v>19</v>
      </c>
      <c r="L2" t="s">
        <v>21</v>
      </c>
      <c r="M2" t="s">
        <v>31</v>
      </c>
      <c r="N2" t="s">
        <v>27</v>
      </c>
      <c r="O2" t="s">
        <v>34</v>
      </c>
      <c r="P2" t="s">
        <v>35</v>
      </c>
      <c r="Q2" t="s">
        <v>33</v>
      </c>
      <c r="R2" t="s">
        <v>32</v>
      </c>
      <c r="V2" t="s">
        <v>24</v>
      </c>
    </row>
    <row r="3" spans="1:22" x14ac:dyDescent="0.2">
      <c r="B3" t="s">
        <v>25</v>
      </c>
      <c r="C3" s="1">
        <v>45862</v>
      </c>
      <c r="D3" t="s">
        <v>18</v>
      </c>
      <c r="E3">
        <v>4.1399999999999997</v>
      </c>
      <c r="F3">
        <v>3</v>
      </c>
      <c r="G3">
        <v>1.67</v>
      </c>
      <c r="H3" s="3">
        <f>(E4/E3-1)*-1</f>
        <v>0.39855072463768104</v>
      </c>
      <c r="J3">
        <v>1</v>
      </c>
      <c r="K3" s="5">
        <f>H3-R3-L3*((Q4/Q3-1)-R3)</f>
        <v>0.42151162807704295</v>
      </c>
      <c r="L3">
        <v>1.54</v>
      </c>
      <c r="M3" s="3">
        <f>H3/(DATEDIF(C3,C4,"d")/365)</f>
        <v>24.245169082125599</v>
      </c>
      <c r="N3" t="s">
        <v>28</v>
      </c>
      <c r="O3" s="8" t="s">
        <v>36</v>
      </c>
      <c r="P3" s="8" t="s">
        <v>36</v>
      </c>
      <c r="Q3" s="2">
        <v>634.41999999999996</v>
      </c>
      <c r="R3" s="5">
        <v>4.2700000000000002E-2</v>
      </c>
      <c r="V3" s="5">
        <f>(F3*K3)/MIN(F3:F16)</f>
        <v>0.42151162807704295</v>
      </c>
    </row>
    <row r="4" spans="1:22" x14ac:dyDescent="0.2">
      <c r="C4" s="1">
        <v>45868</v>
      </c>
      <c r="D4" t="s">
        <v>30</v>
      </c>
      <c r="E4">
        <v>2.4900000000000002</v>
      </c>
      <c r="H4" s="3"/>
      <c r="I4" s="11" t="s">
        <v>43</v>
      </c>
      <c r="K4" s="5"/>
      <c r="O4" s="6"/>
      <c r="P4" s="6"/>
      <c r="Q4" s="2">
        <v>634.46</v>
      </c>
      <c r="V4" s="5"/>
    </row>
    <row r="5" spans="1:22" x14ac:dyDescent="0.2">
      <c r="B5" t="s">
        <v>1</v>
      </c>
      <c r="C5" s="1">
        <v>45887</v>
      </c>
      <c r="D5" t="s">
        <v>17</v>
      </c>
      <c r="E5">
        <v>21.81</v>
      </c>
      <c r="F5">
        <v>5</v>
      </c>
      <c r="G5" s="2">
        <v>20.420000000000002</v>
      </c>
      <c r="H5" s="3">
        <f>G5/E5-1</f>
        <v>-6.3732232920678422E-2</v>
      </c>
      <c r="I5" s="11" t="s">
        <v>45</v>
      </c>
      <c r="J5">
        <v>0</v>
      </c>
      <c r="K5" s="5">
        <f>H5-R5-L5*((Q6/Q5-1)-R5)</f>
        <v>-0.13337658454511497</v>
      </c>
      <c r="L5">
        <v>0.46</v>
      </c>
      <c r="M5" s="3">
        <f>H5/(DATEDIF(C5,$C$54,"d")/365)</f>
        <v>-6.2198569561624666E-2</v>
      </c>
      <c r="N5" t="s">
        <v>28</v>
      </c>
      <c r="O5" s="8" t="s">
        <v>36</v>
      </c>
      <c r="P5" s="9"/>
      <c r="Q5" s="2">
        <v>643.29999999999995</v>
      </c>
      <c r="R5" s="5">
        <v>4.2700000000000002E-2</v>
      </c>
      <c r="V5" s="5">
        <f>(F5*K5)/MIN(F5:F16)</f>
        <v>-0.22229430757519161</v>
      </c>
    </row>
    <row r="6" spans="1:22" x14ac:dyDescent="0.2">
      <c r="C6" s="1">
        <v>46135</v>
      </c>
      <c r="D6" t="s">
        <v>30</v>
      </c>
      <c r="E6">
        <v>20.420000000000002</v>
      </c>
      <c r="G6" s="2"/>
      <c r="H6" s="3"/>
      <c r="I6" s="11" t="s">
        <v>61</v>
      </c>
      <c r="K6" s="5"/>
      <c r="M6" s="3"/>
      <c r="O6" s="8"/>
      <c r="P6" s="9"/>
      <c r="Q6" s="2">
        <v>708.45</v>
      </c>
      <c r="R6" s="5"/>
      <c r="V6" s="5"/>
    </row>
    <row r="7" spans="1:22" x14ac:dyDescent="0.2">
      <c r="B7" t="s">
        <v>2</v>
      </c>
      <c r="C7" s="1">
        <v>45887</v>
      </c>
      <c r="D7" t="s">
        <v>18</v>
      </c>
      <c r="E7">
        <v>9.94</v>
      </c>
      <c r="F7">
        <v>5</v>
      </c>
      <c r="G7">
        <v>3.31</v>
      </c>
      <c r="H7" s="3">
        <f>(G7/E7-1)*-1</f>
        <v>0.66700201207243459</v>
      </c>
      <c r="I7" t="s">
        <v>46</v>
      </c>
      <c r="J7">
        <v>1</v>
      </c>
      <c r="K7" s="5">
        <f>H7-R7-L7*((Q8/Q7-1)-R7)</f>
        <v>0.57744227011689275</v>
      </c>
      <c r="L7" s="2">
        <v>0.8</v>
      </c>
      <c r="M7" s="3">
        <f>H7/(DATEDIF(C7,$C$54,"d")/365)</f>
        <v>0.6509511615145418</v>
      </c>
      <c r="N7" t="s">
        <v>28</v>
      </c>
      <c r="O7" s="8" t="s">
        <v>36</v>
      </c>
      <c r="P7" s="9"/>
      <c r="Q7" s="2">
        <v>643.29999999999995</v>
      </c>
      <c r="R7" s="5">
        <v>4.2700000000000002E-2</v>
      </c>
      <c r="V7" s="5">
        <f>(F7*K7)/MIN(F7:F23)</f>
        <v>0.96240378352815459</v>
      </c>
    </row>
    <row r="8" spans="1:22" x14ac:dyDescent="0.2">
      <c r="C8" s="1">
        <v>46135</v>
      </c>
      <c r="D8" t="s">
        <v>30</v>
      </c>
      <c r="H8" s="3"/>
      <c r="K8" s="5"/>
      <c r="L8" s="2"/>
      <c r="M8" s="3"/>
      <c r="O8" s="8"/>
      <c r="P8" s="9"/>
      <c r="Q8" s="2">
        <v>708.45</v>
      </c>
      <c r="R8" s="5"/>
      <c r="V8" s="5"/>
    </row>
    <row r="9" spans="1:22" x14ac:dyDescent="0.2">
      <c r="B9" t="s">
        <v>3</v>
      </c>
      <c r="C9" s="1">
        <v>45887</v>
      </c>
      <c r="D9" t="s">
        <v>17</v>
      </c>
      <c r="E9">
        <v>69.23</v>
      </c>
      <c r="F9">
        <v>3</v>
      </c>
      <c r="G9" s="2">
        <v>49.75</v>
      </c>
      <c r="H9" s="3">
        <f>G9/E9-1</f>
        <v>-0.28138090423226925</v>
      </c>
      <c r="I9" s="11" t="s">
        <v>47</v>
      </c>
      <c r="J9">
        <v>0</v>
      </c>
      <c r="K9" s="5">
        <f>H9-R9-L9*((Q10/Q9-1)-R9)</f>
        <v>-0.40842843975224458</v>
      </c>
      <c r="L9">
        <v>1.44</v>
      </c>
      <c r="M9" s="3">
        <f>H9/(DATEDIF(C9,$C$54,"d")/365)</f>
        <v>-0.27460970600208096</v>
      </c>
      <c r="N9" t="s">
        <v>84</v>
      </c>
      <c r="O9" s="8" t="s">
        <v>36</v>
      </c>
      <c r="P9" s="9"/>
      <c r="Q9" s="2">
        <v>643.29999999999995</v>
      </c>
      <c r="R9" s="5">
        <v>4.2700000000000002E-2</v>
      </c>
      <c r="V9" s="5">
        <f>(F9*K9)/MIN(F9:F52)</f>
        <v>-0.40842843975224458</v>
      </c>
    </row>
    <row r="10" spans="1:22" x14ac:dyDescent="0.2">
      <c r="C10" s="1">
        <v>46135</v>
      </c>
      <c r="D10" t="s">
        <v>30</v>
      </c>
      <c r="G10" s="2"/>
      <c r="H10" s="3"/>
      <c r="I10" s="11" t="s">
        <v>62</v>
      </c>
      <c r="K10" s="5"/>
      <c r="M10" s="3"/>
      <c r="O10" s="8"/>
      <c r="P10" s="9"/>
      <c r="Q10" s="2">
        <v>708.45</v>
      </c>
      <c r="R10" s="5"/>
      <c r="V10" s="5"/>
    </row>
    <row r="11" spans="1:22" x14ac:dyDescent="0.2">
      <c r="B11" t="s">
        <v>5</v>
      </c>
      <c r="C11" s="1">
        <v>45894</v>
      </c>
      <c r="D11" t="s">
        <v>18</v>
      </c>
      <c r="E11" s="2">
        <v>5.3</v>
      </c>
      <c r="F11">
        <v>5</v>
      </c>
      <c r="G11" s="2">
        <v>0.84</v>
      </c>
      <c r="H11" s="3">
        <f>(E12/E11-1)*-1</f>
        <v>0.84150943396226419</v>
      </c>
      <c r="I11" s="11" t="s">
        <v>49</v>
      </c>
      <c r="J11">
        <v>1</v>
      </c>
      <c r="K11" s="5">
        <f>H11-R11-L11*((Q12/Q11-1)-R11)</f>
        <v>0.81488768749939444</v>
      </c>
      <c r="L11">
        <v>0.95</v>
      </c>
      <c r="M11" s="3">
        <f>H11/(DATEDIF(C11,C12,"d")/365)</f>
        <v>9.5984669811320753</v>
      </c>
      <c r="N11" t="s">
        <v>28</v>
      </c>
      <c r="O11" s="8" t="s">
        <v>36</v>
      </c>
      <c r="P11" s="9"/>
      <c r="Q11" s="2">
        <v>642.47</v>
      </c>
      <c r="R11" s="5">
        <v>4.2700000000000002E-2</v>
      </c>
      <c r="V11" s="5">
        <f>(F11*K11)/MIN(F11:F49)</f>
        <v>1.3581461458323243</v>
      </c>
    </row>
    <row r="12" spans="1:22" x14ac:dyDescent="0.2">
      <c r="C12" s="1">
        <v>45926</v>
      </c>
      <c r="D12" t="s">
        <v>30</v>
      </c>
      <c r="E12" s="2">
        <v>0.84</v>
      </c>
      <c r="G12" s="2"/>
      <c r="H12" s="3"/>
      <c r="I12" s="11"/>
      <c r="K12" s="5"/>
      <c r="M12" s="3"/>
      <c r="O12" s="8"/>
      <c r="P12" s="9"/>
      <c r="Q12" s="2">
        <v>659.03</v>
      </c>
      <c r="R12" s="5"/>
      <c r="V12" s="5"/>
    </row>
    <row r="13" spans="1:22" x14ac:dyDescent="0.2">
      <c r="B13" t="s">
        <v>6</v>
      </c>
      <c r="C13" s="1">
        <v>45894</v>
      </c>
      <c r="D13" t="s">
        <v>17</v>
      </c>
      <c r="E13" s="2">
        <v>77</v>
      </c>
      <c r="F13">
        <v>3</v>
      </c>
      <c r="G13" s="2">
        <v>115</v>
      </c>
      <c r="H13" s="3">
        <f>G13/E13-1</f>
        <v>0.49350649350649345</v>
      </c>
      <c r="I13" s="11" t="s">
        <v>63</v>
      </c>
      <c r="J13">
        <v>1</v>
      </c>
      <c r="K13" s="5">
        <f>H13-R13-L13*((Q14/Q13-1)-R13)</f>
        <v>0.20464321898783883</v>
      </c>
      <c r="L13">
        <v>1.58</v>
      </c>
      <c r="M13" s="3">
        <f>H13/(DATEDIF(C13,$C$54,"d")/365)</f>
        <v>0.49081708482253439</v>
      </c>
      <c r="N13" t="s">
        <v>28</v>
      </c>
      <c r="O13" s="8" t="s">
        <v>36</v>
      </c>
      <c r="P13" s="9"/>
      <c r="Q13" s="2">
        <v>642.47</v>
      </c>
      <c r="R13" s="5">
        <v>4.2700000000000002E-2</v>
      </c>
      <c r="V13" s="5">
        <f>(F13*K13)/MIN(F13:F49)</f>
        <v>0.2046432189878388</v>
      </c>
    </row>
    <row r="14" spans="1:22" x14ac:dyDescent="0.2">
      <c r="C14" s="1">
        <v>46261</v>
      </c>
      <c r="D14" t="s">
        <v>58</v>
      </c>
      <c r="E14" s="2">
        <v>115</v>
      </c>
      <c r="G14" s="2"/>
      <c r="H14" s="3"/>
      <c r="I14" s="11"/>
      <c r="K14" s="5"/>
      <c r="M14" s="3"/>
      <c r="O14" s="8"/>
      <c r="P14" s="9"/>
      <c r="Q14" s="2">
        <v>770</v>
      </c>
      <c r="R14" s="5"/>
      <c r="V14" s="5"/>
    </row>
    <row r="15" spans="1:22" x14ac:dyDescent="0.2">
      <c r="B15" t="s">
        <v>8</v>
      </c>
      <c r="C15" s="1">
        <v>45894</v>
      </c>
      <c r="D15" t="s">
        <v>37</v>
      </c>
      <c r="E15" s="2">
        <v>26</v>
      </c>
      <c r="G15" s="2">
        <v>22.27</v>
      </c>
      <c r="H15" s="3"/>
      <c r="I15" s="11" t="s">
        <v>52</v>
      </c>
      <c r="K15" s="5"/>
      <c r="L15">
        <v>0.86</v>
      </c>
      <c r="M15" s="3"/>
      <c r="N15" t="s">
        <v>28</v>
      </c>
      <c r="O15" s="8" t="s">
        <v>36</v>
      </c>
      <c r="P15" s="9"/>
      <c r="Q15" s="2">
        <v>642.47</v>
      </c>
      <c r="R15" s="5">
        <v>4.2700000000000002E-2</v>
      </c>
      <c r="V15" s="5">
        <f>(F15*K15)/MIN(F15:F51)</f>
        <v>0</v>
      </c>
    </row>
    <row r="16" spans="1:22" x14ac:dyDescent="0.2">
      <c r="B16" t="s">
        <v>7</v>
      </c>
      <c r="C16" s="1">
        <v>45894</v>
      </c>
      <c r="D16" t="s">
        <v>17</v>
      </c>
      <c r="E16" s="2">
        <v>46</v>
      </c>
      <c r="F16">
        <v>5</v>
      </c>
      <c r="G16" s="2">
        <v>59</v>
      </c>
      <c r="H16" s="3">
        <f>G16/E16-1</f>
        <v>0.28260869565217384</v>
      </c>
      <c r="I16" s="11" t="s">
        <v>44</v>
      </c>
      <c r="J16">
        <v>1</v>
      </c>
      <c r="K16" s="5">
        <f>H16-R16-L16*((Q17/Q16-1)-R16)</f>
        <v>9.8131113492695543E-2</v>
      </c>
      <c r="L16">
        <v>0.91</v>
      </c>
      <c r="M16" s="3">
        <f>H16/(DATEDIF(C16,$C$54,"d")/365)</f>
        <v>0.28106859376851079</v>
      </c>
      <c r="N16" t="s">
        <v>29</v>
      </c>
      <c r="O16" s="8" t="s">
        <v>36</v>
      </c>
      <c r="P16" s="9"/>
      <c r="Q16" s="2">
        <v>642.47</v>
      </c>
      <c r="R16" s="5">
        <v>4.2700000000000002E-2</v>
      </c>
      <c r="V16" s="5">
        <f>(F16*K16)/MIN(F16:F52)</f>
        <v>0.16355185582115925</v>
      </c>
    </row>
    <row r="17" spans="2:22" x14ac:dyDescent="0.2">
      <c r="C17" s="1">
        <v>46261</v>
      </c>
      <c r="D17" t="s">
        <v>66</v>
      </c>
      <c r="E17" s="2">
        <v>59</v>
      </c>
      <c r="G17" s="2"/>
      <c r="H17" s="3"/>
      <c r="I17" s="11"/>
      <c r="K17" s="5"/>
      <c r="M17" s="3"/>
      <c r="O17" s="8"/>
      <c r="P17" s="9"/>
      <c r="Q17" s="2">
        <v>770</v>
      </c>
      <c r="R17" s="5"/>
      <c r="V17" s="5"/>
    </row>
    <row r="18" spans="2:22" x14ac:dyDescent="0.2">
      <c r="B18" t="s">
        <v>38</v>
      </c>
      <c r="C18" s="1">
        <v>45897</v>
      </c>
      <c r="D18" t="s">
        <v>18</v>
      </c>
      <c r="E18" s="2">
        <v>73</v>
      </c>
      <c r="F18">
        <v>5</v>
      </c>
      <c r="G18" s="2">
        <v>76.459999999999994</v>
      </c>
      <c r="H18" s="3">
        <f>(E20/(AVERAGE(E18:E19))-1)*-1</f>
        <v>0.38433139692708618</v>
      </c>
      <c r="I18" s="11" t="s">
        <v>50</v>
      </c>
      <c r="J18">
        <v>1</v>
      </c>
      <c r="K18" s="5">
        <f>H18-R18-L18*((Q19/Q18-1)-R18)</f>
        <v>0.30937177096108925</v>
      </c>
      <c r="L18">
        <v>0.62</v>
      </c>
      <c r="M18" s="3">
        <f>H18/(DATEDIF(C18,C19,"d")/365)</f>
        <v>4.8372744785650497</v>
      </c>
      <c r="N18" t="s">
        <v>29</v>
      </c>
      <c r="O18" s="8" t="s">
        <v>36</v>
      </c>
      <c r="P18" s="9"/>
      <c r="Q18" s="2">
        <v>647</v>
      </c>
      <c r="R18" s="5">
        <v>4.2299999999999997E-2</v>
      </c>
      <c r="V18" s="5"/>
    </row>
    <row r="19" spans="2:22" x14ac:dyDescent="0.2">
      <c r="C19" s="1">
        <v>45926</v>
      </c>
      <c r="D19" t="s">
        <v>58</v>
      </c>
      <c r="E19" s="2">
        <v>111.19</v>
      </c>
      <c r="F19" s="2"/>
      <c r="G19" s="2"/>
      <c r="H19" s="3"/>
      <c r="I19" s="11" t="s">
        <v>59</v>
      </c>
      <c r="K19" s="5"/>
      <c r="M19" s="3">
        <f>H18/(DATEDIF(C18,C20,"d")/365)</f>
        <v>0.69446019741775478</v>
      </c>
      <c r="O19" s="8"/>
      <c r="P19" s="9"/>
      <c r="Q19" s="2">
        <v>708.45</v>
      </c>
      <c r="R19" s="5"/>
      <c r="V19" s="5"/>
    </row>
    <row r="20" spans="2:22" x14ac:dyDescent="0.2">
      <c r="C20" s="1">
        <v>46099</v>
      </c>
      <c r="D20" t="s">
        <v>30</v>
      </c>
      <c r="E20" s="2">
        <v>56.7</v>
      </c>
      <c r="G20" s="2"/>
      <c r="H20" s="3"/>
      <c r="I20" s="11" t="s">
        <v>64</v>
      </c>
      <c r="K20" s="5"/>
      <c r="M20" s="3"/>
      <c r="O20" s="8"/>
      <c r="P20" s="9"/>
      <c r="Q20" s="2"/>
      <c r="R20" s="5"/>
      <c r="V20" s="5"/>
    </row>
    <row r="21" spans="2:22" x14ac:dyDescent="0.2">
      <c r="B21" t="s">
        <v>39</v>
      </c>
      <c r="C21" s="1">
        <v>45897</v>
      </c>
      <c r="D21" t="s">
        <v>18</v>
      </c>
      <c r="E21" s="2">
        <v>14.27</v>
      </c>
      <c r="F21">
        <v>3</v>
      </c>
      <c r="G21" s="2">
        <v>8.49</v>
      </c>
      <c r="H21" s="3">
        <f>(E22/E21-1)*-1</f>
        <v>0.40504555010511556</v>
      </c>
      <c r="I21" s="11" t="s">
        <v>51</v>
      </c>
      <c r="J21">
        <v>1</v>
      </c>
      <c r="K21" s="5">
        <f>H21-R21-L21*((Q22/Q21-1)-R21)</f>
        <v>0.22999997359816024</v>
      </c>
      <c r="L21">
        <v>2.52</v>
      </c>
      <c r="M21" s="3">
        <f>H21/(DATEDIF(C21,$C$54,"d")/365)</f>
        <v>0.40615831260540436</v>
      </c>
      <c r="N21" t="s">
        <v>42</v>
      </c>
      <c r="O21" s="8" t="s">
        <v>36</v>
      </c>
      <c r="P21" s="9"/>
      <c r="Q21" s="2">
        <v>647</v>
      </c>
      <c r="R21" s="5">
        <v>4.2299999999999997E-2</v>
      </c>
      <c r="V21" s="5"/>
    </row>
    <row r="22" spans="2:22" x14ac:dyDescent="0.2">
      <c r="C22" s="1">
        <v>46135</v>
      </c>
      <c r="D22" t="s">
        <v>30</v>
      </c>
      <c r="E22" s="2">
        <v>8.49</v>
      </c>
      <c r="G22" s="2"/>
      <c r="H22" s="3"/>
      <c r="I22" s="11" t="s">
        <v>64</v>
      </c>
      <c r="K22" s="5"/>
      <c r="M22" s="3"/>
      <c r="O22" s="8"/>
      <c r="P22" s="9"/>
      <c r="Q22" s="2">
        <v>708.45</v>
      </c>
      <c r="R22" s="5"/>
      <c r="V22" s="5"/>
    </row>
    <row r="23" spans="2:22" x14ac:dyDescent="0.2">
      <c r="B23" t="s">
        <v>40</v>
      </c>
      <c r="C23" s="1">
        <v>45897</v>
      </c>
      <c r="D23" t="s">
        <v>37</v>
      </c>
      <c r="E23" s="2">
        <v>338.84</v>
      </c>
      <c r="F23">
        <v>4</v>
      </c>
      <c r="G23" s="2">
        <v>172.47</v>
      </c>
      <c r="I23" s="11" t="s">
        <v>48</v>
      </c>
      <c r="L23">
        <v>3.78</v>
      </c>
      <c r="M23" s="3">
        <f>H23/(DATEDIF(C23,$C$54,"d")/365)</f>
        <v>0</v>
      </c>
      <c r="N23" t="s">
        <v>41</v>
      </c>
      <c r="Q23" s="2">
        <v>647</v>
      </c>
      <c r="R23" s="5">
        <v>4.2299999999999997E-2</v>
      </c>
    </row>
    <row r="24" spans="2:22" x14ac:dyDescent="0.2">
      <c r="B24" t="s">
        <v>8</v>
      </c>
      <c r="C24" s="1">
        <v>45911</v>
      </c>
      <c r="D24" t="s">
        <v>17</v>
      </c>
      <c r="E24" s="2">
        <v>18.600000000000001</v>
      </c>
      <c r="G24">
        <v>22.27</v>
      </c>
      <c r="H24" s="3">
        <f>E25/E24-1</f>
        <v>0.19731182795698921</v>
      </c>
      <c r="I24" s="11" t="s">
        <v>53</v>
      </c>
      <c r="J24">
        <v>1</v>
      </c>
      <c r="K24" s="5">
        <f>H24-R24-L24*((Q25/Q24-1)-R24)</f>
        <v>0.1248362060328068</v>
      </c>
      <c r="L24">
        <v>0.87</v>
      </c>
      <c r="M24" s="3">
        <f>H24/(DATEDIF(C24,$C$54,"d")/365)</f>
        <v>0.2057680491551459</v>
      </c>
      <c r="N24" t="s">
        <v>28</v>
      </c>
      <c r="O24" s="8" t="s">
        <v>36</v>
      </c>
      <c r="Q24" s="2">
        <v>657.63</v>
      </c>
      <c r="R24" s="5">
        <v>4.0340000000000001E-2</v>
      </c>
    </row>
    <row r="25" spans="2:22" x14ac:dyDescent="0.2">
      <c r="C25" s="1">
        <v>46135</v>
      </c>
      <c r="D25" t="s">
        <v>30</v>
      </c>
      <c r="E25">
        <v>22.27</v>
      </c>
      <c r="H25" s="3"/>
      <c r="I25" s="11" t="s">
        <v>65</v>
      </c>
      <c r="M25" s="3"/>
      <c r="O25" s="8"/>
      <c r="Q25" s="2">
        <v>708.45</v>
      </c>
      <c r="R25" s="5"/>
    </row>
    <row r="26" spans="2:22" x14ac:dyDescent="0.2">
      <c r="B26" t="s">
        <v>56</v>
      </c>
      <c r="C26" s="1">
        <v>45922</v>
      </c>
      <c r="D26" t="s">
        <v>17</v>
      </c>
      <c r="E26" s="2">
        <v>33.72</v>
      </c>
      <c r="F26">
        <v>3</v>
      </c>
      <c r="G26" s="2">
        <v>45.91</v>
      </c>
      <c r="H26" s="3">
        <f>E27/E26-1</f>
        <v>0.36150652431791208</v>
      </c>
      <c r="I26" s="11" t="s">
        <v>57</v>
      </c>
      <c r="J26">
        <v>1</v>
      </c>
      <c r="K26" s="5">
        <f>H26-R26-L26*((Q27/Q26-1)-R26)</f>
        <v>0.31157363999293475</v>
      </c>
      <c r="L26" s="2">
        <v>0.3</v>
      </c>
      <c r="M26" s="3">
        <f>H26/(DATEDIF(C26,$C$54,"d")/365)</f>
        <v>0.38923268842489062</v>
      </c>
      <c r="N26" t="s">
        <v>28</v>
      </c>
      <c r="O26" s="8" t="s">
        <v>36</v>
      </c>
      <c r="Q26" s="2">
        <v>662.2</v>
      </c>
      <c r="R26" s="5">
        <v>4.1399999999999999E-2</v>
      </c>
    </row>
    <row r="27" spans="2:22" x14ac:dyDescent="0.2">
      <c r="C27" s="1">
        <v>45926</v>
      </c>
      <c r="D27" t="s">
        <v>30</v>
      </c>
      <c r="E27" s="2">
        <v>45.91</v>
      </c>
      <c r="G27" s="2"/>
      <c r="H27" s="3"/>
      <c r="I27" s="11"/>
      <c r="L27" s="2"/>
      <c r="M27" s="3"/>
      <c r="O27" s="8"/>
      <c r="Q27" s="2">
        <v>708.45</v>
      </c>
      <c r="R27" s="5"/>
    </row>
    <row r="28" spans="2:22" x14ac:dyDescent="0.2">
      <c r="B28" t="s">
        <v>55</v>
      </c>
      <c r="C28" s="1">
        <v>45926</v>
      </c>
      <c r="D28" t="s">
        <v>17</v>
      </c>
      <c r="E28" s="2">
        <v>52.8</v>
      </c>
      <c r="F28">
        <v>5</v>
      </c>
      <c r="G28" s="2">
        <v>84.86</v>
      </c>
      <c r="H28" s="3">
        <f>G28/E28-1</f>
        <v>0.60719696969696968</v>
      </c>
      <c r="I28" s="11" t="s">
        <v>54</v>
      </c>
      <c r="J28">
        <v>1</v>
      </c>
      <c r="K28" s="5">
        <f>H28-R28-L28*((Q29/Q28-1)-R28)</f>
        <v>0.51727292117110568</v>
      </c>
      <c r="L28">
        <v>1.45</v>
      </c>
      <c r="M28" s="3">
        <f>H28/(DATEDIF(C28,$C$54,"d")/365)</f>
        <v>0.66157281772953414</v>
      </c>
      <c r="N28" t="s">
        <v>28</v>
      </c>
      <c r="O28" s="8"/>
      <c r="Q28" s="2">
        <v>659.03</v>
      </c>
      <c r="R28" s="5">
        <v>4.1799999999999997E-2</v>
      </c>
    </row>
    <row r="29" spans="2:22" x14ac:dyDescent="0.2">
      <c r="C29" s="1">
        <v>46135</v>
      </c>
      <c r="D29" t="s">
        <v>66</v>
      </c>
      <c r="E29" s="2">
        <v>17.54</v>
      </c>
      <c r="G29" s="2"/>
      <c r="H29" s="3"/>
      <c r="I29" s="11" t="s">
        <v>67</v>
      </c>
      <c r="M29" s="3"/>
      <c r="O29" s="8"/>
      <c r="Q29" s="2">
        <v>708.45</v>
      </c>
      <c r="R29" s="5"/>
    </row>
    <row r="30" spans="2:22" x14ac:dyDescent="0.2">
      <c r="C30" s="1">
        <v>46261</v>
      </c>
      <c r="D30" t="s">
        <v>66</v>
      </c>
      <c r="E30" s="2">
        <v>84.86</v>
      </c>
      <c r="G30" s="2"/>
      <c r="H30" s="3"/>
      <c r="I30" s="11" t="s">
        <v>86</v>
      </c>
      <c r="M30" s="3"/>
      <c r="O30" s="8"/>
      <c r="Q30" s="2">
        <v>770</v>
      </c>
      <c r="R30" s="5"/>
    </row>
    <row r="31" spans="2:22" x14ac:dyDescent="0.2">
      <c r="B31" t="s">
        <v>68</v>
      </c>
      <c r="C31" s="1">
        <v>46135</v>
      </c>
      <c r="D31" t="s">
        <v>17</v>
      </c>
      <c r="E31" s="2">
        <v>238.98</v>
      </c>
      <c r="F31">
        <v>3</v>
      </c>
      <c r="G31" s="2">
        <v>288.66000000000003</v>
      </c>
      <c r="H31" s="3">
        <f>G31/E31-1</f>
        <v>0.20788350489580742</v>
      </c>
      <c r="I31" s="11" t="s">
        <v>70</v>
      </c>
      <c r="J31">
        <v>1</v>
      </c>
      <c r="K31" s="5">
        <f>H31-R31-L31*((Q32/Q31-1)-R31)</f>
        <v>9.8186196687747751E-2</v>
      </c>
      <c r="L31">
        <v>1.52</v>
      </c>
      <c r="M31" s="3">
        <f>H31/(DATEDIF(C31,$C$54,"d")/365)</f>
        <v>0.60220221656325157</v>
      </c>
      <c r="N31" t="s">
        <v>80</v>
      </c>
      <c r="O31" s="8"/>
      <c r="Q31" s="2">
        <v>708.45</v>
      </c>
      <c r="R31" s="5">
        <v>4.2999999999999997E-2</v>
      </c>
    </row>
    <row r="32" spans="2:22" x14ac:dyDescent="0.2">
      <c r="C32" s="1">
        <v>46261</v>
      </c>
      <c r="D32" t="s">
        <v>66</v>
      </c>
      <c r="E32" s="2">
        <v>288.66000000000003</v>
      </c>
      <c r="G32" s="2"/>
      <c r="H32" s="3"/>
      <c r="I32" s="11" t="s">
        <v>87</v>
      </c>
      <c r="M32" s="3"/>
      <c r="O32" s="8"/>
      <c r="Q32" s="2">
        <v>770</v>
      </c>
      <c r="R32" s="5"/>
    </row>
    <row r="33" spans="2:18" x14ac:dyDescent="0.2">
      <c r="B33" t="s">
        <v>69</v>
      </c>
      <c r="C33" s="1">
        <v>46135</v>
      </c>
      <c r="D33" t="s">
        <v>17</v>
      </c>
      <c r="E33" s="2">
        <v>138.32</v>
      </c>
      <c r="F33">
        <v>3</v>
      </c>
      <c r="G33" s="2">
        <v>225</v>
      </c>
      <c r="H33" s="3">
        <f>G33/E33-1</f>
        <v>0.62666281087333719</v>
      </c>
      <c r="I33" s="11" t="s">
        <v>71</v>
      </c>
      <c r="J33">
        <v>1</v>
      </c>
      <c r="K33" s="5">
        <f>H33-R33-L33*((Q34/Q33-1)-R33)</f>
        <v>0.53758901244013801</v>
      </c>
      <c r="L33">
        <v>1.05</v>
      </c>
      <c r="M33" s="3">
        <f>H33/(DATEDIF(C33,$C$54,"d")/365)</f>
        <v>1.8153327457838735</v>
      </c>
      <c r="N33" t="s">
        <v>81</v>
      </c>
      <c r="O33" s="8"/>
      <c r="Q33" s="2">
        <v>708.45</v>
      </c>
      <c r="R33" s="5">
        <v>4.2999999999999997E-2</v>
      </c>
    </row>
    <row r="34" spans="2:18" x14ac:dyDescent="0.2">
      <c r="C34" s="1">
        <v>46261</v>
      </c>
      <c r="D34" t="s">
        <v>66</v>
      </c>
      <c r="E34" s="2">
        <v>225</v>
      </c>
      <c r="G34" s="2"/>
      <c r="H34" s="3"/>
      <c r="I34" s="11" t="s">
        <v>88</v>
      </c>
      <c r="M34" s="3"/>
      <c r="O34" s="8"/>
      <c r="Q34" s="2">
        <v>770</v>
      </c>
      <c r="R34" s="5"/>
    </row>
    <row r="35" spans="2:18" x14ac:dyDescent="0.2">
      <c r="B35" t="s">
        <v>72</v>
      </c>
      <c r="C35" s="1">
        <v>46135</v>
      </c>
      <c r="D35" t="s">
        <v>18</v>
      </c>
      <c r="E35" s="2">
        <v>78.75</v>
      </c>
      <c r="F35">
        <v>5</v>
      </c>
      <c r="G35" s="2">
        <v>61</v>
      </c>
      <c r="H35" s="3">
        <f>(E36/E35-1)*-1</f>
        <v>0.22539682539682537</v>
      </c>
      <c r="I35" s="11" t="s">
        <v>73</v>
      </c>
      <c r="J35">
        <v>1</v>
      </c>
      <c r="K35" s="5">
        <f>H35-R35-L35*((Q36/Q35-1)-R35)</f>
        <v>5.9533362908294404E-2</v>
      </c>
      <c r="L35">
        <v>2.8</v>
      </c>
      <c r="M35" s="3">
        <f>H35/(DATEDIF(C35,$C$54,"d")/365)</f>
        <v>0.65293524817334325</v>
      </c>
      <c r="N35" t="s">
        <v>83</v>
      </c>
      <c r="O35" s="8"/>
      <c r="Q35" s="2">
        <v>708.45</v>
      </c>
      <c r="R35" s="5">
        <v>4.2999999999999997E-2</v>
      </c>
    </row>
    <row r="36" spans="2:18" x14ac:dyDescent="0.2">
      <c r="C36" s="1">
        <v>46261</v>
      </c>
      <c r="E36" s="2">
        <v>61</v>
      </c>
      <c r="G36" s="2"/>
      <c r="H36" s="3"/>
      <c r="I36" s="11" t="s">
        <v>89</v>
      </c>
      <c r="M36" s="3"/>
      <c r="O36" s="8"/>
      <c r="Q36" s="2">
        <v>770</v>
      </c>
      <c r="R36" s="5"/>
    </row>
    <row r="37" spans="2:18" x14ac:dyDescent="0.2">
      <c r="B37" t="s">
        <v>74</v>
      </c>
      <c r="C37" s="1">
        <v>46135</v>
      </c>
      <c r="D37" t="s">
        <v>18</v>
      </c>
      <c r="E37" s="2">
        <v>80</v>
      </c>
      <c r="F37">
        <v>3</v>
      </c>
      <c r="G37" s="2">
        <v>75</v>
      </c>
      <c r="H37" s="3">
        <f>(E38/E37-1)*-1</f>
        <v>6.25E-2</v>
      </c>
      <c r="I37" s="11" t="s">
        <v>75</v>
      </c>
      <c r="J37">
        <v>0</v>
      </c>
      <c r="K37" s="5">
        <f>H37-R37-L37*((Q38/Q37-1)-R37)</f>
        <v>-0.13890610699414174</v>
      </c>
      <c r="L37">
        <v>3.61</v>
      </c>
      <c r="M37" s="3">
        <f>H37/(DATEDIF(C37,$C$54,"d")/365)</f>
        <v>0.1810515873015873</v>
      </c>
      <c r="N37" t="s">
        <v>82</v>
      </c>
      <c r="O37" s="8"/>
      <c r="Q37" s="2">
        <v>708.45</v>
      </c>
      <c r="R37" s="5">
        <v>4.2999999999999997E-2</v>
      </c>
    </row>
    <row r="38" spans="2:18" x14ac:dyDescent="0.2">
      <c r="C38" s="1">
        <v>46261</v>
      </c>
      <c r="D38" t="s">
        <v>30</v>
      </c>
      <c r="E38" s="2">
        <v>75</v>
      </c>
      <c r="G38" s="2"/>
      <c r="H38" s="3"/>
      <c r="I38" s="11" t="s">
        <v>95</v>
      </c>
      <c r="M38" s="3"/>
      <c r="O38" s="8"/>
      <c r="Q38" s="2">
        <v>770</v>
      </c>
      <c r="R38" s="5"/>
    </row>
    <row r="39" spans="2:18" x14ac:dyDescent="0.2">
      <c r="B39" t="s">
        <v>76</v>
      </c>
      <c r="C39" s="1">
        <v>46135</v>
      </c>
      <c r="D39" t="s">
        <v>17</v>
      </c>
      <c r="E39" s="2">
        <v>15.87</v>
      </c>
      <c r="F39">
        <v>3</v>
      </c>
      <c r="G39" s="2">
        <v>13</v>
      </c>
      <c r="H39" s="3">
        <f>G39/E39-1</f>
        <v>-0.1808443604284814</v>
      </c>
      <c r="I39" s="11" t="s">
        <v>77</v>
      </c>
      <c r="J39">
        <v>0</v>
      </c>
      <c r="K39" s="5">
        <f>H39-R39-L39*((Q40/Q39-1)-R39)</f>
        <v>-0.31116517841140162</v>
      </c>
      <c r="L39">
        <v>1.99</v>
      </c>
      <c r="M39" s="3">
        <f>H39/(DATEDIF(C39,$C$54,"d")/365)</f>
        <v>-0.52387453616187063</v>
      </c>
      <c r="N39" t="s">
        <v>28</v>
      </c>
      <c r="O39" s="8"/>
      <c r="Q39" s="2">
        <v>708.45</v>
      </c>
      <c r="R39" s="5">
        <v>4.2999999999999997E-2</v>
      </c>
    </row>
    <row r="40" spans="2:18" x14ac:dyDescent="0.2">
      <c r="C40" s="1">
        <v>46261</v>
      </c>
      <c r="D40" t="s">
        <v>66</v>
      </c>
      <c r="E40" s="2">
        <v>13</v>
      </c>
      <c r="G40" s="2"/>
      <c r="H40" s="3"/>
      <c r="I40" s="11"/>
      <c r="M40" s="3"/>
      <c r="O40" s="8"/>
      <c r="Q40" s="2">
        <v>770</v>
      </c>
      <c r="R40" s="5"/>
    </row>
    <row r="41" spans="2:18" x14ac:dyDescent="0.2">
      <c r="B41" t="s">
        <v>78</v>
      </c>
      <c r="C41" s="1">
        <v>46137</v>
      </c>
      <c r="D41" t="s">
        <v>17</v>
      </c>
      <c r="E41" s="2">
        <v>10.37</v>
      </c>
      <c r="F41">
        <v>3</v>
      </c>
      <c r="G41" s="2">
        <v>11.4</v>
      </c>
      <c r="H41" s="3">
        <f>G41/E41-1</f>
        <v>9.9324975891996292E-2</v>
      </c>
      <c r="I41" s="11" t="s">
        <v>79</v>
      </c>
      <c r="J41">
        <v>0</v>
      </c>
      <c r="K41" s="5">
        <f>H41-R41-L41*((Q42/Q41-1)-R41)</f>
        <v>-4.4176520599322547E-3</v>
      </c>
      <c r="L41">
        <v>1.71</v>
      </c>
      <c r="M41" s="3">
        <f>H41/(DATEDIF(C41,$C$54,"d")/365)</f>
        <v>0.29236787258531166</v>
      </c>
      <c r="N41" t="s">
        <v>28</v>
      </c>
      <c r="O41" s="8"/>
      <c r="Q41" s="2">
        <v>713.94</v>
      </c>
      <c r="R41" s="5">
        <v>4.2999999999999997E-2</v>
      </c>
    </row>
    <row r="42" spans="2:18" x14ac:dyDescent="0.2">
      <c r="C42" s="1">
        <v>46261</v>
      </c>
      <c r="D42" t="s">
        <v>66</v>
      </c>
      <c r="E42" s="2">
        <v>11.26</v>
      </c>
      <c r="G42" s="2"/>
      <c r="H42" s="3"/>
      <c r="I42" s="11" t="s">
        <v>96</v>
      </c>
      <c r="M42" s="3"/>
      <c r="O42" s="8"/>
      <c r="Q42" s="2">
        <v>770</v>
      </c>
      <c r="R42" s="5"/>
    </row>
    <row r="43" spans="2:18" x14ac:dyDescent="0.2">
      <c r="B43" t="s">
        <v>90</v>
      </c>
      <c r="C43" s="1">
        <v>46261</v>
      </c>
      <c r="D43" t="s">
        <v>17</v>
      </c>
      <c r="E43" s="2">
        <v>114</v>
      </c>
      <c r="F43">
        <v>5</v>
      </c>
      <c r="G43" s="2">
        <v>110</v>
      </c>
      <c r="H43" s="3">
        <f>G43/E43-1</f>
        <v>-3.5087719298245612E-2</v>
      </c>
      <c r="I43" s="11" t="s">
        <v>91</v>
      </c>
      <c r="L43">
        <v>1.2</v>
      </c>
      <c r="M43" s="3"/>
      <c r="N43" t="s">
        <v>29</v>
      </c>
      <c r="O43" s="8"/>
      <c r="P43" s="3"/>
      <c r="Q43" s="2">
        <v>770</v>
      </c>
      <c r="R43" s="5">
        <v>4.7E-2</v>
      </c>
    </row>
    <row r="44" spans="2:18" x14ac:dyDescent="0.2">
      <c r="B44" t="s">
        <v>92</v>
      </c>
      <c r="C44" s="1">
        <v>46261</v>
      </c>
      <c r="D44" t="s">
        <v>17</v>
      </c>
      <c r="E44" s="2">
        <v>37</v>
      </c>
      <c r="F44">
        <v>4</v>
      </c>
      <c r="G44" s="2">
        <v>34.5</v>
      </c>
      <c r="H44" s="3">
        <f>G44/E44-1</f>
        <v>-6.7567567567567544E-2</v>
      </c>
      <c r="I44" s="11"/>
      <c r="L44">
        <v>0.33</v>
      </c>
      <c r="M44" s="3"/>
      <c r="N44" t="s">
        <v>28</v>
      </c>
      <c r="O44" s="8"/>
      <c r="Q44" s="2">
        <v>770</v>
      </c>
      <c r="R44" s="5">
        <v>4.7E-2</v>
      </c>
    </row>
    <row r="45" spans="2:18" x14ac:dyDescent="0.2">
      <c r="B45" t="s">
        <v>93</v>
      </c>
      <c r="C45" s="1">
        <v>46261</v>
      </c>
      <c r="D45" t="s">
        <v>17</v>
      </c>
      <c r="E45" s="2">
        <v>25</v>
      </c>
      <c r="F45">
        <v>3</v>
      </c>
      <c r="G45" s="2">
        <v>24</v>
      </c>
      <c r="H45" s="3">
        <f>G45/E45-1</f>
        <v>-4.0000000000000036E-2</v>
      </c>
      <c r="I45" s="11"/>
      <c r="L45">
        <v>1.53</v>
      </c>
      <c r="M45" s="3"/>
      <c r="N45" t="s">
        <v>28</v>
      </c>
      <c r="O45" s="8"/>
      <c r="Q45" s="2">
        <v>770</v>
      </c>
      <c r="R45" s="5">
        <v>4.7E-2</v>
      </c>
    </row>
    <row r="46" spans="2:18" x14ac:dyDescent="0.2">
      <c r="B46" t="s">
        <v>94</v>
      </c>
      <c r="C46" s="1">
        <v>46261</v>
      </c>
      <c r="D46" t="s">
        <v>17</v>
      </c>
      <c r="E46" s="2">
        <v>20</v>
      </c>
      <c r="F46">
        <v>3</v>
      </c>
      <c r="G46" s="2">
        <v>20</v>
      </c>
      <c r="H46" s="3">
        <f>G46/E46-1</f>
        <v>0</v>
      </c>
      <c r="I46" s="11"/>
      <c r="L46">
        <v>0.37</v>
      </c>
      <c r="M46" s="3"/>
      <c r="N46" t="s">
        <v>28</v>
      </c>
      <c r="O46" s="8"/>
      <c r="Q46" s="2">
        <v>770</v>
      </c>
      <c r="R46" s="5">
        <v>4.7E-2</v>
      </c>
    </row>
    <row r="47" spans="2:18" x14ac:dyDescent="0.2">
      <c r="C47" s="1"/>
      <c r="E47" s="2"/>
      <c r="I47" s="7" t="s">
        <v>22</v>
      </c>
      <c r="J47" s="3">
        <f>SUM(J3:J41)/COUNT(J3:J41)</f>
        <v>0.72222222222222221</v>
      </c>
    </row>
    <row r="48" spans="2:18" x14ac:dyDescent="0.2">
      <c r="I48" s="7"/>
      <c r="J48" s="3"/>
      <c r="L48" t="e" cm="1">
        <f t="array" ref="L48">SUMPRODUCT(B2:B10, IF(A2:A10="Short",-1,1)) / COUNT(B2:B10)</f>
        <v>#DIV/0!</v>
      </c>
    </row>
    <row r="49" spans="2:22" x14ac:dyDescent="0.2">
      <c r="B49" t="s">
        <v>26</v>
      </c>
      <c r="F49" s="2">
        <f>AVERAGE(F3:F23)</f>
        <v>4.0999999999999996</v>
      </c>
      <c r="H49" s="3">
        <f>AVERAGE(H3:H41)</f>
        <v>0.29635445823953649</v>
      </c>
      <c r="K49" s="5">
        <f>AVERAGE(K3:K41)</f>
        <v>0.18381583556685036</v>
      </c>
      <c r="L49" s="2">
        <f>(SUM(L28,L26,L24,L16,L13,L9,L5,L33,L31,L39,L41)-SUM(L21,L18,L11,L7,L3,L35,L37))/18</f>
        <v>2.4444444444444515E-2</v>
      </c>
      <c r="M49" s="3">
        <f>AVERAGE(M3:M41)</f>
        <v>2.2572073152971415</v>
      </c>
      <c r="V49" s="5">
        <f>AVERAGE(V3:V16)</f>
        <v>0.30994173561488547</v>
      </c>
    </row>
    <row r="50" spans="2:22" x14ac:dyDescent="0.2">
      <c r="H50" s="5"/>
      <c r="K50" s="5"/>
      <c r="V50" s="5"/>
    </row>
    <row r="51" spans="2:22" x14ac:dyDescent="0.2">
      <c r="B51" t="s">
        <v>4</v>
      </c>
      <c r="C51" s="1">
        <v>45862</v>
      </c>
      <c r="E51" s="2">
        <v>634.41999999999996</v>
      </c>
      <c r="G51" s="2">
        <v>770</v>
      </c>
      <c r="H51" s="3">
        <f>G51/E51-1</f>
        <v>0.21370700797578901</v>
      </c>
      <c r="I51" s="3"/>
      <c r="K51" s="5">
        <f>H51-($H$52+L51*($H$51-$H$52))</f>
        <v>0</v>
      </c>
      <c r="L51">
        <v>1</v>
      </c>
      <c r="M51" s="3">
        <f>H51/(DATEDIF(C51,$C$54,"d")/365)</f>
        <v>0.19549638574226311</v>
      </c>
    </row>
    <row r="52" spans="2:22" x14ac:dyDescent="0.2">
      <c r="B52" t="s">
        <v>20</v>
      </c>
      <c r="C52" s="1">
        <v>45862</v>
      </c>
      <c r="H52" s="5">
        <v>4.2999999999999997E-2</v>
      </c>
      <c r="I52" s="3"/>
      <c r="K52" s="5">
        <f>H52-($H$52+L52*($H$51-$H$52))</f>
        <v>0</v>
      </c>
      <c r="L52">
        <v>0</v>
      </c>
    </row>
    <row r="54" spans="2:22" x14ac:dyDescent="0.2">
      <c r="B54" t="s">
        <v>60</v>
      </c>
      <c r="C54" s="1">
        <v>46261</v>
      </c>
      <c r="K54" s="5"/>
    </row>
  </sheetData>
  <hyperlinks>
    <hyperlink ref="O3" r:id="rId1" xr:uid="{D28EB580-B8E1-48AE-8C56-94A069342149}"/>
    <hyperlink ref="P3" r:id="rId2" xr:uid="{E30F7852-6389-425A-B287-571FF99532F6}"/>
    <hyperlink ref="O5" r:id="rId3" xr:uid="{D62136F3-CB2F-44C3-B3F1-4721FA1E5EE9}"/>
    <hyperlink ref="O7" r:id="rId4" xr:uid="{3676D465-641E-4B4D-8677-65A91A2F5628}"/>
    <hyperlink ref="O9" r:id="rId5" xr:uid="{C150F644-22BC-4D02-802D-BED0E57B013A}"/>
    <hyperlink ref="O11" r:id="rId6" xr:uid="{99178A6F-2964-4DD4-80DE-C47CB66DDED3}"/>
    <hyperlink ref="O13" r:id="rId7" xr:uid="{1954C073-6EE4-438F-929C-C507A342B480}"/>
    <hyperlink ref="O16" r:id="rId8" xr:uid="{6CCCA1FE-ECD2-4689-860F-9ADE3B056949}"/>
    <hyperlink ref="O15" r:id="rId9" xr:uid="{D35E01C5-0A43-4ACD-BD0C-88FFA33A47B9}"/>
    <hyperlink ref="O18" r:id="rId10" xr:uid="{A047975B-CA68-4AA6-A365-A332455D0250}"/>
    <hyperlink ref="O21" r:id="rId11" xr:uid="{E1AFF3FB-1C65-4169-8AC3-97DCAA64B9AF}"/>
    <hyperlink ref="O24" r:id="rId12" xr:uid="{05E535AF-A000-4512-A566-52195A140416}"/>
    <hyperlink ref="O26" r:id="rId13" xr:uid="{73FE13B3-6F8A-49A8-897D-09B2CB7F1A5F}"/>
  </hyperlinks>
  <pageMargins left="0.7" right="0.7" top="0.75" bottom="0.75" header="0.3" footer="0.3"/>
  <pageSetup orientation="portrait" horizontalDpi="300" verticalDpi="300" r:id="rId14"/>
  <legacy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R</dc:creator>
  <cp:lastModifiedBy>Liam R</cp:lastModifiedBy>
  <dcterms:created xsi:type="dcterms:W3CDTF">2025-08-18T10:10:50Z</dcterms:created>
  <dcterms:modified xsi:type="dcterms:W3CDTF">2026-09-01T16:36:05Z</dcterms:modified>
</cp:coreProperties>
</file>