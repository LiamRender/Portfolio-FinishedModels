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B2FAE0B4-45A9-4230-BDE2-AE414E7DC204}" xr6:coauthVersionLast="47" xr6:coauthVersionMax="47" xr10:uidLastSave="{00000000-0000-0000-0000-000000000000}"/>
  <bookViews>
    <workbookView xWindow="-105" yWindow="0" windowWidth="14610" windowHeight="15585" firstSheet="4" activeTab="6" xr2:uid="{B5255683-9904-4B96-B116-504FB2085B5B}"/>
  </bookViews>
  <sheets>
    <sheet name="Main" sheetId="1" r:id="rId1"/>
    <sheet name="Model" sheetId="2" r:id="rId2"/>
    <sheet name="CC Model" sheetId="4" r:id="rId3"/>
    <sheet name="Literature" sheetId="3" r:id="rId4"/>
    <sheet name="Management" sheetId="6" r:id="rId5"/>
    <sheet name="Q&amp;A" sheetId="7" r:id="rId6"/>
    <sheet name="Monte Carlo Simulation"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7" i="2" l="1"/>
  <c r="AF37" i="2"/>
  <c r="AG37" i="2" s="1"/>
  <c r="AH37" i="2" s="1"/>
  <c r="AE32" i="2"/>
  <c r="E11" i="2"/>
  <c r="F12" i="2"/>
  <c r="E12" i="2"/>
  <c r="H11" i="2"/>
  <c r="G11" i="2"/>
  <c r="F11" i="2"/>
  <c r="D11" i="2"/>
  <c r="AC21" i="2"/>
  <c r="AD21" i="2" s="1"/>
  <c r="AC41" i="2"/>
  <c r="AC34" i="2"/>
  <c r="AD38" i="2"/>
  <c r="AE38" i="2" s="1"/>
  <c r="AF38" i="2" s="1"/>
  <c r="AG38" i="2" s="1"/>
  <c r="AH38" i="2" s="1"/>
  <c r="Z34" i="2"/>
  <c r="Z37" i="2"/>
  <c r="Z32" i="2"/>
  <c r="AA32" i="2"/>
  <c r="AB32" i="2"/>
  <c r="AD32" i="2"/>
  <c r="AF32" i="2" s="1"/>
  <c r="AG32" i="2" s="1"/>
  <c r="AH32" i="2" s="1"/>
  <c r="AC32" i="2"/>
  <c r="Z38" i="2"/>
  <c r="AA38" i="2"/>
  <c r="W46" i="2"/>
  <c r="AC38" i="2"/>
  <c r="AB38" i="2"/>
  <c r="AC37" i="2"/>
  <c r="AC26" i="2"/>
  <c r="AC42" i="2"/>
  <c r="AC43" i="2"/>
  <c r="AC40" i="2"/>
  <c r="AD37" i="2" s="1"/>
  <c r="Z41" i="2"/>
  <c r="AA41" i="2" s="1"/>
  <c r="Z43" i="2"/>
  <c r="AA43" i="2" s="1"/>
  <c r="Z40" i="2"/>
  <c r="AA40" i="2" s="1"/>
  <c r="AB37" i="2" s="1"/>
  <c r="J8" i="2"/>
  <c r="F17" i="2"/>
  <c r="F8" i="2" s="1"/>
  <c r="F15" i="2"/>
  <c r="J29" i="8"/>
  <c r="J30" i="8" s="1"/>
  <c r="C7" i="8" s="1"/>
  <c r="J22" i="8"/>
  <c r="J23" i="8" s="1"/>
  <c r="C5" i="8" s="1"/>
  <c r="J15" i="8"/>
  <c r="J16" i="8" s="1"/>
  <c r="C3" i="8" s="1"/>
  <c r="J25" i="8"/>
  <c r="J18" i="8"/>
  <c r="C4" i="8" s="1"/>
  <c r="J11" i="8"/>
  <c r="C2" i="8" s="1"/>
  <c r="E2" i="8" s="1"/>
  <c r="AC4" i="2"/>
  <c r="AC3" i="2"/>
  <c r="C1010" i="8"/>
  <c r="C1007" i="8"/>
  <c r="C1008" i="8"/>
  <c r="C1009" i="8"/>
  <c r="C997" i="8"/>
  <c r="C998" i="8"/>
  <c r="C999" i="8"/>
  <c r="C1000" i="8"/>
  <c r="C1001" i="8"/>
  <c r="C1002" i="8"/>
  <c r="C1003" i="8"/>
  <c r="C1004" i="8"/>
  <c r="C1005" i="8"/>
  <c r="C1006"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11" i="8"/>
  <c r="E11" i="8"/>
  <c r="A12" i="8"/>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228" i="8" s="1"/>
  <c r="A229" i="8" s="1"/>
  <c r="A230" i="8" s="1"/>
  <c r="A231" i="8" s="1"/>
  <c r="A232" i="8" s="1"/>
  <c r="A233" i="8" s="1"/>
  <c r="A234" i="8" s="1"/>
  <c r="A235" i="8" s="1"/>
  <c r="A236" i="8" s="1"/>
  <c r="A237" i="8" s="1"/>
  <c r="A238" i="8" s="1"/>
  <c r="A239" i="8" s="1"/>
  <c r="A240" i="8" s="1"/>
  <c r="A241" i="8" s="1"/>
  <c r="A242" i="8" s="1"/>
  <c r="A243" i="8" s="1"/>
  <c r="A244" i="8" s="1"/>
  <c r="A245" i="8" s="1"/>
  <c r="A246" i="8" s="1"/>
  <c r="A247" i="8" s="1"/>
  <c r="A248" i="8" s="1"/>
  <c r="A249" i="8" s="1"/>
  <c r="A250" i="8" s="1"/>
  <c r="A251" i="8" s="1"/>
  <c r="A252" i="8" s="1"/>
  <c r="A253" i="8" s="1"/>
  <c r="A254" i="8" s="1"/>
  <c r="A255" i="8" s="1"/>
  <c r="A256" i="8" s="1"/>
  <c r="A257" i="8" s="1"/>
  <c r="A258" i="8" s="1"/>
  <c r="A259" i="8" s="1"/>
  <c r="A260" i="8" s="1"/>
  <c r="A261" i="8" s="1"/>
  <c r="A262" i="8" s="1"/>
  <c r="A263" i="8" s="1"/>
  <c r="A264" i="8" s="1"/>
  <c r="A265" i="8" s="1"/>
  <c r="A266" i="8" s="1"/>
  <c r="A267" i="8" s="1"/>
  <c r="A268" i="8" s="1"/>
  <c r="A269" i="8" s="1"/>
  <c r="A270" i="8" s="1"/>
  <c r="A271" i="8" s="1"/>
  <c r="A272" i="8" s="1"/>
  <c r="A273" i="8" s="1"/>
  <c r="A274" i="8" s="1"/>
  <c r="A275" i="8" s="1"/>
  <c r="A276" i="8" s="1"/>
  <c r="A277" i="8" s="1"/>
  <c r="A278" i="8" s="1"/>
  <c r="A279" i="8" s="1"/>
  <c r="A280" i="8" s="1"/>
  <c r="A281" i="8" s="1"/>
  <c r="A282" i="8" s="1"/>
  <c r="A283" i="8" s="1"/>
  <c r="A284" i="8" s="1"/>
  <c r="A285" i="8" s="1"/>
  <c r="A286" i="8" s="1"/>
  <c r="A287" i="8" s="1"/>
  <c r="A288" i="8" s="1"/>
  <c r="A289" i="8" s="1"/>
  <c r="A290" i="8" s="1"/>
  <c r="A291" i="8" s="1"/>
  <c r="A292" i="8" s="1"/>
  <c r="A293" i="8" s="1"/>
  <c r="A294" i="8" s="1"/>
  <c r="A295" i="8" s="1"/>
  <c r="A296" i="8" s="1"/>
  <c r="A297" i="8" s="1"/>
  <c r="A298" i="8" s="1"/>
  <c r="A299" i="8" s="1"/>
  <c r="A300" i="8" s="1"/>
  <c r="A301" i="8" s="1"/>
  <c r="A302" i="8" s="1"/>
  <c r="A303" i="8" s="1"/>
  <c r="A304" i="8" s="1"/>
  <c r="A305" i="8" s="1"/>
  <c r="A306" i="8" s="1"/>
  <c r="A307" i="8" s="1"/>
  <c r="A308" i="8" s="1"/>
  <c r="A309" i="8" s="1"/>
  <c r="A310" i="8" s="1"/>
  <c r="A311" i="8" s="1"/>
  <c r="A312" i="8" s="1"/>
  <c r="A313" i="8" s="1"/>
  <c r="A314" i="8" s="1"/>
  <c r="A315" i="8" s="1"/>
  <c r="A316" i="8" s="1"/>
  <c r="A317" i="8" s="1"/>
  <c r="A318" i="8" s="1"/>
  <c r="A319" i="8" s="1"/>
  <c r="A320" i="8" s="1"/>
  <c r="A321" i="8" s="1"/>
  <c r="A322" i="8" s="1"/>
  <c r="A323" i="8" s="1"/>
  <c r="A324" i="8" s="1"/>
  <c r="A325" i="8" s="1"/>
  <c r="A326" i="8" s="1"/>
  <c r="A327" i="8" s="1"/>
  <c r="A328" i="8" s="1"/>
  <c r="A329" i="8" s="1"/>
  <c r="A330" i="8" s="1"/>
  <c r="A331" i="8" s="1"/>
  <c r="A332" i="8" s="1"/>
  <c r="A333" i="8" s="1"/>
  <c r="A334" i="8" s="1"/>
  <c r="A335" i="8" s="1"/>
  <c r="A336" i="8" s="1"/>
  <c r="A337" i="8" s="1"/>
  <c r="A338" i="8" s="1"/>
  <c r="A339" i="8" s="1"/>
  <c r="A340" i="8" s="1"/>
  <c r="A341" i="8" s="1"/>
  <c r="A342" i="8" s="1"/>
  <c r="A343" i="8" s="1"/>
  <c r="A344" i="8" s="1"/>
  <c r="A345" i="8" s="1"/>
  <c r="A346" i="8" s="1"/>
  <c r="A347" i="8" s="1"/>
  <c r="A348" i="8" s="1"/>
  <c r="A349" i="8" s="1"/>
  <c r="A350" i="8" s="1"/>
  <c r="A351" i="8" s="1"/>
  <c r="A352" i="8" s="1"/>
  <c r="A353" i="8" s="1"/>
  <c r="A354" i="8" s="1"/>
  <c r="A355" i="8" s="1"/>
  <c r="A356" i="8" s="1"/>
  <c r="A357" i="8" s="1"/>
  <c r="A358" i="8" s="1"/>
  <c r="A359" i="8" s="1"/>
  <c r="A360" i="8" s="1"/>
  <c r="A361" i="8" s="1"/>
  <c r="A362" i="8" s="1"/>
  <c r="A363" i="8" s="1"/>
  <c r="A364" i="8" s="1"/>
  <c r="A365" i="8" s="1"/>
  <c r="A366" i="8" s="1"/>
  <c r="A367" i="8" s="1"/>
  <c r="A368" i="8" s="1"/>
  <c r="A369" i="8" s="1"/>
  <c r="A370" i="8" s="1"/>
  <c r="A371" i="8" s="1"/>
  <c r="A372" i="8" s="1"/>
  <c r="A373" i="8" s="1"/>
  <c r="A374" i="8" s="1"/>
  <c r="A375" i="8" s="1"/>
  <c r="A376" i="8" s="1"/>
  <c r="A377" i="8" s="1"/>
  <c r="A378" i="8" s="1"/>
  <c r="A379" i="8" s="1"/>
  <c r="A380" i="8" s="1"/>
  <c r="A381" i="8" s="1"/>
  <c r="A382" i="8" s="1"/>
  <c r="A383" i="8" s="1"/>
  <c r="A384" i="8" s="1"/>
  <c r="A385" i="8" s="1"/>
  <c r="A386" i="8" s="1"/>
  <c r="A387" i="8" s="1"/>
  <c r="A388" i="8" s="1"/>
  <c r="A389" i="8" s="1"/>
  <c r="A390" i="8" s="1"/>
  <c r="A391" i="8" s="1"/>
  <c r="A392" i="8" s="1"/>
  <c r="A393" i="8" s="1"/>
  <c r="A394" i="8" s="1"/>
  <c r="A395" i="8" s="1"/>
  <c r="A396" i="8" s="1"/>
  <c r="A397" i="8" s="1"/>
  <c r="A398" i="8" s="1"/>
  <c r="A399" i="8" s="1"/>
  <c r="A400" i="8" s="1"/>
  <c r="A401" i="8" s="1"/>
  <c r="A402" i="8" s="1"/>
  <c r="A403" i="8" s="1"/>
  <c r="A404" i="8" s="1"/>
  <c r="A405" i="8" s="1"/>
  <c r="A406" i="8" s="1"/>
  <c r="A407" i="8" s="1"/>
  <c r="A408" i="8" s="1"/>
  <c r="A409" i="8" s="1"/>
  <c r="A410" i="8" s="1"/>
  <c r="A411" i="8" s="1"/>
  <c r="A412" i="8" s="1"/>
  <c r="A413" i="8" s="1"/>
  <c r="A414" i="8" s="1"/>
  <c r="A415" i="8" s="1"/>
  <c r="A416" i="8" s="1"/>
  <c r="A417" i="8" s="1"/>
  <c r="A418" i="8" s="1"/>
  <c r="A419" i="8" s="1"/>
  <c r="A420" i="8" s="1"/>
  <c r="A421" i="8" s="1"/>
  <c r="A422" i="8" s="1"/>
  <c r="A423" i="8" s="1"/>
  <c r="A424" i="8" s="1"/>
  <c r="A425" i="8" s="1"/>
  <c r="A426" i="8" s="1"/>
  <c r="A427" i="8" s="1"/>
  <c r="A428" i="8" s="1"/>
  <c r="A429" i="8" s="1"/>
  <c r="A430" i="8" s="1"/>
  <c r="A431" i="8" s="1"/>
  <c r="A432" i="8" s="1"/>
  <c r="A433" i="8" s="1"/>
  <c r="A434" i="8" s="1"/>
  <c r="A435" i="8" s="1"/>
  <c r="A436" i="8" s="1"/>
  <c r="A437" i="8" s="1"/>
  <c r="A438" i="8" s="1"/>
  <c r="A439" i="8" s="1"/>
  <c r="A440" i="8" s="1"/>
  <c r="A441" i="8" s="1"/>
  <c r="A442" i="8" s="1"/>
  <c r="A443" i="8" s="1"/>
  <c r="A444" i="8" s="1"/>
  <c r="A445" i="8" s="1"/>
  <c r="A446" i="8" s="1"/>
  <c r="A447" i="8" s="1"/>
  <c r="A448" i="8" s="1"/>
  <c r="A449" i="8" s="1"/>
  <c r="A450" i="8" s="1"/>
  <c r="A451" i="8" s="1"/>
  <c r="A452" i="8" s="1"/>
  <c r="A453" i="8" s="1"/>
  <c r="A454" i="8" s="1"/>
  <c r="A455" i="8" s="1"/>
  <c r="A456" i="8" s="1"/>
  <c r="A457" i="8" s="1"/>
  <c r="A458" i="8" s="1"/>
  <c r="A459" i="8" s="1"/>
  <c r="A460" i="8" s="1"/>
  <c r="A461" i="8" s="1"/>
  <c r="A462" i="8" s="1"/>
  <c r="A463" i="8" s="1"/>
  <c r="A464" i="8" s="1"/>
  <c r="A465" i="8" s="1"/>
  <c r="A466" i="8" s="1"/>
  <c r="A467" i="8" s="1"/>
  <c r="A468" i="8" s="1"/>
  <c r="A469" i="8" s="1"/>
  <c r="A470" i="8" s="1"/>
  <c r="A471" i="8" s="1"/>
  <c r="A472" i="8" s="1"/>
  <c r="A473" i="8" s="1"/>
  <c r="A474" i="8" s="1"/>
  <c r="A475" i="8" s="1"/>
  <c r="A476" i="8" s="1"/>
  <c r="A477" i="8" s="1"/>
  <c r="A478" i="8" s="1"/>
  <c r="A479" i="8" s="1"/>
  <c r="A480" i="8" s="1"/>
  <c r="A481" i="8" s="1"/>
  <c r="A482" i="8" s="1"/>
  <c r="A483" i="8" s="1"/>
  <c r="A484" i="8" s="1"/>
  <c r="A485" i="8" s="1"/>
  <c r="A486" i="8" s="1"/>
  <c r="A487" i="8" s="1"/>
  <c r="A488" i="8" s="1"/>
  <c r="A489" i="8" s="1"/>
  <c r="A490" i="8" s="1"/>
  <c r="A491" i="8" s="1"/>
  <c r="A492" i="8" s="1"/>
  <c r="A493" i="8" s="1"/>
  <c r="A494" i="8" s="1"/>
  <c r="A495" i="8" s="1"/>
  <c r="A496" i="8" s="1"/>
  <c r="A497" i="8" s="1"/>
  <c r="A498" i="8" s="1"/>
  <c r="A499" i="8" s="1"/>
  <c r="A500" i="8" s="1"/>
  <c r="A501" i="8" s="1"/>
  <c r="A502" i="8" s="1"/>
  <c r="A503" i="8" s="1"/>
  <c r="A504" i="8" s="1"/>
  <c r="A505" i="8" s="1"/>
  <c r="A506" i="8" s="1"/>
  <c r="A507" i="8" s="1"/>
  <c r="A508" i="8" s="1"/>
  <c r="A509" i="8" s="1"/>
  <c r="A510" i="8" s="1"/>
  <c r="A511" i="8" s="1"/>
  <c r="A512" i="8" s="1"/>
  <c r="A513" i="8" s="1"/>
  <c r="A514" i="8" s="1"/>
  <c r="A515" i="8" s="1"/>
  <c r="A516" i="8" s="1"/>
  <c r="A517" i="8" s="1"/>
  <c r="A518" i="8" s="1"/>
  <c r="A519" i="8" s="1"/>
  <c r="A520" i="8" s="1"/>
  <c r="A521" i="8" s="1"/>
  <c r="A522" i="8" s="1"/>
  <c r="A523" i="8" s="1"/>
  <c r="A524" i="8" s="1"/>
  <c r="A525" i="8" s="1"/>
  <c r="A526" i="8" s="1"/>
  <c r="A527" i="8" s="1"/>
  <c r="A528" i="8" s="1"/>
  <c r="A529" i="8" s="1"/>
  <c r="A530" i="8" s="1"/>
  <c r="A531" i="8" s="1"/>
  <c r="A532" i="8" s="1"/>
  <c r="A533" i="8" s="1"/>
  <c r="A534" i="8" s="1"/>
  <c r="A535" i="8" s="1"/>
  <c r="A536" i="8" s="1"/>
  <c r="A537" i="8" s="1"/>
  <c r="A538" i="8" s="1"/>
  <c r="A539" i="8" s="1"/>
  <c r="A540" i="8" s="1"/>
  <c r="A541" i="8" s="1"/>
  <c r="A542" i="8" s="1"/>
  <c r="A543" i="8" s="1"/>
  <c r="A544" i="8" s="1"/>
  <c r="A545" i="8" s="1"/>
  <c r="A546" i="8" s="1"/>
  <c r="A547" i="8" s="1"/>
  <c r="A548" i="8" s="1"/>
  <c r="A549" i="8" s="1"/>
  <c r="A550" i="8" s="1"/>
  <c r="A551" i="8" s="1"/>
  <c r="A552" i="8" s="1"/>
  <c r="A553" i="8" s="1"/>
  <c r="A554" i="8" s="1"/>
  <c r="A555" i="8" s="1"/>
  <c r="A556" i="8" s="1"/>
  <c r="A557" i="8" s="1"/>
  <c r="A558" i="8" s="1"/>
  <c r="A559" i="8" s="1"/>
  <c r="A560" i="8" s="1"/>
  <c r="A561" i="8" s="1"/>
  <c r="A562" i="8" s="1"/>
  <c r="A563" i="8" s="1"/>
  <c r="A564" i="8" s="1"/>
  <c r="A565" i="8" s="1"/>
  <c r="A566" i="8" s="1"/>
  <c r="A567" i="8" s="1"/>
  <c r="A568" i="8" s="1"/>
  <c r="A569" i="8" s="1"/>
  <c r="A570" i="8" s="1"/>
  <c r="A571" i="8" s="1"/>
  <c r="A572" i="8" s="1"/>
  <c r="A573" i="8" s="1"/>
  <c r="A574" i="8" s="1"/>
  <c r="A575" i="8" s="1"/>
  <c r="A576" i="8" s="1"/>
  <c r="A577" i="8" s="1"/>
  <c r="A578" i="8" s="1"/>
  <c r="A579" i="8" s="1"/>
  <c r="A580" i="8" s="1"/>
  <c r="A581" i="8" s="1"/>
  <c r="A582" i="8" s="1"/>
  <c r="A583" i="8" s="1"/>
  <c r="A584" i="8" s="1"/>
  <c r="A585" i="8" s="1"/>
  <c r="A586" i="8" s="1"/>
  <c r="A587" i="8" s="1"/>
  <c r="A588" i="8" s="1"/>
  <c r="A589" i="8" s="1"/>
  <c r="A590" i="8" s="1"/>
  <c r="A591" i="8" s="1"/>
  <c r="A592" i="8" s="1"/>
  <c r="A593" i="8" s="1"/>
  <c r="A594" i="8" s="1"/>
  <c r="A595" i="8" s="1"/>
  <c r="A596" i="8" s="1"/>
  <c r="A597" i="8" s="1"/>
  <c r="A598" i="8" s="1"/>
  <c r="A599" i="8" s="1"/>
  <c r="A600" i="8" s="1"/>
  <c r="A601" i="8" s="1"/>
  <c r="A602" i="8" s="1"/>
  <c r="A603" i="8" s="1"/>
  <c r="A604" i="8" s="1"/>
  <c r="A605" i="8" s="1"/>
  <c r="A606" i="8" s="1"/>
  <c r="A607" i="8" s="1"/>
  <c r="A608" i="8" s="1"/>
  <c r="A609" i="8" s="1"/>
  <c r="A610" i="8" s="1"/>
  <c r="A611" i="8" s="1"/>
  <c r="A612" i="8" s="1"/>
  <c r="A613" i="8" s="1"/>
  <c r="A614" i="8" s="1"/>
  <c r="A615" i="8" s="1"/>
  <c r="A616" i="8" s="1"/>
  <c r="A617" i="8" s="1"/>
  <c r="A618" i="8" s="1"/>
  <c r="A619" i="8" s="1"/>
  <c r="A620" i="8" s="1"/>
  <c r="A621" i="8" s="1"/>
  <c r="A622" i="8" s="1"/>
  <c r="A623" i="8" s="1"/>
  <c r="A624" i="8" s="1"/>
  <c r="A625" i="8" s="1"/>
  <c r="A626" i="8" s="1"/>
  <c r="A627" i="8" s="1"/>
  <c r="A628" i="8" s="1"/>
  <c r="A629" i="8" s="1"/>
  <c r="A630" i="8" s="1"/>
  <c r="A631" i="8" s="1"/>
  <c r="A632" i="8" s="1"/>
  <c r="A633" i="8" s="1"/>
  <c r="A634" i="8" s="1"/>
  <c r="A635" i="8" s="1"/>
  <c r="A636" i="8" s="1"/>
  <c r="A637" i="8" s="1"/>
  <c r="A638" i="8" s="1"/>
  <c r="A639" i="8" s="1"/>
  <c r="A640" i="8" s="1"/>
  <c r="A641" i="8" s="1"/>
  <c r="A642" i="8" s="1"/>
  <c r="A643" i="8" s="1"/>
  <c r="A644" i="8" s="1"/>
  <c r="A645" i="8" s="1"/>
  <c r="A646" i="8" s="1"/>
  <c r="A647" i="8" s="1"/>
  <c r="A648" i="8" s="1"/>
  <c r="A649" i="8" s="1"/>
  <c r="A650" i="8" s="1"/>
  <c r="A651" i="8" s="1"/>
  <c r="A652" i="8" s="1"/>
  <c r="A653" i="8" s="1"/>
  <c r="A654" i="8" s="1"/>
  <c r="A655" i="8" s="1"/>
  <c r="A656" i="8" s="1"/>
  <c r="A657" i="8" s="1"/>
  <c r="A658" i="8" s="1"/>
  <c r="A659" i="8" s="1"/>
  <c r="A660" i="8" s="1"/>
  <c r="A661" i="8" s="1"/>
  <c r="A662" i="8" s="1"/>
  <c r="A663" i="8" s="1"/>
  <c r="A664" i="8" s="1"/>
  <c r="A665" i="8" s="1"/>
  <c r="A666" i="8" s="1"/>
  <c r="A667" i="8" s="1"/>
  <c r="A668" i="8" s="1"/>
  <c r="A669" i="8" s="1"/>
  <c r="A670" i="8" s="1"/>
  <c r="A671" i="8" s="1"/>
  <c r="A672" i="8" s="1"/>
  <c r="A673" i="8" s="1"/>
  <c r="A674" i="8" s="1"/>
  <c r="A675" i="8" s="1"/>
  <c r="A676" i="8" s="1"/>
  <c r="A677" i="8" s="1"/>
  <c r="A678" i="8" s="1"/>
  <c r="A679" i="8" s="1"/>
  <c r="A680" i="8" s="1"/>
  <c r="A681" i="8" s="1"/>
  <c r="A682" i="8" s="1"/>
  <c r="A683" i="8" s="1"/>
  <c r="A684" i="8" s="1"/>
  <c r="A685" i="8" s="1"/>
  <c r="A686" i="8" s="1"/>
  <c r="A687" i="8" s="1"/>
  <c r="A688" i="8" s="1"/>
  <c r="A689" i="8" s="1"/>
  <c r="A690" i="8" s="1"/>
  <c r="A691" i="8" s="1"/>
  <c r="A692" i="8" s="1"/>
  <c r="A693" i="8" s="1"/>
  <c r="A694" i="8" s="1"/>
  <c r="A695" i="8" s="1"/>
  <c r="A696" i="8" s="1"/>
  <c r="A697" i="8" s="1"/>
  <c r="A698" i="8" s="1"/>
  <c r="A699" i="8" s="1"/>
  <c r="A700" i="8" s="1"/>
  <c r="A701" i="8" s="1"/>
  <c r="A702" i="8" s="1"/>
  <c r="A703" i="8" s="1"/>
  <c r="A704" i="8" s="1"/>
  <c r="A705" i="8" s="1"/>
  <c r="A706" i="8" s="1"/>
  <c r="A707" i="8" s="1"/>
  <c r="A708" i="8" s="1"/>
  <c r="A709" i="8" s="1"/>
  <c r="A710" i="8" s="1"/>
  <c r="A711" i="8" s="1"/>
  <c r="A712" i="8" s="1"/>
  <c r="A713" i="8" s="1"/>
  <c r="A714" i="8" s="1"/>
  <c r="A715" i="8" s="1"/>
  <c r="A716" i="8" s="1"/>
  <c r="A717" i="8" s="1"/>
  <c r="A718" i="8" s="1"/>
  <c r="A719" i="8" s="1"/>
  <c r="A720" i="8" s="1"/>
  <c r="A721" i="8" s="1"/>
  <c r="A722" i="8" s="1"/>
  <c r="A723" i="8" s="1"/>
  <c r="A724" i="8" s="1"/>
  <c r="A725" i="8" s="1"/>
  <c r="A726" i="8" s="1"/>
  <c r="A727" i="8" s="1"/>
  <c r="A728" i="8" s="1"/>
  <c r="A729" i="8" s="1"/>
  <c r="A730" i="8" s="1"/>
  <c r="A731" i="8" s="1"/>
  <c r="A732" i="8" s="1"/>
  <c r="A733" i="8" s="1"/>
  <c r="A734" i="8" s="1"/>
  <c r="A735" i="8" s="1"/>
  <c r="A736" i="8" s="1"/>
  <c r="A737" i="8" s="1"/>
  <c r="A738" i="8" s="1"/>
  <c r="A739" i="8" s="1"/>
  <c r="A740" i="8" s="1"/>
  <c r="A741" i="8" s="1"/>
  <c r="A742" i="8" s="1"/>
  <c r="A743" i="8" s="1"/>
  <c r="A744" i="8" s="1"/>
  <c r="A745" i="8" s="1"/>
  <c r="A746" i="8" s="1"/>
  <c r="A747" i="8" s="1"/>
  <c r="A748" i="8" s="1"/>
  <c r="A749" i="8" s="1"/>
  <c r="A750" i="8" s="1"/>
  <c r="A751" i="8" s="1"/>
  <c r="A752" i="8" s="1"/>
  <c r="A753" i="8" s="1"/>
  <c r="A754" i="8" s="1"/>
  <c r="A755" i="8" s="1"/>
  <c r="A756" i="8" s="1"/>
  <c r="A757" i="8" s="1"/>
  <c r="A758" i="8" s="1"/>
  <c r="A759" i="8" s="1"/>
  <c r="A760" i="8" s="1"/>
  <c r="A761" i="8" s="1"/>
  <c r="A762" i="8" s="1"/>
  <c r="A763" i="8" s="1"/>
  <c r="A764" i="8" s="1"/>
  <c r="A765" i="8" s="1"/>
  <c r="A766" i="8" s="1"/>
  <c r="A767" i="8" s="1"/>
  <c r="A768" i="8" s="1"/>
  <c r="A769" i="8" s="1"/>
  <c r="A770" i="8" s="1"/>
  <c r="A771" i="8" s="1"/>
  <c r="A772" i="8" s="1"/>
  <c r="A773" i="8" s="1"/>
  <c r="A774" i="8" s="1"/>
  <c r="A775" i="8" s="1"/>
  <c r="A776" i="8" s="1"/>
  <c r="A777" i="8" s="1"/>
  <c r="A778" i="8" s="1"/>
  <c r="A779" i="8" s="1"/>
  <c r="A780" i="8" s="1"/>
  <c r="A781" i="8" s="1"/>
  <c r="A782" i="8" s="1"/>
  <c r="A783" i="8" s="1"/>
  <c r="A784" i="8" s="1"/>
  <c r="A785" i="8" s="1"/>
  <c r="A786" i="8" s="1"/>
  <c r="A787" i="8" s="1"/>
  <c r="A788" i="8" s="1"/>
  <c r="A789" i="8" s="1"/>
  <c r="A790" i="8" s="1"/>
  <c r="A791" i="8" s="1"/>
  <c r="A792" i="8" s="1"/>
  <c r="A793" i="8" s="1"/>
  <c r="A794" i="8" s="1"/>
  <c r="A795" i="8" s="1"/>
  <c r="A796" i="8" s="1"/>
  <c r="A797" i="8" s="1"/>
  <c r="A798" i="8" s="1"/>
  <c r="A799" i="8" s="1"/>
  <c r="A800" i="8" s="1"/>
  <c r="A801" i="8" s="1"/>
  <c r="A802" i="8" s="1"/>
  <c r="A803" i="8" s="1"/>
  <c r="A804" i="8" s="1"/>
  <c r="A805" i="8" s="1"/>
  <c r="A806" i="8" s="1"/>
  <c r="A807" i="8" s="1"/>
  <c r="A808" i="8" s="1"/>
  <c r="A809" i="8" s="1"/>
  <c r="A810" i="8" s="1"/>
  <c r="A811" i="8" s="1"/>
  <c r="A812" i="8" s="1"/>
  <c r="A813" i="8" s="1"/>
  <c r="A814" i="8" s="1"/>
  <c r="A815" i="8" s="1"/>
  <c r="A816" i="8" s="1"/>
  <c r="A817" i="8" s="1"/>
  <c r="A818" i="8" s="1"/>
  <c r="A819" i="8" s="1"/>
  <c r="A820" i="8" s="1"/>
  <c r="A821" i="8" s="1"/>
  <c r="A822" i="8" s="1"/>
  <c r="A823" i="8" s="1"/>
  <c r="A824" i="8" s="1"/>
  <c r="A825" i="8" s="1"/>
  <c r="A826" i="8" s="1"/>
  <c r="A827" i="8" s="1"/>
  <c r="A828" i="8" s="1"/>
  <c r="A829" i="8" s="1"/>
  <c r="A830" i="8" s="1"/>
  <c r="A831" i="8" s="1"/>
  <c r="A832" i="8" s="1"/>
  <c r="A833" i="8" s="1"/>
  <c r="A834" i="8" s="1"/>
  <c r="A835" i="8" s="1"/>
  <c r="A836" i="8" s="1"/>
  <c r="A837" i="8" s="1"/>
  <c r="A838" i="8" s="1"/>
  <c r="A839" i="8" s="1"/>
  <c r="A840" i="8" s="1"/>
  <c r="A841" i="8" s="1"/>
  <c r="A842" i="8" s="1"/>
  <c r="A843" i="8" s="1"/>
  <c r="A844" i="8" s="1"/>
  <c r="A845" i="8" s="1"/>
  <c r="A846" i="8" s="1"/>
  <c r="A847" i="8" s="1"/>
  <c r="A848" i="8" s="1"/>
  <c r="A849" i="8" s="1"/>
  <c r="A850" i="8" s="1"/>
  <c r="A851" i="8" s="1"/>
  <c r="A852" i="8" s="1"/>
  <c r="A853" i="8" s="1"/>
  <c r="A854" i="8" s="1"/>
  <c r="A855" i="8" s="1"/>
  <c r="A856" i="8" s="1"/>
  <c r="A857" i="8" s="1"/>
  <c r="A858" i="8" s="1"/>
  <c r="A859" i="8" s="1"/>
  <c r="A860" i="8" s="1"/>
  <c r="A861" i="8" s="1"/>
  <c r="A862" i="8" s="1"/>
  <c r="A863" i="8" s="1"/>
  <c r="A864" i="8" s="1"/>
  <c r="A865" i="8" s="1"/>
  <c r="A866" i="8" s="1"/>
  <c r="A867" i="8" s="1"/>
  <c r="A868" i="8" s="1"/>
  <c r="A869" i="8" s="1"/>
  <c r="A870" i="8" s="1"/>
  <c r="A871" i="8" s="1"/>
  <c r="A872" i="8" s="1"/>
  <c r="A873" i="8" s="1"/>
  <c r="A874" i="8" s="1"/>
  <c r="A875" i="8" s="1"/>
  <c r="A876" i="8" s="1"/>
  <c r="A877" i="8" s="1"/>
  <c r="A878" i="8" s="1"/>
  <c r="A879" i="8" s="1"/>
  <c r="A880" i="8" s="1"/>
  <c r="A881" i="8" s="1"/>
  <c r="A882" i="8" s="1"/>
  <c r="A883" i="8" s="1"/>
  <c r="A884" i="8" s="1"/>
  <c r="A885" i="8" s="1"/>
  <c r="A886" i="8" s="1"/>
  <c r="A887" i="8" s="1"/>
  <c r="A888" i="8" s="1"/>
  <c r="A889" i="8" s="1"/>
  <c r="A890" i="8" s="1"/>
  <c r="A891" i="8" s="1"/>
  <c r="A892" i="8" s="1"/>
  <c r="A893" i="8" s="1"/>
  <c r="A894" i="8" s="1"/>
  <c r="A895" i="8" s="1"/>
  <c r="A896" i="8" s="1"/>
  <c r="A897" i="8" s="1"/>
  <c r="A898" i="8" s="1"/>
  <c r="A899" i="8" s="1"/>
  <c r="A900" i="8" s="1"/>
  <c r="A901" i="8" s="1"/>
  <c r="A902" i="8" s="1"/>
  <c r="A903" i="8" s="1"/>
  <c r="A904" i="8" s="1"/>
  <c r="A905" i="8" s="1"/>
  <c r="A906" i="8" s="1"/>
  <c r="A907" i="8" s="1"/>
  <c r="A908" i="8" s="1"/>
  <c r="A909" i="8" s="1"/>
  <c r="A910" i="8" s="1"/>
  <c r="A911" i="8" s="1"/>
  <c r="A912" i="8" s="1"/>
  <c r="A913" i="8" s="1"/>
  <c r="A914" i="8" s="1"/>
  <c r="A915" i="8" s="1"/>
  <c r="A916" i="8" s="1"/>
  <c r="A917" i="8" s="1"/>
  <c r="A918" i="8" s="1"/>
  <c r="A919" i="8" s="1"/>
  <c r="A920" i="8" s="1"/>
  <c r="A921" i="8" s="1"/>
  <c r="A922" i="8" s="1"/>
  <c r="A923" i="8" s="1"/>
  <c r="A924" i="8" s="1"/>
  <c r="A925" i="8" s="1"/>
  <c r="A926" i="8" s="1"/>
  <c r="A927" i="8" s="1"/>
  <c r="A928" i="8" s="1"/>
  <c r="A929" i="8" s="1"/>
  <c r="A930" i="8" s="1"/>
  <c r="A931" i="8" s="1"/>
  <c r="A932" i="8" s="1"/>
  <c r="A933" i="8" s="1"/>
  <c r="A934" i="8" s="1"/>
  <c r="A935" i="8" s="1"/>
  <c r="A936" i="8" s="1"/>
  <c r="A937" i="8" s="1"/>
  <c r="A938" i="8" s="1"/>
  <c r="A939" i="8" s="1"/>
  <c r="A940" i="8" s="1"/>
  <c r="A941" i="8" s="1"/>
  <c r="A942" i="8" s="1"/>
  <c r="A943" i="8" s="1"/>
  <c r="A944" i="8" s="1"/>
  <c r="A945" i="8" s="1"/>
  <c r="A946" i="8" s="1"/>
  <c r="A947" i="8" s="1"/>
  <c r="A948" i="8" s="1"/>
  <c r="A949" i="8" s="1"/>
  <c r="A950" i="8" s="1"/>
  <c r="A951" i="8" s="1"/>
  <c r="A952" i="8" s="1"/>
  <c r="A953" i="8" s="1"/>
  <c r="A954" i="8" s="1"/>
  <c r="A955" i="8" s="1"/>
  <c r="A956" i="8" s="1"/>
  <c r="A957" i="8" s="1"/>
  <c r="A958" i="8" s="1"/>
  <c r="A959" i="8" s="1"/>
  <c r="A960" i="8" s="1"/>
  <c r="A961" i="8" s="1"/>
  <c r="A962" i="8" s="1"/>
  <c r="A963" i="8" s="1"/>
  <c r="A964" i="8" s="1"/>
  <c r="A965" i="8" s="1"/>
  <c r="A966" i="8" s="1"/>
  <c r="A967" i="8" s="1"/>
  <c r="A968" i="8" s="1"/>
  <c r="A969" i="8" s="1"/>
  <c r="A970" i="8" s="1"/>
  <c r="A971" i="8" s="1"/>
  <c r="A972" i="8" s="1"/>
  <c r="A973" i="8" s="1"/>
  <c r="A974" i="8" s="1"/>
  <c r="A975" i="8" s="1"/>
  <c r="A976" i="8" s="1"/>
  <c r="A977" i="8" s="1"/>
  <c r="A978" i="8" s="1"/>
  <c r="A979" i="8" s="1"/>
  <c r="A980" i="8" s="1"/>
  <c r="A981" i="8" s="1"/>
  <c r="A982" i="8" s="1"/>
  <c r="A983" i="8" s="1"/>
  <c r="A984" i="8" s="1"/>
  <c r="A985" i="8" s="1"/>
  <c r="A986" i="8" s="1"/>
  <c r="A987" i="8" s="1"/>
  <c r="A988" i="8" s="1"/>
  <c r="A989" i="8" s="1"/>
  <c r="A990" i="8" s="1"/>
  <c r="A991" i="8" s="1"/>
  <c r="A992" i="8" s="1"/>
  <c r="A993" i="8" s="1"/>
  <c r="A994" i="8" s="1"/>
  <c r="A995" i="8" s="1"/>
  <c r="A996" i="8" s="1"/>
  <c r="A997" i="8" s="1"/>
  <c r="A998" i="8" s="1"/>
  <c r="A999" i="8" s="1"/>
  <c r="A1000" i="8" s="1"/>
  <c r="A1001" i="8" s="1"/>
  <c r="A1002" i="8" s="1"/>
  <c r="A1003" i="8" s="1"/>
  <c r="A1004" i="8" s="1"/>
  <c r="A1005" i="8" s="1"/>
  <c r="A1006" i="8" s="1"/>
  <c r="A1007" i="8" s="1"/>
  <c r="A1008" i="8" s="1"/>
  <c r="A1009" i="8" s="1"/>
  <c r="A1010" i="8" s="1"/>
  <c r="AI107" i="2"/>
  <c r="AO137" i="2"/>
  <c r="AF30" i="2"/>
  <c r="AG30" i="2" s="1"/>
  <c r="AH30" i="2" s="1"/>
  <c r="AC28" i="2"/>
  <c r="AD28" i="2" s="1"/>
  <c r="AE28" i="2" s="1"/>
  <c r="AF28" i="2" s="1"/>
  <c r="AG28" i="2" s="1"/>
  <c r="AH28" i="2" s="1"/>
  <c r="AC30" i="2"/>
  <c r="AD30" i="2" s="1"/>
  <c r="AI121" i="2"/>
  <c r="AC91" i="2"/>
  <c r="AA108" i="2"/>
  <c r="AB108" i="2"/>
  <c r="AB125" i="2" s="1"/>
  <c r="Z108" i="2"/>
  <c r="E4" i="8" l="1"/>
  <c r="AA37" i="2"/>
  <c r="AA34" i="2"/>
  <c r="C2" i="4"/>
  <c r="C6" i="4" s="1"/>
  <c r="C7" i="4" s="1"/>
  <c r="F27" i="8"/>
  <c r="F28" i="8" s="1"/>
  <c r="F30" i="8"/>
  <c r="C6" i="8"/>
  <c r="E6" i="8" s="1"/>
  <c r="E17" i="8"/>
  <c r="F31" i="8"/>
  <c r="E19" i="8"/>
  <c r="E15" i="8"/>
  <c r="AA107" i="2"/>
  <c r="AB107" i="2"/>
  <c r="Z107" i="2"/>
  <c r="AA121" i="2"/>
  <c r="AB121" i="2"/>
  <c r="AC121" i="2"/>
  <c r="AD121" i="2"/>
  <c r="AE121" i="2"/>
  <c r="AF121" i="2"/>
  <c r="AG121" i="2"/>
  <c r="AH121" i="2"/>
  <c r="Z121" i="2"/>
  <c r="AA115" i="2"/>
  <c r="AB115" i="2"/>
  <c r="AC115" i="2"/>
  <c r="Z115" i="2"/>
  <c r="E8" i="8" l="1"/>
  <c r="B10" i="8" s="1"/>
  <c r="AC29" i="2"/>
  <c r="C28" i="4"/>
  <c r="AB109" i="2"/>
  <c r="F32" i="8"/>
  <c r="AB88" i="2"/>
  <c r="AA88" i="2"/>
  <c r="AA93" i="2" s="1"/>
  <c r="AB86" i="2"/>
  <c r="AA77" i="2"/>
  <c r="AC103" i="2"/>
  <c r="AC27" i="2" l="1"/>
  <c r="AD29" i="2"/>
  <c r="F34" i="8"/>
  <c r="F35" i="8" s="1"/>
  <c r="AA86" i="2"/>
  <c r="AA94" i="2" s="1"/>
  <c r="AA76" i="2"/>
  <c r="AB93" i="2"/>
  <c r="AB76" i="2"/>
  <c r="AB123" i="2"/>
  <c r="Z123" i="2"/>
  <c r="Z125" i="2"/>
  <c r="AA123" i="2"/>
  <c r="AA125" i="2"/>
  <c r="AB94" i="2"/>
  <c r="AB95" i="2" s="1"/>
  <c r="AA95" i="2"/>
  <c r="Y45" i="2"/>
  <c r="Z45" i="2" s="1"/>
  <c r="V45" i="2"/>
  <c r="P34" i="2"/>
  <c r="Q2" i="2"/>
  <c r="R2" i="2" s="1"/>
  <c r="S2" i="2" s="1"/>
  <c r="T2" i="2" s="1"/>
  <c r="U2" i="2" s="1"/>
  <c r="V2" i="2" s="1"/>
  <c r="K6" i="1"/>
  <c r="K5" i="1"/>
  <c r="AC58" i="2"/>
  <c r="AC59" i="2"/>
  <c r="AD59" i="2" s="1"/>
  <c r="AE59" i="2" s="1"/>
  <c r="AF59" i="2" s="1"/>
  <c r="AG59" i="2" s="1"/>
  <c r="AH59" i="2" s="1"/>
  <c r="X71" i="2"/>
  <c r="Y71" i="2"/>
  <c r="Z71" i="2"/>
  <c r="W60" i="2"/>
  <c r="W61" i="2" s="1"/>
  <c r="W63" i="2" s="1"/>
  <c r="W65" i="2" s="1"/>
  <c r="W67" i="2" s="1"/>
  <c r="X60" i="2"/>
  <c r="X61" i="2" s="1"/>
  <c r="X63" i="2" s="1"/>
  <c r="X65" i="2" s="1"/>
  <c r="X67" i="2" s="1"/>
  <c r="Y60" i="2"/>
  <c r="Y61" i="2" s="1"/>
  <c r="Y63" i="2" s="1"/>
  <c r="Y65" i="2" s="1"/>
  <c r="Y67" i="2" s="1"/>
  <c r="W55" i="2"/>
  <c r="X55" i="2"/>
  <c r="Y55" i="2"/>
  <c r="W51" i="2"/>
  <c r="X51" i="2"/>
  <c r="Y51" i="2"/>
  <c r="I59" i="2"/>
  <c r="J59" i="2" s="1"/>
  <c r="I58" i="2"/>
  <c r="J58" i="2" s="1"/>
  <c r="I57" i="2"/>
  <c r="J57" i="2" s="1"/>
  <c r="I66" i="2"/>
  <c r="J66" i="2" s="1"/>
  <c r="D60" i="2"/>
  <c r="E60" i="2"/>
  <c r="F60" i="2"/>
  <c r="G60" i="2"/>
  <c r="H60" i="2"/>
  <c r="C60" i="2"/>
  <c r="H78" i="2"/>
  <c r="H77" i="2"/>
  <c r="C76" i="2"/>
  <c r="D76" i="2"/>
  <c r="E76" i="2"/>
  <c r="F76" i="2"/>
  <c r="E55" i="2"/>
  <c r="F55" i="2"/>
  <c r="G55" i="2"/>
  <c r="G56" i="2" s="1"/>
  <c r="G73" i="2" s="1"/>
  <c r="H55" i="2"/>
  <c r="C55" i="2"/>
  <c r="D55" i="2"/>
  <c r="H51" i="2"/>
  <c r="H70" i="2" s="1"/>
  <c r="F51" i="2"/>
  <c r="E51" i="2"/>
  <c r="C51" i="2"/>
  <c r="G69" i="2" s="1"/>
  <c r="D51" i="2"/>
  <c r="AA51" i="2"/>
  <c r="AB51" i="2" s="1"/>
  <c r="AB71" i="2"/>
  <c r="AA71" i="2"/>
  <c r="AB62" i="2"/>
  <c r="AA62" i="2"/>
  <c r="Z62" i="2"/>
  <c r="AA60" i="2"/>
  <c r="AB60" i="2"/>
  <c r="Z60" i="2"/>
  <c r="AA55" i="2"/>
  <c r="AB98" i="2" s="1"/>
  <c r="AB55" i="2"/>
  <c r="Z55" i="2"/>
  <c r="AA98" i="2" s="1"/>
  <c r="Z51" i="2"/>
  <c r="G78" i="2"/>
  <c r="G77" i="2"/>
  <c r="Y2" i="2"/>
  <c r="Z2" i="2" s="1"/>
  <c r="AA2" i="2" s="1"/>
  <c r="AB2" i="2" s="1"/>
  <c r="AC2" i="2" s="1"/>
  <c r="AD2" i="2" s="1"/>
  <c r="AE2" i="2" s="1"/>
  <c r="AF2" i="2" s="1"/>
  <c r="AG2" i="2" s="1"/>
  <c r="AH2" i="2" s="1"/>
  <c r="K4" i="1"/>
  <c r="AD27" i="2" l="1"/>
  <c r="AC36" i="2"/>
  <c r="AC90" i="2"/>
  <c r="AD58" i="2"/>
  <c r="AD90" i="2" s="1"/>
  <c r="AC35" i="2"/>
  <c r="Y69" i="2"/>
  <c r="X69" i="2"/>
  <c r="Z69" i="2"/>
  <c r="K7" i="1"/>
  <c r="F70" i="2"/>
  <c r="C56" i="2"/>
  <c r="C73" i="2" s="1"/>
  <c r="G70" i="2"/>
  <c r="J51" i="2"/>
  <c r="J69" i="2" s="1"/>
  <c r="H69" i="2"/>
  <c r="H76" i="2"/>
  <c r="I62" i="2" s="1"/>
  <c r="I60" i="2"/>
  <c r="J60" i="2"/>
  <c r="I70" i="2"/>
  <c r="I55" i="2"/>
  <c r="I56" i="2" s="1"/>
  <c r="G61" i="2"/>
  <c r="E70" i="2"/>
  <c r="H56" i="2"/>
  <c r="F56" i="2"/>
  <c r="D70" i="2"/>
  <c r="E56" i="2"/>
  <c r="D56" i="2"/>
  <c r="I69" i="2"/>
  <c r="AC71" i="2"/>
  <c r="AB97" i="2"/>
  <c r="AA97" i="2"/>
  <c r="Z56" i="2"/>
  <c r="Z73" i="2" s="1"/>
  <c r="G76" i="2"/>
  <c r="AB69" i="2"/>
  <c r="AA69" i="2"/>
  <c r="AC69" i="2"/>
  <c r="AC55" i="2"/>
  <c r="AB56" i="2"/>
  <c r="AB73" i="2" s="1"/>
  <c r="AA56" i="2"/>
  <c r="AA73" i="2" s="1"/>
  <c r="AD36" i="2" l="1"/>
  <c r="AE27" i="2"/>
  <c r="AD35" i="2"/>
  <c r="AE29" i="2"/>
  <c r="AF29" i="2" s="1"/>
  <c r="AG29" i="2" s="1"/>
  <c r="AH29" i="2" s="1"/>
  <c r="AI29" i="2" s="1"/>
  <c r="AE58" i="2"/>
  <c r="AC56" i="2"/>
  <c r="AC89" i="2"/>
  <c r="AD25" i="2"/>
  <c r="J70" i="2"/>
  <c r="C61" i="2"/>
  <c r="C63" i="2" s="1"/>
  <c r="C65" i="2" s="1"/>
  <c r="C67" i="2" s="1"/>
  <c r="I61" i="2"/>
  <c r="I63" i="2" s="1"/>
  <c r="I64" i="2" s="1"/>
  <c r="I65" i="2" s="1"/>
  <c r="I76" i="2" s="1"/>
  <c r="J55" i="2"/>
  <c r="J56" i="2" s="1"/>
  <c r="J61" i="2" s="1"/>
  <c r="J74" i="2" s="1"/>
  <c r="E73" i="2"/>
  <c r="E61" i="2"/>
  <c r="D73" i="2"/>
  <c r="D61" i="2"/>
  <c r="F73" i="2"/>
  <c r="F61" i="2"/>
  <c r="G74" i="2"/>
  <c r="G63" i="2"/>
  <c r="G65" i="2" s="1"/>
  <c r="G67" i="2" s="1"/>
  <c r="K8" i="1" s="1"/>
  <c r="H73" i="2"/>
  <c r="H61" i="2"/>
  <c r="Z61" i="2"/>
  <c r="Z63" i="2" s="1"/>
  <c r="AC57" i="2"/>
  <c r="AC60" i="2" s="1"/>
  <c r="AC105" i="2"/>
  <c r="AC104" i="2"/>
  <c r="AC102" i="2"/>
  <c r="AC106" i="2"/>
  <c r="AA61" i="2"/>
  <c r="AB61" i="2"/>
  <c r="AD34" i="2" l="1"/>
  <c r="AD51" i="2" s="1"/>
  <c r="AD102" i="2" s="1"/>
  <c r="AF27" i="2"/>
  <c r="AE36" i="2"/>
  <c r="AE10" i="2"/>
  <c r="AC98" i="2"/>
  <c r="AC107" i="2"/>
  <c r="AC109" i="2" s="1"/>
  <c r="AE90" i="2"/>
  <c r="AF58" i="2"/>
  <c r="C74" i="2"/>
  <c r="AE35" i="2"/>
  <c r="AE25" i="2"/>
  <c r="I74" i="2"/>
  <c r="H74" i="2"/>
  <c r="H63" i="2"/>
  <c r="H65" i="2" s="1"/>
  <c r="H67" i="2" s="1"/>
  <c r="F63" i="2"/>
  <c r="F65" i="2" s="1"/>
  <c r="F67" i="2" s="1"/>
  <c r="F74" i="2"/>
  <c r="D63" i="2"/>
  <c r="D65" i="2" s="1"/>
  <c r="D67" i="2" s="1"/>
  <c r="D74" i="2"/>
  <c r="E63" i="2"/>
  <c r="E65" i="2" s="1"/>
  <c r="E67" i="2" s="1"/>
  <c r="E74" i="2"/>
  <c r="I67" i="2"/>
  <c r="J62" i="2"/>
  <c r="Z74" i="2"/>
  <c r="AA63" i="2"/>
  <c r="AA65" i="2" s="1"/>
  <c r="AA74" i="2"/>
  <c r="Z65" i="2"/>
  <c r="AB63" i="2"/>
  <c r="AB74" i="2"/>
  <c r="AD26" i="2" l="1"/>
  <c r="AG27" i="2"/>
  <c r="AF36" i="2"/>
  <c r="AH35" i="2"/>
  <c r="E12" i="8" s="1"/>
  <c r="AD69" i="2"/>
  <c r="AD55" i="2"/>
  <c r="AD56" i="2" s="1"/>
  <c r="AG58" i="2"/>
  <c r="AF90" i="2"/>
  <c r="AD111" i="2"/>
  <c r="AD115" i="2" s="1"/>
  <c r="AD91" i="2"/>
  <c r="AF35" i="2"/>
  <c r="AF34" i="2" s="1"/>
  <c r="AF51" i="2" s="1"/>
  <c r="AF25" i="2"/>
  <c r="AE34" i="2"/>
  <c r="AE51" i="2" s="1"/>
  <c r="J63" i="2"/>
  <c r="J64" i="2" s="1"/>
  <c r="J65" i="2" s="1"/>
  <c r="AC62" i="2"/>
  <c r="AB65" i="2"/>
  <c r="AB67" i="2" s="1"/>
  <c r="Z67" i="2"/>
  <c r="Z100" i="2"/>
  <c r="AA67" i="2"/>
  <c r="AA100" i="2"/>
  <c r="AH27" i="2" l="1"/>
  <c r="AH36" i="2" s="1"/>
  <c r="AG36" i="2"/>
  <c r="AD89" i="2"/>
  <c r="AD98" i="2" s="1"/>
  <c r="AD60" i="2"/>
  <c r="AD61" i="2" s="1"/>
  <c r="AD74" i="2" s="1"/>
  <c r="AH58" i="2"/>
  <c r="AH90" i="2" s="1"/>
  <c r="AG90" i="2"/>
  <c r="AG35" i="2"/>
  <c r="AG25" i="2"/>
  <c r="AF102" i="2"/>
  <c r="AF26" i="2"/>
  <c r="AE102" i="2"/>
  <c r="AE26" i="2"/>
  <c r="AB100" i="2"/>
  <c r="J67" i="2"/>
  <c r="J76" i="2"/>
  <c r="AC76" i="2" s="1"/>
  <c r="AG34" i="2" l="1"/>
  <c r="AG51" i="2" s="1"/>
  <c r="AD107" i="2"/>
  <c r="AD109" i="2" s="1"/>
  <c r="AF55" i="2"/>
  <c r="AF56" i="2" s="1"/>
  <c r="AF60" i="2" s="1"/>
  <c r="AF69" i="2"/>
  <c r="AE91" i="2"/>
  <c r="AF111" i="2"/>
  <c r="AF115" i="2" s="1"/>
  <c r="AF91" i="2"/>
  <c r="AH34" i="2"/>
  <c r="AH51" i="2" s="1"/>
  <c r="AH25" i="2"/>
  <c r="AG69" i="2"/>
  <c r="AE69" i="2"/>
  <c r="AE111" i="2"/>
  <c r="AE115" i="2" s="1"/>
  <c r="AE55" i="2"/>
  <c r="AD62" i="2"/>
  <c r="AD63" i="2" s="1"/>
  <c r="AD64" i="2" s="1"/>
  <c r="AG26" i="2" l="1"/>
  <c r="AF89" i="2"/>
  <c r="AF107" i="2" s="1"/>
  <c r="AG55" i="2"/>
  <c r="AG111" i="2"/>
  <c r="AG115" i="2" s="1"/>
  <c r="AG91" i="2"/>
  <c r="AG102" i="2"/>
  <c r="AE56" i="2"/>
  <c r="AE60" i="2" s="1"/>
  <c r="AE61" i="2" s="1"/>
  <c r="AE74" i="2" s="1"/>
  <c r="AE89" i="2"/>
  <c r="AE98" i="2" s="1"/>
  <c r="AG56" i="2"/>
  <c r="AG60" i="2" s="1"/>
  <c r="AG89" i="2"/>
  <c r="AG98" i="2" s="1"/>
  <c r="AH26" i="2"/>
  <c r="AD65" i="2"/>
  <c r="AD100" i="2" s="1"/>
  <c r="AD108" i="2" s="1"/>
  <c r="AD125" i="2" s="1"/>
  <c r="AF61" i="2"/>
  <c r="AF74" i="2" s="1"/>
  <c r="AF98" i="2" l="1"/>
  <c r="AE107" i="2"/>
  <c r="AE109" i="2" s="1"/>
  <c r="AG61" i="2"/>
  <c r="AG74" i="2" s="1"/>
  <c r="AG107" i="2"/>
  <c r="AG109" i="2" s="1"/>
  <c r="AH91" i="2"/>
  <c r="AI51" i="2"/>
  <c r="AI102" i="2" s="1"/>
  <c r="AI111" i="2" s="1"/>
  <c r="AI115" i="2" s="1"/>
  <c r="AH102" i="2"/>
  <c r="AH111" i="2"/>
  <c r="AH55" i="2"/>
  <c r="AH69" i="2"/>
  <c r="AD76" i="2"/>
  <c r="AE62" i="2" s="1"/>
  <c r="AE63" i="2" s="1"/>
  <c r="AE64" i="2" s="1"/>
  <c r="AD67" i="2"/>
  <c r="AF109" i="2" l="1"/>
  <c r="AH115" i="2"/>
  <c r="AH56" i="2"/>
  <c r="AH89" i="2"/>
  <c r="AD123" i="2"/>
  <c r="AE65" i="2"/>
  <c r="AE100" i="2" s="1"/>
  <c r="AE108" i="2" s="1"/>
  <c r="AE125" i="2" s="1"/>
  <c r="AE123" i="2" l="1"/>
  <c r="AH98" i="2"/>
  <c r="AH107" i="2"/>
  <c r="AH109" i="2" s="1"/>
  <c r="AH60" i="2"/>
  <c r="AH61" i="2" s="1"/>
  <c r="AE76" i="2"/>
  <c r="AF62" i="2" s="1"/>
  <c r="AF63" i="2" s="1"/>
  <c r="AF64" i="2" s="1"/>
  <c r="AE67" i="2"/>
  <c r="AH74" i="2" l="1"/>
  <c r="AI61" i="2"/>
  <c r="AI63" i="2" s="1"/>
  <c r="AI64" i="2" s="1"/>
  <c r="AI65" i="2" s="1"/>
  <c r="AI100" i="2" s="1"/>
  <c r="AI108" i="2" s="1"/>
  <c r="AF65" i="2"/>
  <c r="AI125" i="2" l="1"/>
  <c r="AJ125" i="2" s="1"/>
  <c r="AI123" i="2"/>
  <c r="AF100" i="2"/>
  <c r="AF108" i="2" s="1"/>
  <c r="AF125" i="2" s="1"/>
  <c r="AF76" i="2"/>
  <c r="AG62" i="2" s="1"/>
  <c r="AG63" i="2" s="1"/>
  <c r="AG64" i="2" s="1"/>
  <c r="AF67" i="2"/>
  <c r="AG65" i="2" l="1"/>
  <c r="AF123" i="2" l="1"/>
  <c r="AG100" i="2"/>
  <c r="AG108" i="2" s="1"/>
  <c r="AG125" i="2" s="1"/>
  <c r="AG67" i="2"/>
  <c r="AG76" i="2"/>
  <c r="AH62" i="2" l="1"/>
  <c r="AH63" i="2" s="1"/>
  <c r="AH64" i="2" s="1"/>
  <c r="AG123" i="2" l="1"/>
  <c r="AH65" i="2"/>
  <c r="AH100" i="2" l="1"/>
  <c r="AH108" i="2" s="1"/>
  <c r="AH125" i="2" s="1"/>
  <c r="AH67" i="2"/>
  <c r="AH76" i="2"/>
  <c r="AK125" i="2" l="1"/>
  <c r="AL125" i="2" s="1"/>
  <c r="AM125" i="2" s="1"/>
  <c r="AN125" i="2" s="1"/>
  <c r="AO125" i="2" s="1"/>
  <c r="AP125" i="2" s="1"/>
  <c r="AQ125" i="2" s="1"/>
  <c r="AR125" i="2" s="1"/>
  <c r="AS125" i="2" s="1"/>
  <c r="AT125" i="2" s="1"/>
  <c r="AU125" i="2" s="1"/>
  <c r="AV125" i="2" s="1"/>
  <c r="AW125" i="2" s="1"/>
  <c r="AX125" i="2" s="1"/>
  <c r="AY125" i="2" s="1"/>
  <c r="AZ125" i="2" s="1"/>
  <c r="BA125" i="2" s="1"/>
  <c r="BB125" i="2" s="1"/>
  <c r="BC125" i="2" s="1"/>
  <c r="BD125" i="2" s="1"/>
  <c r="BE125" i="2" s="1"/>
  <c r="BF125" i="2" s="1"/>
  <c r="BG125" i="2" s="1"/>
  <c r="BH125" i="2" s="1"/>
  <c r="BI125" i="2" s="1"/>
  <c r="BJ125" i="2" s="1"/>
  <c r="BK125" i="2" s="1"/>
  <c r="BL125" i="2" s="1"/>
  <c r="BM125" i="2" s="1"/>
  <c r="BN125" i="2" s="1"/>
  <c r="BO125" i="2" s="1"/>
  <c r="BP125" i="2" s="1"/>
  <c r="BQ125" i="2" s="1"/>
  <c r="BR125" i="2" s="1"/>
  <c r="BS125" i="2" s="1"/>
  <c r="BT125" i="2" s="1"/>
  <c r="BU125" i="2" s="1"/>
  <c r="BV125" i="2" s="1"/>
  <c r="BW125" i="2" s="1"/>
  <c r="BX125" i="2" s="1"/>
  <c r="BY125" i="2" s="1"/>
  <c r="BZ125" i="2" s="1"/>
  <c r="CA125" i="2" s="1"/>
  <c r="CB125" i="2" s="1"/>
  <c r="CC125" i="2" s="1"/>
  <c r="CD125" i="2" s="1"/>
  <c r="CE125" i="2" s="1"/>
  <c r="CF125" i="2" s="1"/>
  <c r="CG125" i="2" s="1"/>
  <c r="CH125" i="2" s="1"/>
  <c r="CI125" i="2" s="1"/>
  <c r="CJ125" i="2" s="1"/>
  <c r="CK125" i="2" s="1"/>
  <c r="CL125" i="2" s="1"/>
  <c r="CM125" i="2" s="1"/>
  <c r="CN125" i="2" s="1"/>
  <c r="CO125" i="2" s="1"/>
  <c r="CP125" i="2" s="1"/>
  <c r="CQ125" i="2" s="1"/>
  <c r="CR125" i="2" s="1"/>
  <c r="CS125" i="2" s="1"/>
  <c r="CT125" i="2" s="1"/>
  <c r="CU125" i="2" s="1"/>
  <c r="CV125" i="2" s="1"/>
  <c r="CW125" i="2" s="1"/>
  <c r="CX125" i="2" s="1"/>
  <c r="CY125" i="2" s="1"/>
  <c r="CZ125" i="2" s="1"/>
  <c r="DA125" i="2" s="1"/>
  <c r="DB125" i="2" s="1"/>
  <c r="DC125" i="2" s="1"/>
  <c r="DD125" i="2" s="1"/>
  <c r="DE125" i="2" s="1"/>
  <c r="DF125" i="2" s="1"/>
  <c r="DG125" i="2" s="1"/>
  <c r="DH125" i="2" s="1"/>
  <c r="DI125" i="2" s="1"/>
  <c r="DJ125" i="2" s="1"/>
  <c r="DK125" i="2" s="1"/>
  <c r="DL125" i="2" s="1"/>
  <c r="DM125" i="2" s="1"/>
  <c r="AH123" i="2"/>
  <c r="AC61" i="2"/>
  <c r="AC74" i="2" s="1"/>
  <c r="AK127" i="2" l="1"/>
  <c r="AL120" i="2"/>
  <c r="AC63" i="2"/>
  <c r="AC65" i="2" s="1"/>
  <c r="AC67" i="2" s="1"/>
  <c r="AC100" i="2" l="1"/>
  <c r="AC108" i="2" s="1"/>
  <c r="AC125" i="2" s="1"/>
  <c r="AL121" i="2"/>
  <c r="AC123" i="2" l="1"/>
  <c r="AL122" i="2"/>
  <c r="E18" i="8"/>
  <c r="E16" i="8"/>
  <c r="E2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tc={3E6E881E-5C03-49D3-A62C-7EA905923519}</author>
    <author>tc={3BDEB456-6E56-4BAC-B1EF-1DAA966C8FCA}</author>
    <author>tc={83E63C21-977C-438F-8B57-7BF1A98B7083}</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tc={A1AC085D-6825-4B37-8D01-4B2B2237006B}</author>
    <author>tc={579D2475-8567-4E48-BB9B-9F5FA93F9BAE}</author>
    <author>tc={0C8D69BF-FC7E-49A8-9710-5453D28F245F}</author>
    <author>tc={039CF15E-A2F2-4AB9-BED3-79C4EA0446D8}</author>
    <author>tc={8DBC8CD6-1AF2-4E50-B99B-EDC1B76D28A6}</author>
    <author>tc={F007FFDD-AFCC-4115-9860-68DC6499D0AF}</author>
  </authors>
  <commentList>
    <comment ref="AE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18" authorId="1" shapeId="0" xr:uid="{3E6E881E-5C03-49D3-A62C-7EA905923519}">
      <text>
        <t>[Threaded comment]
Your version of Excel allows you to read this threaded comment; however, any edits to it will get removed if the file is opened in a newer version of Excel. Learn more: https://go.microsoft.com/fwlink/?linkid=870924
Comment:
    Built in AI: CC, Express, AEP, AEM, Acrobat, etc.</t>
      </text>
    </comment>
    <comment ref="B19" authorId="2" shapeId="0" xr:uid="{3BDEB456-6E56-4BAC-B1EF-1DAA966C8FCA}">
      <text>
        <t>[Threaded comment]
Your version of Excel allows you to read this threaded comment; however, any edits to it will get removed if the file is opened in a newer version of Excel. Learn more: https://go.microsoft.com/fwlink/?linkid=870924
Comment:
    Firefly, GenStudio, Acrobat AI Assistant</t>
      </text>
    </comment>
    <comment ref="AE20" authorId="3" shapeId="0" xr:uid="{83E63C21-977C-438F-8B57-7BF1A98B7083}">
      <text>
        <t>[Threaded comment]
Your version of Excel allows you to read this threaded comment; however, any edits to it will get removed if the file is opened in a newer version of Excel. Learn more: https://go.microsoft.com/fwlink/?linkid=870924
Comment:
    2024 estimate by adobe</t>
      </text>
    </comment>
    <comment ref="B27" authorId="4"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E27" authorId="5"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E28" authorId="6"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29" authorId="7"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E29" authorId="8"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E30" authorId="9"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B34" authorId="10"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AD51" authorId="11"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AD60" authorId="12"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AD89" authorId="13"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AD90" authorId="14"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AD91" authorId="15"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List>
</comments>
</file>

<file path=xl/sharedStrings.xml><?xml version="1.0" encoding="utf-8"?>
<sst xmlns="http://schemas.openxmlformats.org/spreadsheetml/2006/main" count="336" uniqueCount="298">
  <si>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</si>
  <si>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</si>
  <si>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</si>
  <si>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</si>
  <si>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</si>
  <si>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</si>
  <si>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</si>
  <si>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</si>
  <si>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</si>
  <si>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</si>
  <si>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</si>
  <si>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</si>
  <si>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</si>
  <si>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</si>
  <si>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</si>
  <si>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</si>
  <si>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</si>
  <si>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</si>
  <si>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</si>
  <si>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</si>
  <si>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</si>
  <si>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</si>
  <si>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</si>
  <si>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</si>
  <si>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</si>
  <si>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</si>
  <si>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</si>
  <si>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</si>
  <si>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</si>
  <si>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</si>
  <si>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</si>
  <si>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</si>
  <si>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</si>
  <si>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</si>
  <si>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</si>
  <si>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</si>
  <si>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</si>
  <si>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</si>
  <si>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</si>
  <si>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</si>
  <si>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</si>
  <si>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</si>
  <si>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</si>
  <si>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</si>
  <si>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</si>
  <si>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</si>
  <si>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</si>
  <si>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</si>
  <si>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</si>
  <si>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</si>
  <si>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</si>
  <si>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</si>
  <si>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</si>
  <si>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</si>
  <si>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</si>
  <si>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</si>
  <si>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</si>
  <si>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</si>
  <si>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</si>
  <si>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</si>
  <si>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</si>
  <si>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</si>
  <si>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Industry: High growth rate</t>
  </si>
  <si>
    <t>Management Quality:</t>
  </si>
  <si>
    <t>Innovation:</t>
  </si>
  <si>
    <t>Art/visual media is highly elastic meaning more producivity will in the long run lead to a higher consumption/ growth rate.</t>
  </si>
  <si>
    <t>Jevon's Paradox</t>
  </si>
  <si>
    <t>https://doi.org/10.1093/pnasnexus/pgae052</t>
  </si>
  <si>
    <t>Creative &amp; Marketing</t>
  </si>
  <si>
    <t>Business &amp; Consumers</t>
  </si>
  <si>
    <t>Marketing (AEP, AEM)</t>
  </si>
  <si>
    <t>Creators &amp; Creative (Creative Cloud)</t>
  </si>
  <si>
    <t>Creative Cloud</t>
  </si>
  <si>
    <t>Acrobat</t>
  </si>
  <si>
    <t>Consumer</t>
  </si>
  <si>
    <t>They need the juniors to train for the next generation of lead artists</t>
  </si>
  <si>
    <t>They also need to execute the concept well and add their own ideas to help refine the concept</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</si>
  <si>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</si>
  <si>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</si>
  <si>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</si>
  <si>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</si>
  <si>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</si>
  <si>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</si>
  <si>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</si>
  <si>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</si>
  <si>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</si>
  <si>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</si>
  <si>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</si>
  <si>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</si>
  <si>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</si>
  <si>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</si>
  <si>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</si>
  <si>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</si>
  <si>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</si>
  <si>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</si>
  <si>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</si>
  <si>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</si>
  <si>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</si>
  <si>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</si>
  <si>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</si>
  <si>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</si>
  <si>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</si>
  <si>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</si>
  <si>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</si>
  <si>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</si>
  <si>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</si>
  <si>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</si>
  <si>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</si>
  <si>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</si>
  <si>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</si>
  <si>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DPO</t>
  </si>
  <si>
    <t>CIWC</t>
  </si>
  <si>
    <t>T</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</si>
  <si>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</si>
  <si>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</si>
  <si>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</si>
  <si>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</si>
  <si>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</si>
  <si>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</si>
  <si>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</si>
  <si>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</si>
  <si>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</si>
  <si>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</si>
  <si>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</si>
  <si>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</si>
  <si>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</si>
  <si>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</si>
  <si>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</si>
  <si>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Limits:</t>
  </si>
  <si>
    <t>as Enterprise Seats -&gt; 0; Non-Ent ARPU -&gt; 22.1625⁻</t>
  </si>
  <si>
    <t>as Non-Ent Seats -&gt; 0; Ent ARPU -&gt; 22.1625⁺</t>
  </si>
  <si>
    <t>Ent-ARPU cannot be less than 22.1625</t>
  </si>
  <si>
    <t>Non-Ent ARPU cannot be greater than 22.1625</t>
  </si>
  <si>
    <t>Ent ARPU</t>
  </si>
  <si>
    <t>NonENT ARPU</t>
  </si>
  <si>
    <t>Sensitivity Analysis; End Value = ENT Revenue</t>
  </si>
  <si>
    <t>Takeaways:</t>
  </si>
  <si>
    <t>25% of rev</t>
  </si>
  <si>
    <t>46% of rev</t>
  </si>
  <si>
    <t>15% of rev</t>
  </si>
  <si>
    <t>14% of rev</t>
  </si>
  <si>
    <t xml:space="preserve"> CC Enterprise</t>
  </si>
  <si>
    <t xml:space="preserve"> CC NonEnt</t>
  </si>
  <si>
    <t>43% of CC</t>
  </si>
  <si>
    <t>57% of CC</t>
  </si>
  <si>
    <t>Enterprise Software/ Marketing</t>
  </si>
  <si>
    <t>Random Notes:</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</si>
  <si>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</si>
  <si>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</si>
  <si>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</si>
  <si>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</si>
  <si>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</si>
  <si>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Notes:</t>
  </si>
  <si>
    <t>Adobe's future is highly dependent on the mangement's execution and if Jevon's Paradox will accelerate growth after seat diminishment</t>
  </si>
  <si>
    <t>Firefly: Adobe's AI Suite</t>
  </si>
  <si>
    <t>Creative Cloud: Digital Art, Visual Media, Digital Editing, etc. Suite of tools package</t>
  </si>
  <si>
    <t>AEP, AEM: Adobe's Enterprise Software</t>
  </si>
  <si>
    <t>Firefly trained on images Adobe had the legal right to train on; Most AI models are trained on data skimmed from the internet</t>
  </si>
  <si>
    <t>The key drivers are: Enterprise Firefly adoption, AI generated content legality, Jevon's Paradox increasing industry adoption of tools, and Firefly/Adobe's GenAI ability to raise ARPU through increased use of gen tokens.</t>
  </si>
  <si>
    <t>Acrobat: Industry Standard Document Tool</t>
  </si>
  <si>
    <t>Explainations of The Main Assumptions:</t>
  </si>
  <si>
    <t>CC Enterprise Revenue drops 50% due to 50% seat reduction from a 100% increase in productivity from AI tools.</t>
  </si>
  <si>
    <t>CC Non-Enterprise Revenue &amp; ARPU is basically unchanged due to the elasticity of Digital Art/Visual Media jobs in non-corporate settings. This assumption is very conservative as GenAI and producitvity could lead to a lot higher adoption rate.</t>
  </si>
  <si>
    <t>AEP, AEM Revenue drops 25% to be conservative for less enterprise software seats even though more generated content could provide somewhat of a protection for these contracts.</t>
  </si>
  <si>
    <t>Acrobat Revenue grows at a normal rate, industry standard tool not likely to be changed.</t>
  </si>
  <si>
    <t>CC Enterprise and Non-Enterprise was reconstructed through some logic explained in the CC Model and sensitivity tested where the max limit in both directions would only result in a &lt;30% difference in calculated share price</t>
  </si>
  <si>
    <t>CC Enterprise ARPU grows 65% due to GenAI tokens and its ability to replace employees. This could be a key driver if GenAI legality becomes more questionable. 65% is also very conservative if you take into account that I am modeling this tool replaceing half of workers, Adobe could easily justify 200% or more depending on execution and market dynamics. This is also not sensitive at all and only really changes the share price drastically at a very large increase in ARPU.</t>
  </si>
  <si>
    <t>Base Case: Firefly gets some adoption in enterprise clients and enterprise seats get drastically cut. The stock remains relatively unchanged around 300</t>
  </si>
  <si>
    <t>Bear Case: Jevon's Paradox never kicks in, enterprise clients don’t adopt firefly, and even non enterprise seats are cut. Drop to around the low 200s</t>
  </si>
  <si>
    <t>ARPU Sensitivity Analysis</t>
  </si>
  <si>
    <t>Firefly?</t>
  </si>
  <si>
    <t>Adobe GenAI seat reduction fears stock collapses ~40%</t>
  </si>
  <si>
    <t>ENT ARPU</t>
  </si>
  <si>
    <t>Percent Change In Share Price NPV as Discount Rate and Enterprise ARPU Exit Rate Change</t>
  </si>
  <si>
    <t>Todo:</t>
  </si>
  <si>
    <t xml:space="preserve"> Channel Checks &amp; Literature Review for</t>
  </si>
  <si>
    <t xml:space="preserve"> better/verified number assumptions</t>
  </si>
  <si>
    <t xml:space="preserve"> Management Research &amp; Company History</t>
  </si>
  <si>
    <t xml:space="preserve"> Conference Calls &amp; Q&amp;A Indepth</t>
  </si>
  <si>
    <t>Adobe Firefly Enterprise: 200/mo without special pricing</t>
  </si>
  <si>
    <t>Creative Cloud Enterprise: 100/mo without special pricing</t>
  </si>
  <si>
    <t>Creative Cloud: 70/mo without special pricing, individual apps ~20/mo, schools 35/mo</t>
  </si>
  <si>
    <t>Bull Case: Adobe's management executes Firefly well and GenAI legality increases Firefly adoption among enterprise clients and allows them to drastically raise ARPU through the cost savings of increased productivity and less seats and Jevon's Paradox helps regain some seats. Depending on market dynamics it could raise the price from 350-400+</t>
  </si>
  <si>
    <t xml:space="preserve"> Questions for Mangement</t>
  </si>
  <si>
    <t>If it was very likely that due to GenAI regulations most models like OpenAI cant be used for commerical GenAI due to their training</t>
  </si>
  <si>
    <t>If enterprises start getting a lot of firefly licenses or firefly use rockets</t>
  </si>
  <si>
    <t>If companies don’t replace as many jobs/licenses because AI isnt as effective as it seems</t>
  </si>
  <si>
    <t>Things that would make the stock bullish:</t>
  </si>
  <si>
    <t>If Jevon's Paradox increases adoption heavily</t>
  </si>
  <si>
    <t xml:space="preserve"> GenAI current legality and future</t>
  </si>
  <si>
    <t xml:space="preserve"> Jevon's Paradox AI research/figures</t>
  </si>
  <si>
    <t>GenAI:</t>
  </si>
  <si>
    <t>Jevon's Paradox:</t>
  </si>
  <si>
    <t>SaaSpocalyse:</t>
  </si>
  <si>
    <t>For Creative Cloud companies cannot replace junior artists and let the lead/concept artists work their ideas (non enterprise)</t>
  </si>
  <si>
    <t>Moat: Barrier to entry -&gt; complex software refined industry standard many functions and large suite providing the best bargain for a lot of tools; User switching cost -&gt; takes time to learn the tools and long standing company provides updates and longevity users want to not want to learn new tools;</t>
  </si>
  <si>
    <t>If NonENT  ARPU avg is &lt;= 10 then ADBE is worth slightly more</t>
  </si>
  <si>
    <t>If NonENT ARPU avg is &gt;=20 ADBE is worth slightly less</t>
  </si>
  <si>
    <t>Mean ARPU</t>
  </si>
  <si>
    <t>SD ARPU</t>
  </si>
  <si>
    <t>Mean Growth</t>
  </si>
  <si>
    <t>SD Growth</t>
  </si>
  <si>
    <t>Mean ENT Seats</t>
  </si>
  <si>
    <t>SD ENT Seats</t>
  </si>
  <si>
    <t>a</t>
  </si>
  <si>
    <t>nonEnt Rev</t>
  </si>
  <si>
    <t>Share Price</t>
  </si>
  <si>
    <t>1000 iterations average</t>
  </si>
  <si>
    <t>Multiple</t>
  </si>
  <si>
    <t>ENT Revenue</t>
  </si>
  <si>
    <t>Bottom 25% Price</t>
  </si>
  <si>
    <t>Top 25% Price</t>
  </si>
  <si>
    <t>Diff</t>
  </si>
  <si>
    <t>Add covariance to show correlation between ARPU and Seats instead of complete randomness</t>
  </si>
  <si>
    <t>Add limits to remove numbers that cannot occur such as negative seats</t>
  </si>
  <si>
    <t>Optimal Portfolio Allocation</t>
  </si>
  <si>
    <t>WinRate</t>
  </si>
  <si>
    <t>LossRate</t>
  </si>
  <si>
    <t>W/L Ratio</t>
  </si>
  <si>
    <t xml:space="preserve">Avg Win </t>
  </si>
  <si>
    <t xml:space="preserve">Avg Loss </t>
  </si>
  <si>
    <t>Optimal Kelly Allocation</t>
  </si>
  <si>
    <t>Half-Kelly</t>
  </si>
  <si>
    <t>DOI</t>
  </si>
  <si>
    <t>Title</t>
  </si>
  <si>
    <t>Description</t>
  </si>
  <si>
    <t>Question</t>
  </si>
  <si>
    <t>Answer</t>
  </si>
  <si>
    <t>Date</t>
  </si>
  <si>
    <t>Interviewee</t>
  </si>
  <si>
    <t>&lt;- including 30% MoS to be a win</t>
  </si>
  <si>
    <t>Consenses:</t>
  </si>
  <si>
    <t xml:space="preserve"> for numbers used.</t>
  </si>
  <si>
    <t xml:space="preserve"> Current no.1 issue is lack of validification</t>
  </si>
  <si>
    <t>Catalyst: Seat churn / metrics and Firefly adoption over the next 12-24 months will determine what happens next to the stock</t>
  </si>
  <si>
    <t xml:space="preserve"> tracking Firefly and seat churn</t>
  </si>
  <si>
    <t xml:space="preserve"> Map out quarters and start</t>
  </si>
  <si>
    <t xml:space="preserve"> What KPIs can I track to validate theories</t>
  </si>
  <si>
    <t xml:space="preserve"> such as Jevon's paradox</t>
  </si>
  <si>
    <t>KPIs: CC Seats (seperated Enterprise &amp; Non Enterprise), Firefly ARR, Enterprise ARPU, GenAI Tokens</t>
  </si>
  <si>
    <t>KPIs</t>
  </si>
  <si>
    <t xml:space="preserve"> ARR</t>
  </si>
  <si>
    <t xml:space="preserve"> Firefly ARR</t>
  </si>
  <si>
    <t xml:space="preserve"> CC Enterprise Seat Churn</t>
  </si>
  <si>
    <t xml:space="preserve"> GenAI Tokens</t>
  </si>
  <si>
    <t xml:space="preserve"> CC Non Enterprise Seat Churn</t>
  </si>
  <si>
    <t>ARPU</t>
  </si>
  <si>
    <t>Seats</t>
  </si>
  <si>
    <t>Growth</t>
  </si>
  <si>
    <t xml:space="preserve"> Min</t>
  </si>
  <si>
    <t xml:space="preserve"> Max</t>
  </si>
  <si>
    <t xml:space="preserve"> Mode</t>
  </si>
  <si>
    <t xml:space="preserve"> Variance</t>
  </si>
  <si>
    <t xml:space="preserve"> SD</t>
  </si>
  <si>
    <t>&lt;- 5 years normal growth with 50% seat compression</t>
  </si>
  <si>
    <t>&lt;-decelerated growth &amp; seat compression</t>
  </si>
  <si>
    <t>based on ARPU calculations max vs min</t>
  </si>
  <si>
    <t>&lt;- firefly adoption</t>
  </si>
  <si>
    <t>&lt;- normal</t>
  </si>
  <si>
    <t>&lt;- firefly failure, seat compression</t>
  </si>
  <si>
    <t>&lt;- seat compression accelerated growth Jevon's paradox</t>
  </si>
  <si>
    <t>Q126</t>
  </si>
  <si>
    <t>Q226</t>
  </si>
  <si>
    <t>Q326</t>
  </si>
  <si>
    <t>Q426</t>
  </si>
  <si>
    <t xml:space="preserve"> RPOs</t>
  </si>
  <si>
    <t>"3x Q/Q"</t>
  </si>
  <si>
    <t xml:space="preserve"> cRPO</t>
  </si>
  <si>
    <t xml:space="preserve"> customers ARR &gt;10m</t>
  </si>
  <si>
    <t xml:space="preserve"> AEP + Apps ARR</t>
  </si>
  <si>
    <t>"30% yoy"</t>
  </si>
  <si>
    <t>Semrush Acquisition 1H26 @ 1.9b</t>
  </si>
  <si>
    <t>Acrobat+Express</t>
  </si>
  <si>
    <t>Creative Cloud+Firefly</t>
  </si>
  <si>
    <t>"AEP &gt;40%yoy"</t>
  </si>
  <si>
    <t xml:space="preserve"> GenStudio ARR</t>
  </si>
  <si>
    <t xml:space="preserve"> "AI-influenced" ARR</t>
  </si>
  <si>
    <t>Document Cloud ARR</t>
  </si>
  <si>
    <t>CC ARR</t>
  </si>
  <si>
    <t>Experience Cloud ARR</t>
  </si>
  <si>
    <t xml:space="preserve"> "AI-first" ARR</t>
  </si>
  <si>
    <t>CC enterprise ARR</t>
  </si>
  <si>
    <t xml:space="preserve"> TAM</t>
  </si>
  <si>
    <t xml:space="preserve"> CC TAM</t>
  </si>
  <si>
    <t xml:space="preserve"> Document Cloud TAM</t>
  </si>
  <si>
    <t xml:space="preserve"> Experience Cloud TAM</t>
  </si>
  <si>
    <t>(12*15)x+(12*80)y=13900</t>
  </si>
  <si>
    <t>(12*15)x+(12*80)(40-x)=13900</t>
  </si>
  <si>
    <t>Do genAI models destroy creative seats by automating tasks / increasing productivity?</t>
  </si>
  <si>
    <t>Management says AI acts as an accelerant and expands the TAM due to more need for fine-tuning, color-correction, compositing, and assembly</t>
  </si>
  <si>
    <t>Strategy for monetizing AI: higher-priced tiers that include AI capabilities, Acrobat AI assistant, shifting from seat-based pricing to consumption-based pricing.</t>
  </si>
  <si>
    <t>Notes</t>
  </si>
  <si>
    <t>Even though there will be fewer seats, consumption will increase, and the need for fine-tuning outputs increase which leads to a total increase in TAM</t>
  </si>
  <si>
    <t>Are the prospects of Firefly's IP-safe training leading to more in-house AI model use than 3rd party?</t>
  </si>
  <si>
    <t xml:space="preserve"> Cumulative Generations</t>
  </si>
  <si>
    <t>When will Adobe enforce hard caps on gen credits to drive consumption revenue?</t>
  </si>
  <si>
    <t>Management says they want to avoid generation anxiety currently</t>
  </si>
  <si>
    <t>ARR from seat vs AI-price hikes?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</si>
</sst>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m/d;@"/>
    <numFmt numFmtId="166" formatCode="0.0"/>
  </numFmts>
  <fonts count="26"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u/>
      <sz val="10"/>
      <color theme="1"/>
      <name val="Arial"/>
      <family val="2"/>
    </font>
    <font>
      <i/>
      <sz val="10"/>
      <color theme="1"/>
      <name val="Arial"/>
      <family val="2"/>
    </font>
    <font>
      <sz val="9"/>
      <color indexed="81"/>
      <name val="Tahoma"/>
      <family val="2"/>
    </font>
  </fonts>
  <fills count="2">
    <fill>
      <patternFill patternType="none"/>
    </fill>
    <fill>
      <patternFill patternType="gray125"/>
    </fill>
  </fills>
  <borders count="1">
    <border>
      <left/>
      <right/>
      <top/>
      <bottom/>
      <diagonal/>
    </border>
  </borders>
  <cellStyleXfs count="4">
    <xf numFmtId="0" fontId="0" fillId="0" borderId="0"/>
    <xf numFmtId="0" fontId="20" fillId="0" borderId="0" applyNumberFormat="0" applyFill="0" applyBorder="0" applyAlignment="0" applyProtection="0"/>
    <xf numFmtId="0" fontId="7" fillId="0" borderId="0"/>
    <xf numFmtId="0" fontId="22" fillId="0" borderId="0" applyNumberFormat="0" applyFill="0" applyBorder="0" applyAlignment="0" applyProtection="0"/>
  </cellStyleXfs>
  <cellXfs count="52">
    <xf numFmtId="0" fontId="0" fillId="0" borderId="0" xfId="0"/>
    <xf numFmtId="0" fontId="21" fillId="0" borderId="0" xfId="0" applyFont="1"/>
    <xf numFmtId="0" fontId="19" fillId="0" borderId="0" xfId="0" applyFont="1"/>
    <xf numFmtId="4" fontId="19" fillId="0" borderId="0" xfId="0" applyNumberFormat="1" applyFont="1"/>
    <xf numFmtId="3" fontId="19" fillId="0" borderId="0" xfId="0" applyNumberFormat="1" applyFont="1"/>
    <xf numFmtId="3" fontId="22" fillId="0" borderId="0" xfId="1" applyNumberFormat="1" applyFont="1"/>
    <xf numFmtId="3" fontId="18" fillId="0" borderId="0" xfId="0" applyNumberFormat="1" applyFont="1"/>
    <xf numFmtId="0" fontId="18" fillId="0" borderId="0" xfId="0" applyFont="1"/>
    <xf numFmtId="1" fontId="18" fillId="0" borderId="0" xfId="0" applyNumberFormat="1" applyFont="1"/>
    <xf numFmtId="4" fontId="18" fillId="0" borderId="0" xfId="0" applyNumberFormat="1" applyFont="1"/>
    <xf numFmtId="3" fontId="21" fillId="0" borderId="0" xfId="0" applyNumberFormat="1" applyFont="1"/>
    <xf numFmtId="10" fontId="18" fillId="0" borderId="0" xfId="0" applyNumberFormat="1" applyFont="1"/>
    <xf numFmtId="9" fontId="21" fillId="0" borderId="0" xfId="0" applyNumberFormat="1" applyFont="1"/>
    <xf numFmtId="164" fontId="21" fillId="0" borderId="0" xfId="0" applyNumberFormat="1" applyFont="1"/>
    <xf numFmtId="9" fontId="18" fillId="0" borderId="0" xfId="0" applyNumberFormat="1" applyFont="1"/>
    <xf numFmtId="164" fontId="18" fillId="0" borderId="0" xfId="0" applyNumberFormat="1" applyFont="1"/>
    <xf numFmtId="3" fontId="17" fillId="0" borderId="0" xfId="0" applyNumberFormat="1" applyFont="1"/>
    <xf numFmtId="0" fontId="16" fillId="0" borderId="0" xfId="0" applyFont="1"/>
    <xf numFmtId="3" fontId="16" fillId="0" borderId="0" xfId="0" applyNumberFormat="1" applyFont="1"/>
    <xf numFmtId="3" fontId="15" fillId="0" borderId="0" xfId="0" applyNumberFormat="1" applyFont="1"/>
    <xf numFmtId="3" fontId="14" fillId="0" borderId="0" xfId="0" applyNumberFormat="1" applyFont="1"/>
    <xf numFmtId="0" fontId="13" fillId="0" borderId="0" xfId="0" applyFont="1"/>
    <xf numFmtId="3" fontId="13" fillId="0" borderId="0" xfId="0" applyNumberFormat="1" applyFont="1"/>
    <xf numFmtId="0" fontId="12" fillId="0" borderId="0" xfId="0" applyFont="1"/>
    <xf numFmtId="0" fontId="11" fillId="0" borderId="0" xfId="0" applyFont="1"/>
    <xf numFmtId="0" fontId="10" fillId="0" borderId="0" xfId="0" applyFont="1"/>
    <xf numFmtId="3" fontId="9" fillId="0" borderId="0" xfId="0" applyNumberFormat="1" applyFont="1"/>
    <xf numFmtId="0" fontId="9" fillId="0" borderId="0" xfId="0" applyFont="1"/>
    <xf numFmtId="0" fontId="8" fillId="0" borderId="0" xfId="0" applyFont="1"/>
    <xf numFmtId="3" fontId="7" fillId="0" borderId="0" xfId="0" applyNumberFormat="1" applyFont="1"/>
    <xf numFmtId="0" fontId="7" fillId="0" borderId="0" xfId="0" applyFont="1"/>
    <xf numFmtId="1" fontId="7" fillId="0" borderId="0" xfId="0" applyNumberFormat="1" applyFont="1"/>
    <xf numFmtId="9" fontId="7" fillId="0" borderId="0" xfId="0" applyNumberFormat="1" applyFont="1"/>
    <xf numFmtId="3" fontId="7" fillId="0" borderId="0" xfId="2" applyNumberFormat="1"/>
    <xf numFmtId="0" fontId="23" fillId="0" borderId="0" xfId="0" applyFont="1"/>
    <xf numFmtId="0" fontId="24" fillId="0" borderId="0" xfId="0" applyFont="1"/>
    <xf numFmtId="0" fontId="22" fillId="0" borderId="0" xfId="1" applyFont="1"/>
    <xf numFmtId="0" fontId="6" fillId="0" borderId="0" xfId="0" applyFont="1"/>
    <xf numFmtId="0" fontId="5" fillId="0" borderId="0" xfId="0" applyFont="1"/>
    <xf numFmtId="0" fontId="4" fillId="0" borderId="0" xfId="0" applyFont="1"/>
    <xf numFmtId="3" fontId="3" fillId="0" borderId="0" xfId="0" applyNumberFormat="1" applyFont="1"/>
    <xf numFmtId="0" fontId="3" fillId="0" borderId="0" xfId="0" applyFont="1"/>
    <xf numFmtId="9" fontId="3" fillId="0" borderId="0" xfId="0" applyNumberFormat="1" applyFont="1"/>
    <xf numFmtId="4" fontId="3" fillId="0" borderId="0" xfId="0" applyNumberFormat="1" applyFont="1"/>
    <xf numFmtId="165" fontId="3" fillId="0" borderId="0" xfId="0" applyNumberFormat="1" applyFont="1"/>
    <xf numFmtId="0" fontId="2" fillId="0" borderId="0" xfId="0" applyFont="1"/>
    <xf numFmtId="166" fontId="3" fillId="0" borderId="0" xfId="0" applyNumberFormat="1" applyFont="1"/>
    <xf numFmtId="0" fontId="1" fillId="0" borderId="0" xfId="0" applyFont="1"/>
    <xf numFmtId="3" fontId="1" fillId="0" borderId="0" xfId="0" applyNumberFormat="1" applyFont="1"/>
    <xf numFmtId="1" fontId="1" fillId="0" borderId="0" xfId="0" applyNumberFormat="1" applyFont="1"/>
    <xf numFmtId="9" fontId="1" fillId="0" borderId="0" xfId="0" applyNumberFormat="1" applyFont="1"/>
    <xf numFmtId="16" fontId="19" fillId="0" borderId="0" xfId="0" applyNumberFormat="1"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29</xdr:col>
      <xdr:colOff>2198</xdr:colOff>
      <xdr:row>1</xdr:row>
      <xdr:rowOff>57883</xdr:rowOff>
    </xdr:from>
    <xdr:to>
      <xdr:col>29</xdr:col>
      <xdr:colOff>7327</xdr:colOff>
      <xdr:row>130</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583221</xdr:colOff>
      <xdr:row>0</xdr:row>
      <xdr:rowOff>95249</xdr:rowOff>
    </xdr:from>
    <xdr:to>
      <xdr:col>9</xdr:col>
      <xdr:colOff>600808</xdr:colOff>
      <xdr:row>101</xdr:row>
      <xdr:rowOff>87923</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a:off x="7067548" y="95249"/>
          <a:ext cx="17587" cy="1369402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E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18" dT="2026-03-05T03:07:59.56" personId="{CD58ED4A-AE3D-49F0-854E-D35C7D332244}" id="{3E6E881E-5C03-49D3-A62C-7EA905923519}">
    <text>Built in AI: CC, Express, AEP, AEM, Acrobat, etc.</text>
  </threadedComment>
  <threadedComment ref="B19" dT="2026-03-05T03:07:15.14" personId="{CD58ED4A-AE3D-49F0-854E-D35C7D332244}" id="{3BDEB456-6E56-4BAC-B1EF-1DAA966C8FCA}">
    <text>Firefly, GenStudio, Acrobat AI Assistant</text>
  </threadedComment>
  <threadedComment ref="AE20" dT="2026-03-05T03:20:29.67" personId="{CD58ED4A-AE3D-49F0-854E-D35C7D332244}" id="{83E63C21-977C-438F-8B57-7BF1A98B7083}">
    <text>2024 estimate by adobe</text>
  </threadedComment>
  <threadedComment ref="B27"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E27"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E28" dT="2026-03-02T03:12:15.85" personId="{CD58ED4A-AE3D-49F0-854E-D35C7D332244}" id="{3BD375D7-0B10-42FC-9699-90B801AF29CC}">
    <text>Likely small increase in ARPU due to user gen tokens</text>
  </threadedComment>
  <threadedComment ref="B29" dT="2026-03-02T02:49:18.15" personId="{CD58ED4A-AE3D-49F0-854E-D35C7D332244}" id="{0C61AB74-6410-4899-92DB-71CC8802C6FA}">
    <text>millions</text>
  </threadedComment>
  <threadedComment ref="AE29" dT="2026-03-02T03:13:44.29" personId="{CD58ED4A-AE3D-49F0-854E-D35C7D332244}" id="{9110625B-A20F-4814-80C6-6F1F6BAF5A5E}">
    <text>50% decrease in seats as companies transition to ai -&gt; 100% increased productivity</text>
  </threadedComment>
  <threadedComment ref="AE30"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B34" dT="2026-02-28T07:47:32.23" personId="{CD58ED4A-AE3D-49F0-854E-D35C7D332244}" id="{A1AC085D-6825-4B37-8D01-4B2B2237006B}">
    <text>From Q424 end of year segments</text>
  </threadedComment>
  <threadedComment ref="AD51" dT="2026-02-28T07:54:37.47" personId="{CD58ED4A-AE3D-49F0-854E-D35C7D332244}" id="{579D2475-8567-4E48-BB9B-9F5FA93F9BAE}">
    <text>26,000 guidance</text>
  </threadedComment>
  <threadedComment ref="AD60" dT="2026-03-02T04:38:57.44" personId="{CD58ED4A-AE3D-49F0-854E-D35C7D332244}" id="{0C8D69BF-FC7E-49A8-9710-5453D28F245F}">
    <text>Operating margin stable</text>
  </threadedComment>
  <threadedComment ref="AD89" dT="2026-03-02T04:37:17.19" personId="{CD58ED4A-AE3D-49F0-854E-D35C7D332244}" id="{039CF15E-A2F2-4AB9-BED3-79C4EA0446D8}">
    <text>Dpo from cogs</text>
  </threadedComment>
  <threadedComment ref="AD90" dT="2026-03-02T04:36:57.79" personId="{CD58ED4A-AE3D-49F0-854E-D35C7D332244}" id="{8DBC8CD6-1AF2-4E50-B99B-EDC1B76D28A6}">
    <text>Percent of sg&amp;a</text>
  </threadedComment>
  <threadedComment ref="AD91" dT="2026-03-02T04:37:24.16" personId="{CD58ED4A-AE3D-49F0-854E-D35C7D332244}" id="{F007FFDD-AFCC-4115-9860-68DC6499D0AF}">
    <text>Percent of rev</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93/pnasnexus/pgae0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5"/>
  <sheetViews>
    <sheetView zoomScale="115" zoomScaleNormal="115" workbookViewId="0">
      <selection activeCell="K2" sqref="K2"/>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247</v>
      </c>
      <c r="L2" s="51">
        <v>46076</v>
      </c>
    </row>
    <row r="3" spans="1:12" x14ac:dyDescent="0.2">
      <c r="A3" s="24"/>
      <c r="B3" s="30" t="s">
        <v>154</v>
      </c>
      <c r="F3" s="1" t="s">
        <v>145</v>
      </c>
      <c r="G3" s="1" t="s">
        <v>137</v>
      </c>
      <c r="J3" s="2" t="s">
        <v>1</v>
      </c>
      <c r="K3" s="4">
        <v>410.5</v>
      </c>
      <c r="L3" s="23" t="s">
        <v>46</v>
      </c>
    </row>
    <row r="4" spans="1:12" x14ac:dyDescent="0.2">
      <c r="B4" s="30" t="s">
        <v>155</v>
      </c>
      <c r="F4" s="12" t="s">
        <v>72</v>
      </c>
      <c r="G4" s="1" t="s">
        <v>138</v>
      </c>
      <c r="J4" s="2" t="s">
        <v>2</v>
      </c>
      <c r="K4" s="4">
        <f>K3*K2</f>
        <v>101393.5</v>
      </c>
      <c r="L4" s="23"/>
    </row>
    <row r="5" spans="1:12" x14ac:dyDescent="0.2">
      <c r="B5" s="30" t="s">
        <v>156</v>
      </c>
      <c r="F5" s="32" t="s">
        <v>141</v>
      </c>
      <c r="G5" s="30" t="s">
        <v>143</v>
      </c>
      <c r="J5" s="2" t="s">
        <v>3</v>
      </c>
      <c r="K5" s="4">
        <f>5431+1164</f>
        <v>6595</v>
      </c>
      <c r="L5" s="23" t="s">
        <v>46</v>
      </c>
    </row>
    <row r="6" spans="1:12" x14ac:dyDescent="0.2">
      <c r="B6" s="30" t="s">
        <v>159</v>
      </c>
      <c r="F6" s="32" t="s">
        <v>142</v>
      </c>
      <c r="G6" s="30" t="s">
        <v>144</v>
      </c>
      <c r="J6" s="2" t="s">
        <v>4</v>
      </c>
      <c r="K6" s="4">
        <f>6210+469+125+361+508</f>
        <v>7673</v>
      </c>
      <c r="L6" s="23" t="s">
        <v>46</v>
      </c>
    </row>
    <row r="7" spans="1:12" x14ac:dyDescent="0.2">
      <c r="F7" s="12" t="s">
        <v>73</v>
      </c>
      <c r="G7" s="1" t="s">
        <v>139</v>
      </c>
      <c r="J7" s="2" t="s">
        <v>5</v>
      </c>
      <c r="K7" s="4">
        <f>K4+K6-K5</f>
        <v>102471.5</v>
      </c>
    </row>
    <row r="8" spans="1:12" x14ac:dyDescent="0.2">
      <c r="B8" s="47" t="s">
        <v>271</v>
      </c>
      <c r="F8" s="1" t="s">
        <v>74</v>
      </c>
      <c r="G8" s="1" t="s">
        <v>140</v>
      </c>
      <c r="K8" s="3" t="e">
        <f>K2/(1.1*4*Model!G67)</f>
        <v>#DIV/0!</v>
      </c>
    </row>
    <row r="9" spans="1:12" x14ac:dyDescent="0.2">
      <c r="J9" s="30" t="s">
        <v>60</v>
      </c>
    </row>
    <row r="10" spans="1:12" x14ac:dyDescent="0.2">
      <c r="B10" s="30" t="s">
        <v>174</v>
      </c>
      <c r="F10" s="30"/>
      <c r="J10" s="17"/>
    </row>
    <row r="11" spans="1:12" x14ac:dyDescent="0.2">
      <c r="A11" s="24"/>
      <c r="B11" s="41" t="s">
        <v>233</v>
      </c>
      <c r="F11" s="39"/>
    </row>
    <row r="12" spans="1:12" x14ac:dyDescent="0.2">
      <c r="B12" s="41" t="s">
        <v>232</v>
      </c>
      <c r="F12" s="30" t="s">
        <v>153</v>
      </c>
    </row>
    <row r="13" spans="1:12" x14ac:dyDescent="0.2">
      <c r="F13" s="30" t="s">
        <v>158</v>
      </c>
    </row>
    <row r="14" spans="1:12" x14ac:dyDescent="0.2">
      <c r="B14" s="30" t="s">
        <v>175</v>
      </c>
    </row>
    <row r="15" spans="1:12" x14ac:dyDescent="0.2">
      <c r="B15" s="30" t="s">
        <v>176</v>
      </c>
      <c r="F15" s="30" t="s">
        <v>160</v>
      </c>
    </row>
    <row r="16" spans="1:12" x14ac:dyDescent="0.2">
      <c r="F16" s="30" t="s">
        <v>161</v>
      </c>
    </row>
    <row r="17" spans="2:6" x14ac:dyDescent="0.2">
      <c r="B17" s="30" t="s">
        <v>177</v>
      </c>
      <c r="F17" s="30" t="s">
        <v>166</v>
      </c>
    </row>
    <row r="18" spans="2:6" x14ac:dyDescent="0.2">
      <c r="F18" s="30" t="s">
        <v>162</v>
      </c>
    </row>
    <row r="19" spans="2:6" x14ac:dyDescent="0.2">
      <c r="B19" s="30" t="s">
        <v>178</v>
      </c>
      <c r="F19" s="30" t="s">
        <v>163</v>
      </c>
    </row>
    <row r="20" spans="2:6" x14ac:dyDescent="0.2">
      <c r="F20" s="30" t="s">
        <v>164</v>
      </c>
    </row>
    <row r="21" spans="2:6" x14ac:dyDescent="0.2">
      <c r="B21" s="37" t="s">
        <v>183</v>
      </c>
      <c r="F21" s="30" t="s">
        <v>165</v>
      </c>
    </row>
    <row r="22" spans="2:6" x14ac:dyDescent="0.2">
      <c r="F22" s="30"/>
    </row>
    <row r="23" spans="2:6" x14ac:dyDescent="0.2">
      <c r="B23" s="38" t="s">
        <v>189</v>
      </c>
      <c r="F23" s="41" t="s">
        <v>234</v>
      </c>
    </row>
    <row r="25" spans="2:6" x14ac:dyDescent="0.2">
      <c r="B25" s="38" t="s">
        <v>190</v>
      </c>
      <c r="F25" s="41" t="s">
        <v>231</v>
      </c>
    </row>
    <row r="26" spans="2:6" x14ac:dyDescent="0.2">
      <c r="F26" s="30"/>
    </row>
    <row r="27" spans="2:6" x14ac:dyDescent="0.2">
      <c r="B27" s="41" t="s">
        <v>236</v>
      </c>
      <c r="F27" s="39" t="s">
        <v>182</v>
      </c>
    </row>
    <row r="28" spans="2:6" x14ac:dyDescent="0.2">
      <c r="B28" s="41" t="s">
        <v>235</v>
      </c>
      <c r="F28" s="30" t="s">
        <v>167</v>
      </c>
    </row>
    <row r="29" spans="2:6" x14ac:dyDescent="0.2">
      <c r="F29" s="30" t="s">
        <v>168</v>
      </c>
    </row>
    <row r="30" spans="2:6" x14ac:dyDescent="0.2">
      <c r="B30" s="41" t="s">
        <v>237</v>
      </c>
      <c r="F30" s="30"/>
    </row>
    <row r="31" spans="2:6" x14ac:dyDescent="0.2">
      <c r="B31" s="41" t="s">
        <v>238</v>
      </c>
      <c r="F31" s="30" t="s">
        <v>152</v>
      </c>
    </row>
    <row r="32" spans="2:6" x14ac:dyDescent="0.2">
      <c r="F32" s="24" t="s">
        <v>66</v>
      </c>
    </row>
    <row r="33" spans="2:6" x14ac:dyDescent="0.2">
      <c r="F33" s="24" t="s">
        <v>65</v>
      </c>
    </row>
    <row r="34" spans="2:6" x14ac:dyDescent="0.2">
      <c r="F34" s="30" t="s">
        <v>157</v>
      </c>
    </row>
    <row r="36" spans="2:6" ht="12" customHeight="1" x14ac:dyDescent="0.2">
      <c r="F36" s="39" t="s">
        <v>195</v>
      </c>
    </row>
    <row r="37" spans="2:6" x14ac:dyDescent="0.2">
      <c r="F37" s="21" t="s">
        <v>63</v>
      </c>
    </row>
    <row r="38" spans="2:6" x14ac:dyDescent="0.2">
      <c r="F38" s="21" t="s">
        <v>64</v>
      </c>
    </row>
    <row r="39" spans="2:6" x14ac:dyDescent="0.2">
      <c r="F39" s="21" t="s">
        <v>62</v>
      </c>
    </row>
    <row r="40" spans="2:6" x14ac:dyDescent="0.2">
      <c r="F40" s="41" t="s">
        <v>239</v>
      </c>
    </row>
    <row r="41" spans="2:6" x14ac:dyDescent="0.2">
      <c r="F41" s="21"/>
    </row>
    <row r="42" spans="2:6" x14ac:dyDescent="0.2">
      <c r="F42" s="30" t="s">
        <v>146</v>
      </c>
    </row>
    <row r="43" spans="2:6" x14ac:dyDescent="0.2">
      <c r="F43" s="39" t="s">
        <v>194</v>
      </c>
    </row>
    <row r="44" spans="2:6" x14ac:dyDescent="0.2">
      <c r="B44" s="24"/>
      <c r="F44" s="28" t="s">
        <v>75</v>
      </c>
    </row>
    <row r="45" spans="2:6" x14ac:dyDescent="0.2">
      <c r="C45" s="24"/>
      <c r="F45" s="28" t="s">
        <v>76</v>
      </c>
    </row>
    <row r="46" spans="2:6" x14ac:dyDescent="0.2">
      <c r="C46" s="24"/>
    </row>
    <row r="47" spans="2:6" x14ac:dyDescent="0.2">
      <c r="C47" s="24"/>
      <c r="F47" s="38" t="s">
        <v>187</v>
      </c>
    </row>
    <row r="48" spans="2:6" x14ac:dyDescent="0.2">
      <c r="B48" s="24"/>
      <c r="F48" s="38" t="s">
        <v>184</v>
      </c>
    </row>
    <row r="49" spans="1:6" x14ac:dyDescent="0.2">
      <c r="C49" s="24"/>
      <c r="F49" s="38" t="s">
        <v>185</v>
      </c>
    </row>
    <row r="50" spans="1:6" x14ac:dyDescent="0.2">
      <c r="C50" s="24"/>
      <c r="F50" s="38" t="s">
        <v>186</v>
      </c>
    </row>
    <row r="51" spans="1:6" x14ac:dyDescent="0.2">
      <c r="F51" s="38" t="s">
        <v>188</v>
      </c>
    </row>
    <row r="52" spans="1:6" x14ac:dyDescent="0.2">
      <c r="C52" s="27"/>
    </row>
    <row r="53" spans="1:6" x14ac:dyDescent="0.2">
      <c r="C53" s="27"/>
      <c r="E53" s="25"/>
    </row>
    <row r="54" spans="1:6" x14ac:dyDescent="0.2">
      <c r="C54" s="27"/>
      <c r="E54" s="25"/>
    </row>
    <row r="55" spans="1:6" x14ac:dyDescent="0.2">
      <c r="C55" s="26"/>
    </row>
    <row r="56" spans="1:6" x14ac:dyDescent="0.2">
      <c r="C56" s="26"/>
    </row>
    <row r="57" spans="1:6" x14ac:dyDescent="0.2">
      <c r="B57" s="27"/>
      <c r="C57" s="26"/>
    </row>
    <row r="58" spans="1:6" x14ac:dyDescent="0.2">
      <c r="C58" s="26"/>
    </row>
    <row r="59" spans="1:6" x14ac:dyDescent="0.2">
      <c r="C59" s="27"/>
    </row>
    <row r="60" spans="1:6" x14ac:dyDescent="0.2">
      <c r="C60" s="27"/>
    </row>
    <row r="61" spans="1:6" x14ac:dyDescent="0.2">
      <c r="C61" s="27"/>
      <c r="D61" s="27"/>
    </row>
    <row r="62" spans="1:6" x14ac:dyDescent="0.2">
      <c r="C62" s="27"/>
      <c r="D62" s="27"/>
    </row>
    <row r="63" spans="1:6" x14ac:dyDescent="0.2">
      <c r="A63" s="27"/>
      <c r="C63" s="27"/>
      <c r="D63" s="27"/>
    </row>
    <row r="64" spans="1:6" x14ac:dyDescent="0.2">
      <c r="C64" s="27"/>
      <c r="D64" s="27"/>
    </row>
    <row r="65" spans="3:5" x14ac:dyDescent="0.2">
      <c r="C65" s="27"/>
    </row>
    <row r="66" spans="3:5" x14ac:dyDescent="0.2">
      <c r="C66" s="27"/>
    </row>
    <row r="67" spans="3:5" x14ac:dyDescent="0.2">
      <c r="C67" s="27"/>
    </row>
    <row r="68" spans="3:5" x14ac:dyDescent="0.2">
      <c r="C68" s="27"/>
      <c r="D68" s="4"/>
      <c r="E68" s="26"/>
    </row>
    <row r="69" spans="3:5" x14ac:dyDescent="0.2">
      <c r="C69" s="27"/>
      <c r="D69" s="4"/>
      <c r="E69" s="27"/>
    </row>
    <row r="70" spans="3:5" x14ac:dyDescent="0.2">
      <c r="C70" s="27"/>
      <c r="D70" s="4"/>
      <c r="E70" s="27"/>
    </row>
    <row r="71" spans="3:5" x14ac:dyDescent="0.2">
      <c r="C71" s="27"/>
      <c r="D71" s="4"/>
      <c r="E71" s="27"/>
    </row>
    <row r="72" spans="3:5" x14ac:dyDescent="0.2">
      <c r="C72" s="27"/>
      <c r="D72" s="4"/>
    </row>
    <row r="73" spans="3:5" x14ac:dyDescent="0.2">
      <c r="C73" s="27"/>
    </row>
    <row r="74" spans="3:5" x14ac:dyDescent="0.2">
      <c r="C74" s="27"/>
    </row>
    <row r="75" spans="3:5" x14ac:dyDescent="0.2">
      <c r="C75" s="2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E147"/>
  <sheetViews>
    <sheetView zoomScale="130" zoomScaleNormal="130" workbookViewId="0">
      <pane xSplit="2" ySplit="2" topLeftCell="AH112" activePane="bottomRight" state="frozen"/>
      <selection pane="topRight" activeCell="B1" sqref="B1"/>
      <selection pane="bottomLeft" activeCell="A2" sqref="A2"/>
      <selection pane="bottomRight" activeCell="AL129" sqref="AL129:AM129"/>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22" width="9.140625" style="7"/>
    <col min="23" max="28" width="9.140625" style="6"/>
    <col min="29" max="29" width="9.5703125" style="6" bestFit="1" customWidth="1"/>
    <col min="30" max="36" width="9.140625" style="6"/>
    <col min="37" max="37" width="10.7109375" style="6" bestFit="1" customWidth="1"/>
    <col min="38" max="16384" width="9.140625" style="6"/>
  </cols>
  <sheetData>
    <row r="1" spans="1:38" x14ac:dyDescent="0.2">
      <c r="A1" s="5" t="s">
        <v>42</v>
      </c>
    </row>
    <row r="2" spans="1:38" x14ac:dyDescent="0.2">
      <c r="C2" s="7" t="s">
        <v>43</v>
      </c>
      <c r="D2" s="7" t="s">
        <v>44</v>
      </c>
      <c r="E2" s="7" t="s">
        <v>45</v>
      </c>
      <c r="F2" s="7" t="s">
        <v>46</v>
      </c>
      <c r="G2" s="6" t="s">
        <v>28</v>
      </c>
      <c r="H2" s="7" t="s">
        <v>47</v>
      </c>
      <c r="I2" s="7" t="s">
        <v>48</v>
      </c>
      <c r="J2" s="7" t="s">
        <v>46</v>
      </c>
      <c r="K2" s="47" t="s">
        <v>261</v>
      </c>
      <c r="L2" s="47" t="s">
        <v>262</v>
      </c>
      <c r="M2" s="47" t="s">
        <v>263</v>
      </c>
      <c r="N2" s="47" t="s">
        <v>264</v>
      </c>
      <c r="P2" s="7">
        <v>2012</v>
      </c>
      <c r="Q2" s="7">
        <f>P2+1</f>
        <v>2013</v>
      </c>
      <c r="R2" s="7">
        <f t="shared" ref="R2:V2" si="0">Q2+1</f>
        <v>2014</v>
      </c>
      <c r="S2" s="7">
        <f t="shared" si="0"/>
        <v>2015</v>
      </c>
      <c r="T2" s="7">
        <f t="shared" si="0"/>
        <v>2016</v>
      </c>
      <c r="U2" s="7">
        <f t="shared" si="0"/>
        <v>2017</v>
      </c>
      <c r="V2" s="7">
        <f t="shared" si="0"/>
        <v>2018</v>
      </c>
      <c r="W2" s="8">
        <v>2019</v>
      </c>
      <c r="X2" s="8">
        <v>2020</v>
      </c>
      <c r="Y2" s="8">
        <f>X2+1</f>
        <v>2021</v>
      </c>
      <c r="Z2" s="8">
        <f t="shared" ref="Z2:AG2" si="1">Y2+1</f>
        <v>2022</v>
      </c>
      <c r="AA2" s="8">
        <f t="shared" si="1"/>
        <v>2023</v>
      </c>
      <c r="AB2" s="8">
        <f t="shared" si="1"/>
        <v>2024</v>
      </c>
      <c r="AC2" s="8">
        <f t="shared" si="1"/>
        <v>2025</v>
      </c>
      <c r="AD2" s="8">
        <f t="shared" si="1"/>
        <v>2026</v>
      </c>
      <c r="AE2" s="8">
        <f t="shared" si="1"/>
        <v>2027</v>
      </c>
      <c r="AF2" s="8">
        <f t="shared" si="1"/>
        <v>2028</v>
      </c>
      <c r="AG2" s="8">
        <f t="shared" si="1"/>
        <v>2029</v>
      </c>
      <c r="AH2" s="8">
        <f t="shared" ref="AH2" si="2">AG2+1</f>
        <v>2030</v>
      </c>
      <c r="AI2" s="31" t="s">
        <v>112</v>
      </c>
      <c r="AJ2" s="8"/>
      <c r="AK2" s="8"/>
      <c r="AL2" s="8"/>
    </row>
    <row r="3" spans="1:38" x14ac:dyDescent="0.2">
      <c r="B3" s="26" t="s">
        <v>68</v>
      </c>
      <c r="C3" s="6">
        <v>3550</v>
      </c>
      <c r="D3" s="6">
        <v>3640</v>
      </c>
      <c r="E3" s="6">
        <v>3720</v>
      </c>
      <c r="F3" s="6">
        <v>3840</v>
      </c>
      <c r="G3" s="6">
        <v>3920</v>
      </c>
      <c r="H3" s="6">
        <v>4020</v>
      </c>
      <c r="I3" s="6">
        <v>4120</v>
      </c>
      <c r="J3" s="6">
        <v>4250</v>
      </c>
      <c r="K3" s="6">
        <v>4300</v>
      </c>
      <c r="L3" s="6"/>
      <c r="M3" s="6"/>
      <c r="N3" s="6"/>
      <c r="O3" s="6"/>
      <c r="P3" s="6"/>
      <c r="Q3" s="6"/>
      <c r="R3" s="6"/>
      <c r="S3" s="6"/>
      <c r="T3" s="6"/>
      <c r="U3" s="6"/>
      <c r="V3" s="6"/>
      <c r="AC3" s="6">
        <f>AD3*0.92</f>
        <v>16468</v>
      </c>
      <c r="AD3" s="6">
        <v>17900</v>
      </c>
    </row>
    <row r="4" spans="1:38" x14ac:dyDescent="0.2">
      <c r="B4" s="26" t="s">
        <v>69</v>
      </c>
      <c r="C4" s="6">
        <v>1340</v>
      </c>
      <c r="D4" s="6">
        <v>1390</v>
      </c>
      <c r="E4" s="6">
        <v>1440</v>
      </c>
      <c r="F4" s="6">
        <v>1500</v>
      </c>
      <c r="G4" s="6">
        <v>1530</v>
      </c>
      <c r="H4" s="6">
        <v>1600</v>
      </c>
      <c r="I4" s="6">
        <v>1650</v>
      </c>
      <c r="J4" s="6">
        <v>1720</v>
      </c>
      <c r="K4" s="6">
        <v>1750</v>
      </c>
      <c r="L4" s="6"/>
      <c r="M4" s="6"/>
      <c r="N4" s="6"/>
      <c r="O4" s="6"/>
      <c r="P4" s="6"/>
      <c r="Q4" s="6"/>
      <c r="R4" s="6"/>
      <c r="S4" s="6"/>
      <c r="T4" s="6"/>
      <c r="U4" s="6"/>
      <c r="V4" s="6"/>
      <c r="AC4" s="6">
        <f>AD4*0.92</f>
        <v>6808</v>
      </c>
      <c r="AD4" s="6">
        <v>7400</v>
      </c>
    </row>
    <row r="5" spans="1:38" x14ac:dyDescent="0.2">
      <c r="C5" s="6"/>
      <c r="D5" s="6"/>
      <c r="E5" s="6"/>
      <c r="F5" s="6"/>
      <c r="H5" s="6"/>
      <c r="I5" s="6"/>
      <c r="J5" s="6"/>
      <c r="K5" s="6"/>
      <c r="L5" s="6"/>
      <c r="M5" s="6"/>
      <c r="N5" s="6"/>
      <c r="O5" s="6"/>
      <c r="P5" s="6"/>
      <c r="Q5" s="6"/>
      <c r="R5" s="6"/>
      <c r="S5" s="6"/>
      <c r="T5" s="6"/>
      <c r="U5" s="6"/>
      <c r="V5" s="6"/>
      <c r="AE5" s="10"/>
    </row>
    <row r="6" spans="1:38" x14ac:dyDescent="0.2">
      <c r="B6" s="40" t="s">
        <v>240</v>
      </c>
      <c r="C6" s="6"/>
      <c r="D6" s="6"/>
      <c r="E6" s="6"/>
      <c r="F6" s="6"/>
      <c r="H6" s="6"/>
      <c r="I6" s="6"/>
      <c r="J6" s="6"/>
      <c r="K6" s="6"/>
      <c r="L6" s="6"/>
      <c r="M6" s="6"/>
      <c r="N6" s="6"/>
      <c r="O6" s="6"/>
      <c r="P6" s="6"/>
      <c r="Q6" s="6"/>
      <c r="R6" s="6"/>
      <c r="S6" s="6"/>
      <c r="T6" s="6"/>
      <c r="U6" s="6"/>
      <c r="V6" s="6"/>
      <c r="AE6" s="10"/>
    </row>
    <row r="7" spans="1:38" x14ac:dyDescent="0.2">
      <c r="B7" s="40" t="s">
        <v>241</v>
      </c>
      <c r="C7" s="6">
        <v>20640</v>
      </c>
      <c r="D7" s="6">
        <v>21250</v>
      </c>
      <c r="E7" s="6">
        <v>21860</v>
      </c>
      <c r="F7" s="6">
        <v>22730</v>
      </c>
      <c r="G7" s="6">
        <v>23060</v>
      </c>
      <c r="H7" s="6">
        <v>23840</v>
      </c>
      <c r="I7" s="6">
        <v>24280</v>
      </c>
      <c r="J7" s="6">
        <v>25660</v>
      </c>
      <c r="K7" s="6"/>
      <c r="L7" s="6"/>
      <c r="M7" s="6"/>
      <c r="N7" s="6"/>
      <c r="O7" s="6"/>
      <c r="P7" s="6"/>
      <c r="Q7" s="6"/>
      <c r="R7" s="6"/>
      <c r="S7" s="6"/>
      <c r="T7" s="6"/>
      <c r="U7" s="6"/>
      <c r="V7" s="6"/>
      <c r="AC7" s="6">
        <v>25660</v>
      </c>
      <c r="AE7" s="10"/>
    </row>
    <row r="8" spans="1:38" x14ac:dyDescent="0.2">
      <c r="B8" s="40" t="s">
        <v>242</v>
      </c>
      <c r="F8" s="6">
        <f>F18-F17</f>
        <v>2700</v>
      </c>
      <c r="J8" s="48">
        <f>J18-J17</f>
        <v>4000</v>
      </c>
      <c r="K8" s="6"/>
      <c r="L8" s="6"/>
      <c r="M8" s="6"/>
      <c r="N8" s="6"/>
      <c r="O8" s="6"/>
      <c r="P8" s="6"/>
      <c r="Q8" s="6"/>
      <c r="R8" s="6"/>
      <c r="S8" s="6"/>
      <c r="T8" s="6"/>
      <c r="U8" s="6"/>
      <c r="V8" s="6"/>
      <c r="AE8" s="10"/>
    </row>
    <row r="9" spans="1:38" x14ac:dyDescent="0.2">
      <c r="B9" s="40" t="s">
        <v>245</v>
      </c>
      <c r="C9" s="6"/>
      <c r="D9" s="6"/>
      <c r="E9" s="6"/>
      <c r="F9" s="6"/>
      <c r="H9" s="6"/>
      <c r="I9" s="6"/>
      <c r="J9" s="14"/>
      <c r="K9" s="6"/>
      <c r="L9" s="6"/>
      <c r="M9" s="6"/>
      <c r="N9" s="6"/>
      <c r="O9" s="6"/>
      <c r="P9" s="6"/>
      <c r="Q9" s="6"/>
      <c r="R9" s="6"/>
      <c r="S9" s="6"/>
      <c r="T9" s="6"/>
      <c r="U9" s="6"/>
      <c r="V9" s="6"/>
    </row>
    <row r="10" spans="1:38" x14ac:dyDescent="0.2">
      <c r="B10" s="40" t="s">
        <v>243</v>
      </c>
      <c r="C10" s="6"/>
      <c r="D10" s="6"/>
      <c r="E10" s="6"/>
      <c r="F10" s="6"/>
      <c r="H10" s="6"/>
      <c r="I10" s="6"/>
      <c r="J10" s="6"/>
      <c r="K10" s="6"/>
      <c r="L10" s="6"/>
      <c r="M10" s="6"/>
      <c r="N10" s="6"/>
      <c r="O10" s="6"/>
      <c r="P10" s="6"/>
      <c r="Q10" s="6"/>
      <c r="R10" s="6"/>
      <c r="S10" s="6"/>
      <c r="T10" s="6"/>
      <c r="U10" s="6"/>
      <c r="V10" s="6"/>
      <c r="AE10" s="14">
        <f>-(AE29/AD29-1)</f>
        <v>0.5</v>
      </c>
    </row>
    <row r="11" spans="1:38" x14ac:dyDescent="0.2">
      <c r="B11" s="40" t="s">
        <v>244</v>
      </c>
      <c r="D11" s="6">
        <f>D12-C12</f>
        <v>2500</v>
      </c>
      <c r="E11" s="6">
        <f>E12-D12</f>
        <v>2700</v>
      </c>
      <c r="F11" s="6">
        <f>F12-E12</f>
        <v>3510</v>
      </c>
      <c r="G11" s="6">
        <f>G12-F12</f>
        <v>4790</v>
      </c>
      <c r="H11" s="6">
        <f>H12-G12</f>
        <v>4000</v>
      </c>
      <c r="I11" s="48"/>
      <c r="J11" s="48" t="s">
        <v>266</v>
      </c>
      <c r="K11" s="6"/>
      <c r="L11" s="6"/>
      <c r="M11" s="6"/>
      <c r="N11" s="6"/>
      <c r="O11" s="6"/>
      <c r="P11" s="6"/>
      <c r="Q11" s="6"/>
      <c r="R11" s="6"/>
      <c r="S11" s="6"/>
      <c r="T11" s="6"/>
      <c r="U11" s="6"/>
      <c r="V11" s="6"/>
    </row>
    <row r="12" spans="1:38" x14ac:dyDescent="0.2">
      <c r="B12" s="48" t="s">
        <v>294</v>
      </c>
      <c r="C12" s="6">
        <v>6500</v>
      </c>
      <c r="D12" s="6">
        <v>9000</v>
      </c>
      <c r="E12" s="6">
        <f>D12*1.3</f>
        <v>11700</v>
      </c>
      <c r="F12" s="6">
        <f>E12*1.3</f>
        <v>15210</v>
      </c>
      <c r="G12" s="6">
        <v>20000</v>
      </c>
      <c r="H12" s="6">
        <v>24000</v>
      </c>
      <c r="I12" s="48"/>
      <c r="J12" s="48"/>
      <c r="K12" s="6"/>
      <c r="L12" s="6"/>
      <c r="M12" s="6"/>
      <c r="N12" s="6"/>
      <c r="O12" s="6"/>
      <c r="P12" s="6"/>
      <c r="Q12" s="6"/>
      <c r="R12" s="6"/>
      <c r="S12" s="6"/>
      <c r="T12" s="6"/>
      <c r="U12" s="6"/>
      <c r="V12" s="6"/>
    </row>
    <row r="13" spans="1:38" x14ac:dyDescent="0.2">
      <c r="B13" s="48" t="s">
        <v>265</v>
      </c>
      <c r="C13" s="6">
        <v>17580</v>
      </c>
      <c r="D13" s="6">
        <v>17860</v>
      </c>
      <c r="E13" s="6">
        <v>18140</v>
      </c>
      <c r="F13" s="6">
        <v>19960</v>
      </c>
      <c r="G13" s="6">
        <v>19690</v>
      </c>
      <c r="H13" s="6">
        <v>19690</v>
      </c>
      <c r="I13" s="6">
        <v>20440</v>
      </c>
      <c r="J13" s="6">
        <v>22520</v>
      </c>
      <c r="K13" s="6"/>
      <c r="L13" s="6"/>
      <c r="M13" s="6"/>
      <c r="N13" s="6"/>
      <c r="O13" s="6"/>
      <c r="P13" s="6"/>
      <c r="Q13" s="6"/>
      <c r="R13" s="6"/>
      <c r="S13" s="6"/>
      <c r="T13" s="6"/>
      <c r="U13" s="6"/>
      <c r="V13" s="6"/>
      <c r="AE13" s="10"/>
    </row>
    <row r="14" spans="1:38" x14ac:dyDescent="0.2">
      <c r="B14" s="48" t="s">
        <v>267</v>
      </c>
      <c r="C14" s="14">
        <v>0.68</v>
      </c>
      <c r="D14" s="14">
        <v>0.68</v>
      </c>
      <c r="E14" s="14">
        <v>0.69</v>
      </c>
      <c r="F14" s="14">
        <v>0.67</v>
      </c>
      <c r="G14" s="14">
        <v>0.67</v>
      </c>
      <c r="H14" s="14">
        <v>0.67</v>
      </c>
      <c r="I14" s="14">
        <v>0.67</v>
      </c>
      <c r="J14" s="14">
        <v>0.65</v>
      </c>
      <c r="K14" s="6"/>
      <c r="L14" s="6"/>
      <c r="M14" s="6"/>
      <c r="N14" s="6"/>
      <c r="O14" s="6"/>
      <c r="P14" s="6"/>
      <c r="Q14" s="6"/>
      <c r="R14" s="6"/>
      <c r="S14" s="6"/>
      <c r="T14" s="6"/>
      <c r="U14" s="6"/>
      <c r="V14" s="6"/>
      <c r="AE14" s="10"/>
    </row>
    <row r="15" spans="1:38" x14ac:dyDescent="0.2">
      <c r="B15" s="48" t="s">
        <v>268</v>
      </c>
      <c r="C15" s="14"/>
      <c r="D15" s="14"/>
      <c r="E15" s="14"/>
      <c r="F15" s="6">
        <f>J15/1.25</f>
        <v>120</v>
      </c>
      <c r="G15" s="14"/>
      <c r="H15" s="14"/>
      <c r="I15" s="14"/>
      <c r="J15" s="6">
        <v>150</v>
      </c>
      <c r="K15" s="6"/>
      <c r="L15" s="6"/>
      <c r="M15" s="6"/>
      <c r="N15" s="6"/>
      <c r="O15" s="6"/>
      <c r="P15" s="6"/>
      <c r="Q15" s="6"/>
      <c r="R15" s="6"/>
      <c r="S15" s="6"/>
      <c r="T15" s="6"/>
      <c r="U15" s="6"/>
      <c r="V15" s="6"/>
      <c r="AE15" s="10"/>
    </row>
    <row r="16" spans="1:38" x14ac:dyDescent="0.2">
      <c r="B16" s="48" t="s">
        <v>269</v>
      </c>
      <c r="C16" s="14"/>
      <c r="D16" s="14"/>
      <c r="E16" s="14"/>
      <c r="F16" s="6"/>
      <c r="G16" s="14"/>
      <c r="H16" s="14"/>
      <c r="I16" s="14"/>
      <c r="J16" s="48" t="s">
        <v>270</v>
      </c>
      <c r="K16" s="6"/>
      <c r="L16" s="6"/>
      <c r="M16" s="6"/>
      <c r="N16" s="6"/>
      <c r="O16" s="6"/>
      <c r="P16" s="6"/>
      <c r="Q16" s="6"/>
      <c r="R16" s="6"/>
      <c r="S16" s="6"/>
      <c r="T16" s="6"/>
      <c r="U16" s="6"/>
      <c r="V16" s="6"/>
      <c r="AE16" s="10"/>
    </row>
    <row r="17" spans="1:35" x14ac:dyDescent="0.2">
      <c r="B17" s="48" t="s">
        <v>275</v>
      </c>
      <c r="C17" s="14"/>
      <c r="D17" s="14"/>
      <c r="E17" s="14"/>
      <c r="F17" s="6">
        <f>J17/1.25</f>
        <v>800</v>
      </c>
      <c r="G17" s="14"/>
      <c r="H17" s="14"/>
      <c r="I17" s="14"/>
      <c r="J17" s="48">
        <v>1000</v>
      </c>
      <c r="K17" s="6"/>
      <c r="L17" s="6"/>
      <c r="M17" s="6"/>
      <c r="N17" s="6"/>
      <c r="O17" s="6"/>
      <c r="P17" s="6"/>
      <c r="Q17" s="6"/>
      <c r="R17" s="6"/>
      <c r="S17" s="6"/>
      <c r="T17" s="6"/>
      <c r="U17" s="6"/>
      <c r="V17" s="6"/>
      <c r="AE17" s="10"/>
    </row>
    <row r="18" spans="1:35" x14ac:dyDescent="0.2">
      <c r="B18" s="48" t="s">
        <v>276</v>
      </c>
      <c r="C18" s="14"/>
      <c r="D18" s="14"/>
      <c r="E18" s="14"/>
      <c r="F18" s="6">
        <v>3500</v>
      </c>
      <c r="G18" s="14"/>
      <c r="H18" s="14"/>
      <c r="I18" s="14"/>
      <c r="J18" s="48">
        <v>5000</v>
      </c>
      <c r="K18" s="6"/>
      <c r="L18" s="6"/>
      <c r="M18" s="6"/>
      <c r="N18" s="6"/>
      <c r="O18" s="6"/>
      <c r="P18" s="6"/>
      <c r="Q18" s="6"/>
      <c r="R18" s="6"/>
      <c r="S18" s="6"/>
      <c r="T18" s="6"/>
      <c r="U18" s="6"/>
      <c r="V18" s="6"/>
      <c r="AE18" s="10"/>
    </row>
    <row r="19" spans="1:35" x14ac:dyDescent="0.2">
      <c r="B19" s="48" t="s">
        <v>280</v>
      </c>
      <c r="C19" s="14"/>
      <c r="D19" s="14"/>
      <c r="E19" s="14"/>
      <c r="F19" s="14"/>
      <c r="G19" s="6">
        <v>125</v>
      </c>
      <c r="H19" s="14"/>
      <c r="I19" s="14"/>
      <c r="J19" s="6">
        <v>250</v>
      </c>
      <c r="K19" s="6"/>
      <c r="L19" s="6"/>
      <c r="M19" s="6"/>
      <c r="N19" s="6"/>
      <c r="O19" s="6"/>
      <c r="P19" s="6"/>
      <c r="Q19" s="6"/>
      <c r="R19" s="6"/>
      <c r="S19" s="6"/>
      <c r="T19" s="6"/>
      <c r="U19" s="6"/>
      <c r="V19" s="6"/>
      <c r="AE19" s="10"/>
    </row>
    <row r="20" spans="1:35" x14ac:dyDescent="0.2">
      <c r="B20" s="48" t="s">
        <v>282</v>
      </c>
      <c r="C20" s="14"/>
      <c r="D20" s="14"/>
      <c r="E20" s="14"/>
      <c r="F20" s="14"/>
      <c r="H20" s="14"/>
      <c r="I20" s="14"/>
      <c r="J20" s="6"/>
      <c r="K20" s="6"/>
      <c r="L20" s="6"/>
      <c r="M20" s="6"/>
      <c r="N20" s="6"/>
      <c r="O20" s="6"/>
      <c r="P20" s="6"/>
      <c r="Q20" s="6"/>
      <c r="R20" s="6"/>
      <c r="S20" s="6"/>
      <c r="T20" s="6"/>
      <c r="U20" s="6"/>
      <c r="V20" s="6"/>
      <c r="AB20" s="6">
        <v>205000</v>
      </c>
      <c r="AE20" s="48">
        <v>293000</v>
      </c>
    </row>
    <row r="21" spans="1:35" x14ac:dyDescent="0.2">
      <c r="B21" s="48" t="s">
        <v>284</v>
      </c>
      <c r="C21" s="14"/>
      <c r="D21" s="14"/>
      <c r="E21" s="14"/>
      <c r="F21" s="14"/>
      <c r="H21" s="14"/>
      <c r="I21" s="14"/>
      <c r="J21" s="6"/>
      <c r="K21" s="6"/>
      <c r="L21" s="6"/>
      <c r="M21" s="6"/>
      <c r="N21" s="6"/>
      <c r="O21" s="6"/>
      <c r="P21" s="6"/>
      <c r="Q21" s="6"/>
      <c r="R21" s="6"/>
      <c r="S21" s="6"/>
      <c r="T21" s="6"/>
      <c r="U21" s="6"/>
      <c r="V21" s="6"/>
      <c r="AB21" s="6">
        <v>32000</v>
      </c>
      <c r="AC21" s="6">
        <f>AB21*1.14</f>
        <v>36480</v>
      </c>
      <c r="AD21" s="6">
        <f>AC21*1.14</f>
        <v>41587.199999999997</v>
      </c>
      <c r="AE21" s="48">
        <v>47000</v>
      </c>
    </row>
    <row r="22" spans="1:35" x14ac:dyDescent="0.2">
      <c r="B22" s="48" t="s">
        <v>283</v>
      </c>
      <c r="C22" s="14"/>
      <c r="D22" s="14"/>
      <c r="E22" s="14"/>
      <c r="F22" s="14"/>
      <c r="H22" s="14"/>
      <c r="I22" s="14"/>
      <c r="J22" s="6"/>
      <c r="K22" s="6"/>
      <c r="L22" s="6"/>
      <c r="M22" s="6"/>
      <c r="N22" s="6"/>
      <c r="O22" s="6"/>
      <c r="P22" s="6"/>
      <c r="Q22" s="6"/>
      <c r="R22" s="6"/>
      <c r="S22" s="6"/>
      <c r="T22" s="6"/>
      <c r="U22" s="6"/>
      <c r="V22" s="6"/>
      <c r="AB22" s="6">
        <v>63000</v>
      </c>
      <c r="AE22" s="48">
        <v>91000</v>
      </c>
    </row>
    <row r="23" spans="1:35" x14ac:dyDescent="0.2">
      <c r="B23" s="48" t="s">
        <v>285</v>
      </c>
      <c r="C23" s="14"/>
      <c r="D23" s="14"/>
      <c r="E23" s="14"/>
      <c r="F23" s="14"/>
      <c r="H23" s="14"/>
      <c r="I23" s="14"/>
      <c r="J23" s="6"/>
      <c r="K23" s="6"/>
      <c r="L23" s="6"/>
      <c r="M23" s="6"/>
      <c r="N23" s="6"/>
      <c r="O23" s="6"/>
      <c r="P23" s="6"/>
      <c r="Q23" s="6"/>
      <c r="R23" s="6"/>
      <c r="S23" s="6"/>
      <c r="T23" s="6"/>
      <c r="U23" s="6"/>
      <c r="V23" s="6"/>
      <c r="AB23" s="6">
        <v>110000</v>
      </c>
      <c r="AE23" s="48">
        <v>155000</v>
      </c>
    </row>
    <row r="24" spans="1:35" x14ac:dyDescent="0.2">
      <c r="B24" s="48"/>
      <c r="C24" s="14"/>
      <c r="D24" s="14"/>
      <c r="E24" s="14"/>
      <c r="F24" s="14"/>
      <c r="H24" s="14"/>
      <c r="I24" s="14"/>
      <c r="J24" s="6"/>
      <c r="K24" s="6"/>
      <c r="L24" s="6"/>
      <c r="M24" s="6"/>
      <c r="N24" s="6"/>
      <c r="O24" s="6"/>
      <c r="P24" s="6"/>
      <c r="Q24" s="6"/>
      <c r="R24" s="6"/>
      <c r="S24" s="6"/>
      <c r="T24" s="6"/>
      <c r="U24" s="6"/>
      <c r="V24" s="6"/>
      <c r="AB24" s="14"/>
      <c r="AC24" s="14"/>
      <c r="AD24" s="14"/>
      <c r="AE24" s="14"/>
    </row>
    <row r="25" spans="1:35" x14ac:dyDescent="0.2">
      <c r="B25" s="29" t="s">
        <v>105</v>
      </c>
      <c r="C25" s="6"/>
      <c r="D25" s="6"/>
      <c r="E25" s="6"/>
      <c r="F25" s="6"/>
      <c r="H25" s="6"/>
      <c r="I25" s="6"/>
      <c r="J25" s="6"/>
      <c r="K25" s="6"/>
      <c r="L25" s="6"/>
      <c r="M25" s="6"/>
      <c r="N25" s="6"/>
      <c r="O25" s="6"/>
      <c r="P25" s="6"/>
      <c r="Q25" s="6"/>
      <c r="R25" s="6"/>
      <c r="S25" s="6"/>
      <c r="T25" s="6"/>
      <c r="U25" s="6"/>
      <c r="V25" s="6"/>
      <c r="AC25" s="6">
        <v>40</v>
      </c>
      <c r="AD25" s="6">
        <f>AD27+AD29</f>
        <v>43.43888888888889</v>
      </c>
      <c r="AE25" s="6">
        <f t="shared" ref="AE25:AH25" si="3">AE27+AE29</f>
        <v>43.034444444444446</v>
      </c>
      <c r="AF25" s="6">
        <f t="shared" si="3"/>
        <v>46.610977777777791</v>
      </c>
      <c r="AG25" s="6">
        <f t="shared" si="3"/>
        <v>50.489687111111124</v>
      </c>
      <c r="AH25" s="6">
        <f t="shared" si="3"/>
        <v>54.696672924444456</v>
      </c>
    </row>
    <row r="26" spans="1:35" x14ac:dyDescent="0.2">
      <c r="B26" s="29" t="s">
        <v>104</v>
      </c>
      <c r="C26" s="6"/>
      <c r="D26" s="6"/>
      <c r="E26" s="6"/>
      <c r="F26" s="6"/>
      <c r="H26" s="6"/>
      <c r="I26" s="6"/>
      <c r="J26" s="6"/>
      <c r="K26" s="6"/>
      <c r="L26" s="6"/>
      <c r="M26" s="6"/>
      <c r="N26" s="6"/>
      <c r="O26" s="6"/>
      <c r="P26" s="6"/>
      <c r="Q26" s="6"/>
      <c r="R26" s="6"/>
      <c r="S26" s="6"/>
      <c r="T26" s="6"/>
      <c r="U26" s="6"/>
      <c r="V26" s="6"/>
      <c r="AC26" s="6">
        <f>AC34/AC25/12</f>
        <v>28.958333333333332</v>
      </c>
      <c r="AD26" s="6">
        <f>AD34/AD25/12</f>
        <v>29.239033124440468</v>
      </c>
      <c r="AE26" s="6">
        <f>AE34/AE25/12</f>
        <v>28.693836978131213</v>
      </c>
      <c r="AF26" s="6">
        <f>AF34/AF25/12</f>
        <v>28.955894033546695</v>
      </c>
      <c r="AG26" s="6">
        <f>AG34/AG25/12</f>
        <v>29.226072763849615</v>
      </c>
      <c r="AH26" s="6">
        <f>AH34/AH25/12</f>
        <v>29.504569582185876</v>
      </c>
    </row>
    <row r="27" spans="1:35" x14ac:dyDescent="0.2">
      <c r="B27" s="29" t="s">
        <v>107</v>
      </c>
      <c r="C27" s="6"/>
      <c r="D27" s="6"/>
      <c r="E27" s="6"/>
      <c r="F27" s="6"/>
      <c r="H27" s="6"/>
      <c r="I27" s="6"/>
      <c r="J27" s="6"/>
      <c r="K27" s="6"/>
      <c r="L27" s="6"/>
      <c r="M27" s="6"/>
      <c r="N27" s="6"/>
      <c r="O27" s="6"/>
      <c r="P27" s="6"/>
      <c r="Q27" s="6"/>
      <c r="R27" s="6"/>
      <c r="S27" s="6"/>
      <c r="T27" s="6"/>
      <c r="U27" s="6"/>
      <c r="V27" s="6"/>
      <c r="AC27" s="6">
        <f>AC25-AC29</f>
        <v>34.027777777777779</v>
      </c>
      <c r="AD27" s="6">
        <f>AC27*1.08</f>
        <v>36.75</v>
      </c>
      <c r="AE27" s="6">
        <f t="shared" ref="AE27:AH27" si="4">AD27*1.08</f>
        <v>39.690000000000005</v>
      </c>
      <c r="AF27" s="6">
        <f t="shared" si="4"/>
        <v>42.865200000000009</v>
      </c>
      <c r="AG27" s="6">
        <f t="shared" si="4"/>
        <v>46.294416000000012</v>
      </c>
      <c r="AH27" s="6">
        <f t="shared" si="4"/>
        <v>49.997969280000014</v>
      </c>
    </row>
    <row r="28" spans="1:35" x14ac:dyDescent="0.2">
      <c r="B28" s="29" t="s">
        <v>106</v>
      </c>
      <c r="C28" s="6"/>
      <c r="D28" s="6"/>
      <c r="E28" s="6"/>
      <c r="F28" s="6"/>
      <c r="H28" s="6"/>
      <c r="I28" s="6"/>
      <c r="J28" s="6"/>
      <c r="K28" s="6"/>
      <c r="L28" s="6"/>
      <c r="M28" s="6"/>
      <c r="N28" s="6"/>
      <c r="O28" s="6"/>
      <c r="P28" s="6"/>
      <c r="Q28" s="6"/>
      <c r="R28" s="6"/>
      <c r="S28" s="6"/>
      <c r="T28" s="6"/>
      <c r="U28" s="6"/>
      <c r="V28" s="6"/>
      <c r="AC28" s="6">
        <f>'CC Model'!C4</f>
        <v>20</v>
      </c>
      <c r="AD28" s="6">
        <f>AC28</f>
        <v>20</v>
      </c>
      <c r="AE28" s="6">
        <f>AD28*1.05</f>
        <v>21</v>
      </c>
      <c r="AF28" s="6">
        <f>AE28</f>
        <v>21</v>
      </c>
      <c r="AG28" s="6">
        <f t="shared" ref="AG28:AH28" si="5">AF28</f>
        <v>21</v>
      </c>
      <c r="AH28" s="6">
        <f t="shared" si="5"/>
        <v>21</v>
      </c>
    </row>
    <row r="29" spans="1:35" x14ac:dyDescent="0.2">
      <c r="B29" s="29" t="s">
        <v>102</v>
      </c>
      <c r="C29" s="6"/>
      <c r="D29" s="6"/>
      <c r="E29" s="6"/>
      <c r="F29" s="6"/>
      <c r="H29" s="6"/>
      <c r="I29" s="6"/>
      <c r="J29" s="6"/>
      <c r="K29" s="6"/>
      <c r="L29" s="6"/>
      <c r="M29" s="6"/>
      <c r="N29" s="6"/>
      <c r="O29" s="6"/>
      <c r="P29" s="6"/>
      <c r="Q29" s="6"/>
      <c r="R29" s="6"/>
      <c r="S29" s="6"/>
      <c r="T29" s="6"/>
      <c r="U29" s="6"/>
      <c r="V29" s="6"/>
      <c r="AC29" s="6">
        <f>'CC Model'!C6</f>
        <v>5.9722222222222223</v>
      </c>
      <c r="AD29" s="6">
        <f>AC29*1.12</f>
        <v>6.68888888888889</v>
      </c>
      <c r="AE29" s="6">
        <f>AD29*0.5</f>
        <v>3.344444444444445</v>
      </c>
      <c r="AF29" s="6">
        <f>AE29*1.12</f>
        <v>3.7457777777777785</v>
      </c>
      <c r="AG29" s="6">
        <f t="shared" ref="AG29:AH29" si="6">AF29*1.12</f>
        <v>4.1952711111111123</v>
      </c>
      <c r="AH29" s="6">
        <f t="shared" si="6"/>
        <v>4.6987036444444463</v>
      </c>
      <c r="AI29" s="6">
        <f>AH29/AC29-1</f>
        <v>-0.21324031999999971</v>
      </c>
    </row>
    <row r="30" spans="1:35" x14ac:dyDescent="0.2">
      <c r="B30" s="29" t="s">
        <v>103</v>
      </c>
      <c r="C30" s="6"/>
      <c r="D30" s="6"/>
      <c r="E30" s="6"/>
      <c r="F30" s="6"/>
      <c r="H30" s="6"/>
      <c r="I30" s="6"/>
      <c r="J30" s="6"/>
      <c r="K30" s="6"/>
      <c r="L30" s="6"/>
      <c r="M30" s="6"/>
      <c r="N30" s="6"/>
      <c r="O30" s="6"/>
      <c r="P30" s="6"/>
      <c r="Q30" s="6"/>
      <c r="R30" s="6"/>
      <c r="S30" s="6"/>
      <c r="T30" s="6"/>
      <c r="U30" s="6"/>
      <c r="V30" s="6"/>
      <c r="AC30" s="6">
        <f>'CC Model'!C5</f>
        <v>80</v>
      </c>
      <c r="AD30" s="6">
        <f>AC30</f>
        <v>80</v>
      </c>
      <c r="AE30" s="6">
        <v>120</v>
      </c>
      <c r="AF30" s="6">
        <f>AE30</f>
        <v>120</v>
      </c>
      <c r="AG30" s="6">
        <f t="shared" ref="AG30:AH30" si="7">AF30</f>
        <v>120</v>
      </c>
      <c r="AH30" s="6">
        <f t="shared" si="7"/>
        <v>120</v>
      </c>
    </row>
    <row r="31" spans="1:35" x14ac:dyDescent="0.2">
      <c r="C31" s="6"/>
      <c r="D31" s="6"/>
      <c r="E31" s="6"/>
      <c r="F31" s="6"/>
      <c r="H31" s="6"/>
      <c r="I31" s="6"/>
      <c r="J31" s="6"/>
      <c r="K31" s="6"/>
      <c r="L31" s="6"/>
      <c r="M31" s="6"/>
      <c r="N31" s="6"/>
      <c r="O31" s="6"/>
      <c r="P31" s="6"/>
      <c r="Q31" s="6"/>
      <c r="R31" s="6"/>
      <c r="S31" s="6"/>
      <c r="T31" s="6"/>
      <c r="U31" s="6"/>
      <c r="V31" s="6"/>
      <c r="AE31" s="10"/>
    </row>
    <row r="32" spans="1:35" s="10" customFormat="1" x14ac:dyDescent="0.2">
      <c r="A32" s="6"/>
      <c r="B32" s="10" t="s">
        <v>70</v>
      </c>
      <c r="J32" s="10" t="s">
        <v>274</v>
      </c>
      <c r="Z32" s="10">
        <f>Y43</f>
        <v>3400</v>
      </c>
      <c r="AA32" s="10">
        <f>Z43</f>
        <v>3841.9999999999995</v>
      </c>
      <c r="AB32" s="10">
        <f>AA43</f>
        <v>4341.4599999999991</v>
      </c>
      <c r="AC32" s="10">
        <f>AB43</f>
        <v>4900</v>
      </c>
      <c r="AD32" s="10">
        <f>AC43</f>
        <v>5536.9999999999991</v>
      </c>
      <c r="AE32" s="10">
        <f>AD32*1.13</f>
        <v>6256.8099999999986</v>
      </c>
      <c r="AF32" s="10">
        <f>AE32*1.13</f>
        <v>7070.1952999999976</v>
      </c>
      <c r="AG32" s="10">
        <f t="shared" ref="AG32:AH32" si="8">AF32*1.13</f>
        <v>7989.3206889999965</v>
      </c>
      <c r="AH32" s="10">
        <f t="shared" si="8"/>
        <v>9027.9323785699944</v>
      </c>
    </row>
    <row r="33" spans="1:34" x14ac:dyDescent="0.2">
      <c r="B33" s="26" t="s">
        <v>71</v>
      </c>
      <c r="C33" s="6"/>
      <c r="D33" s="6"/>
      <c r="E33" s="6"/>
      <c r="F33" s="6"/>
      <c r="H33" s="6"/>
      <c r="I33" s="6"/>
      <c r="J33" s="6"/>
      <c r="K33" s="6"/>
      <c r="L33" s="6"/>
      <c r="M33" s="6"/>
      <c r="N33" s="6"/>
      <c r="O33" s="6"/>
      <c r="P33" s="6"/>
      <c r="Q33" s="6"/>
      <c r="R33" s="6"/>
      <c r="S33" s="6"/>
      <c r="T33" s="6"/>
      <c r="U33" s="6"/>
      <c r="V33" s="6"/>
      <c r="AA33" s="14"/>
      <c r="AB33" s="14"/>
      <c r="AC33" s="14"/>
      <c r="AD33" s="14"/>
      <c r="AE33" s="14"/>
      <c r="AF33" s="14"/>
      <c r="AG33" s="14"/>
      <c r="AH33" s="14"/>
    </row>
    <row r="34" spans="1:34" s="10" customFormat="1" x14ac:dyDescent="0.2">
      <c r="A34" s="6"/>
      <c r="B34" s="10" t="s">
        <v>273</v>
      </c>
      <c r="P34" s="10">
        <f>P45-P37</f>
        <v>2600</v>
      </c>
      <c r="Z34" s="10">
        <f>Y41</f>
        <v>10300</v>
      </c>
      <c r="AA34" s="10">
        <f>Z41</f>
        <v>11433.000000000002</v>
      </c>
      <c r="AB34" s="10">
        <v>12680</v>
      </c>
      <c r="AC34" s="10">
        <f>AB41</f>
        <v>13900</v>
      </c>
      <c r="AD34" s="10">
        <f>SUM(AD35:AD36)</f>
        <v>15241.333333333334</v>
      </c>
      <c r="AE34" s="10">
        <f>SUM(AE35:AE36)</f>
        <v>14817.880000000001</v>
      </c>
      <c r="AF34" s="10">
        <f t="shared" ref="AF34:AH34" si="9">SUM(AF35:AF36)</f>
        <v>16195.950400000002</v>
      </c>
      <c r="AG34" s="10">
        <f t="shared" si="9"/>
        <v>17707.383232000004</v>
      </c>
      <c r="AH34" s="10">
        <f t="shared" si="9"/>
        <v>19365.621506560004</v>
      </c>
    </row>
    <row r="35" spans="1:34" s="10" customFormat="1" x14ac:dyDescent="0.2">
      <c r="A35" s="6"/>
      <c r="B35" s="29" t="s">
        <v>80</v>
      </c>
      <c r="AC35" s="29">
        <f>AC30*12*AC29</f>
        <v>5733.333333333333</v>
      </c>
      <c r="AD35" s="29">
        <f>AD30*12*AD29</f>
        <v>6421.3333333333339</v>
      </c>
      <c r="AE35" s="29">
        <f>AE30*12*AE29</f>
        <v>4816.0000000000009</v>
      </c>
      <c r="AF35" s="29">
        <f>AF30*12*AF29</f>
        <v>5393.920000000001</v>
      </c>
      <c r="AG35" s="29">
        <f>AG30*12*AG29</f>
        <v>6041.1904000000013</v>
      </c>
      <c r="AH35" s="29">
        <f>AH30*12*AH29</f>
        <v>6766.1332480000028</v>
      </c>
    </row>
    <row r="36" spans="1:34" s="10" customFormat="1" x14ac:dyDescent="0.2">
      <c r="A36" s="6"/>
      <c r="B36" s="29" t="s">
        <v>77</v>
      </c>
      <c r="P36" s="29"/>
      <c r="Q36" s="29"/>
      <c r="R36" s="29"/>
      <c r="S36" s="29"/>
      <c r="T36" s="29"/>
      <c r="U36" s="29"/>
      <c r="V36" s="29"/>
      <c r="W36" s="29"/>
      <c r="X36" s="29"/>
      <c r="Y36" s="29"/>
      <c r="Z36" s="29"/>
      <c r="AA36" s="29"/>
      <c r="AC36" s="29">
        <f>AC28*12*AC27</f>
        <v>8166.666666666667</v>
      </c>
      <c r="AD36" s="29">
        <f>AD28*12*AD27</f>
        <v>8820</v>
      </c>
      <c r="AE36" s="29">
        <f>AE28*12*AE27</f>
        <v>10001.880000000001</v>
      </c>
      <c r="AF36" s="29">
        <f>AF28*12*AF27</f>
        <v>10802.030400000001</v>
      </c>
      <c r="AG36" s="29">
        <f>AG28*12*AG27</f>
        <v>11666.192832000002</v>
      </c>
      <c r="AH36" s="29">
        <f>AH28*12*AH27</f>
        <v>12599.488258560003</v>
      </c>
    </row>
    <row r="37" spans="1:34" s="10" customFormat="1" x14ac:dyDescent="0.2">
      <c r="A37" s="6"/>
      <c r="B37" s="10" t="s">
        <v>272</v>
      </c>
      <c r="P37" s="10">
        <v>400</v>
      </c>
      <c r="Z37" s="10">
        <f>Y40</f>
        <v>1900</v>
      </c>
      <c r="AA37" s="10">
        <f>Z40</f>
        <v>2337</v>
      </c>
      <c r="AB37" s="10">
        <f>AA40</f>
        <v>2874.5099999999998</v>
      </c>
      <c r="AC37" s="10">
        <f>AB40</f>
        <v>3500</v>
      </c>
      <c r="AD37" s="10">
        <f>AC40</f>
        <v>4305</v>
      </c>
      <c r="AE37" s="10">
        <f>AD37*1.2</f>
        <v>5166</v>
      </c>
      <c r="AF37" s="10">
        <f t="shared" ref="AF37:AH37" si="10">AE37*1.2</f>
        <v>6199.2</v>
      </c>
      <c r="AG37" s="10">
        <f t="shared" si="10"/>
        <v>7439.0399999999991</v>
      </c>
      <c r="AH37" s="10">
        <f t="shared" si="10"/>
        <v>8926.8479999999981</v>
      </c>
    </row>
    <row r="38" spans="1:34" s="10" customFormat="1" x14ac:dyDescent="0.2">
      <c r="A38" s="6"/>
      <c r="B38" s="10" t="s">
        <v>86</v>
      </c>
      <c r="Z38" s="10">
        <f>Z46-Y43</f>
        <v>1000</v>
      </c>
      <c r="AA38" s="10">
        <f>AA46-Z43</f>
        <v>1058.0000000000005</v>
      </c>
      <c r="AB38" s="10">
        <f>AB46-AA43</f>
        <v>1028.5400000000009</v>
      </c>
      <c r="AC38" s="10">
        <f>AC46-AB43</f>
        <v>950</v>
      </c>
      <c r="AD38" s="10">
        <f>AC38*0.95</f>
        <v>902.5</v>
      </c>
      <c r="AE38" s="10">
        <f t="shared" ref="AE38:AH38" si="11">AD38*0.95</f>
        <v>857.375</v>
      </c>
      <c r="AF38" s="10">
        <f t="shared" si="11"/>
        <v>814.50624999999991</v>
      </c>
      <c r="AG38" s="10">
        <f t="shared" si="11"/>
        <v>773.78093749999982</v>
      </c>
      <c r="AH38" s="10">
        <f t="shared" si="11"/>
        <v>735.09189062499979</v>
      </c>
    </row>
    <row r="39" spans="1:34" s="10" customFormat="1" x14ac:dyDescent="0.2">
      <c r="A39" s="6"/>
      <c r="Z39" s="12"/>
      <c r="AA39" s="12"/>
      <c r="AB39" s="12"/>
      <c r="AC39" s="12"/>
      <c r="AD39" s="12"/>
    </row>
    <row r="40" spans="1:34" s="10" customFormat="1" x14ac:dyDescent="0.2">
      <c r="A40" s="6"/>
      <c r="B40" s="48" t="s">
        <v>277</v>
      </c>
      <c r="Y40" s="48">
        <v>1900</v>
      </c>
      <c r="Z40" s="48">
        <f>Y40*1.23</f>
        <v>2337</v>
      </c>
      <c r="AA40" s="48">
        <f>Z40*1.23</f>
        <v>2874.5099999999998</v>
      </c>
      <c r="AB40" s="48">
        <v>3500</v>
      </c>
      <c r="AC40" s="48">
        <f>AB40*1.23</f>
        <v>4305</v>
      </c>
      <c r="AD40" s="48"/>
      <c r="AE40" s="48"/>
      <c r="AF40" s="48"/>
      <c r="AG40" s="48"/>
      <c r="AH40" s="48"/>
    </row>
    <row r="41" spans="1:34" s="10" customFormat="1" x14ac:dyDescent="0.2">
      <c r="A41" s="6"/>
      <c r="B41" s="48" t="s">
        <v>278</v>
      </c>
      <c r="Y41" s="48">
        <v>10300</v>
      </c>
      <c r="Z41" s="48">
        <f>Y41*1.11</f>
        <v>11433.000000000002</v>
      </c>
      <c r="AA41" s="48">
        <f>Z41*1.11</f>
        <v>12690.630000000003</v>
      </c>
      <c r="AB41" s="48">
        <v>13900</v>
      </c>
      <c r="AC41" s="48">
        <f>AB41*1.1</f>
        <v>15290.000000000002</v>
      </c>
    </row>
    <row r="42" spans="1:34" s="10" customFormat="1" x14ac:dyDescent="0.2">
      <c r="A42" s="6"/>
      <c r="B42" s="48" t="s">
        <v>281</v>
      </c>
      <c r="Y42" s="48">
        <v>1500</v>
      </c>
      <c r="Z42" s="48">
        <v>1800</v>
      </c>
      <c r="AA42" s="48">
        <v>1900</v>
      </c>
      <c r="AB42" s="48">
        <v>2200</v>
      </c>
      <c r="AC42" s="48">
        <f>AB42*1.18</f>
        <v>2596</v>
      </c>
      <c r="AD42" s="12"/>
    </row>
    <row r="43" spans="1:34" s="10" customFormat="1" x14ac:dyDescent="0.2">
      <c r="A43" s="6"/>
      <c r="B43" s="48" t="s">
        <v>279</v>
      </c>
      <c r="Y43" s="48">
        <v>3400</v>
      </c>
      <c r="Z43" s="48">
        <f>Y43*1.13</f>
        <v>3841.9999999999995</v>
      </c>
      <c r="AA43" s="48">
        <f>Z43*1.13</f>
        <v>4341.4599999999991</v>
      </c>
      <c r="AB43" s="48">
        <v>4900</v>
      </c>
      <c r="AC43" s="48">
        <f>AB43*1.13</f>
        <v>5536.9999999999991</v>
      </c>
    </row>
    <row r="44" spans="1:34" x14ac:dyDescent="0.2">
      <c r="C44" s="6"/>
      <c r="D44" s="6"/>
      <c r="E44" s="6"/>
      <c r="F44" s="6"/>
      <c r="H44" s="6"/>
      <c r="I44" s="6"/>
      <c r="J44" s="6"/>
      <c r="K44" s="6"/>
      <c r="L44" s="6"/>
      <c r="M44" s="6"/>
      <c r="N44" s="6"/>
      <c r="O44" s="6"/>
      <c r="P44" s="6"/>
      <c r="Q44" s="6"/>
      <c r="R44" s="6"/>
      <c r="S44" s="6"/>
      <c r="T44" s="6"/>
      <c r="U44" s="6"/>
      <c r="V44" s="6"/>
    </row>
    <row r="45" spans="1:34" x14ac:dyDescent="0.2">
      <c r="A45" s="5"/>
      <c r="B45" s="6" t="s">
        <v>55</v>
      </c>
      <c r="C45" s="6">
        <v>3820</v>
      </c>
      <c r="D45" s="6">
        <v>3910</v>
      </c>
      <c r="E45" s="6">
        <v>4000</v>
      </c>
      <c r="F45" s="6">
        <v>4150</v>
      </c>
      <c r="G45" s="6">
        <v>4230</v>
      </c>
      <c r="H45" s="6">
        <v>4350</v>
      </c>
      <c r="I45" s="6">
        <v>4460</v>
      </c>
      <c r="J45" s="6">
        <v>4620</v>
      </c>
      <c r="K45" s="6"/>
      <c r="L45" s="6"/>
      <c r="M45" s="6"/>
      <c r="N45" s="6"/>
      <c r="O45" s="6"/>
      <c r="P45" s="6">
        <v>3000</v>
      </c>
      <c r="Q45" s="6"/>
      <c r="R45" s="6"/>
      <c r="S45" s="6"/>
      <c r="T45" s="6">
        <v>3940</v>
      </c>
      <c r="U45" s="6">
        <v>5010</v>
      </c>
      <c r="V45" s="6">
        <f>U45*1.26</f>
        <v>6312.6</v>
      </c>
      <c r="W45" s="6">
        <v>7700</v>
      </c>
      <c r="X45" s="6">
        <v>9230</v>
      </c>
      <c r="Y45" s="29">
        <f>X45*1.15</f>
        <v>10614.5</v>
      </c>
      <c r="Z45" s="6">
        <f>Y45*1.16</f>
        <v>12312.82</v>
      </c>
      <c r="AA45" s="6">
        <v>14000</v>
      </c>
      <c r="AB45" s="6">
        <v>15860</v>
      </c>
      <c r="AC45" s="6">
        <v>17500</v>
      </c>
    </row>
    <row r="46" spans="1:34" x14ac:dyDescent="0.2">
      <c r="A46" s="5"/>
      <c r="B46" s="6" t="s">
        <v>56</v>
      </c>
      <c r="C46" s="6">
        <v>1290</v>
      </c>
      <c r="D46" s="6">
        <v>1330</v>
      </c>
      <c r="E46" s="6">
        <v>1350</v>
      </c>
      <c r="F46" s="6">
        <v>1400</v>
      </c>
      <c r="G46" s="6">
        <v>1410</v>
      </c>
      <c r="H46" s="6">
        <v>1460</v>
      </c>
      <c r="I46" s="6">
        <v>1480</v>
      </c>
      <c r="J46" s="6">
        <v>1520</v>
      </c>
      <c r="K46" s="6"/>
      <c r="L46" s="6"/>
      <c r="M46" s="6"/>
      <c r="N46" s="6"/>
      <c r="O46" s="6"/>
      <c r="P46" s="6"/>
      <c r="Q46" s="6"/>
      <c r="R46" s="6"/>
      <c r="S46" s="6"/>
      <c r="T46" s="6"/>
      <c r="U46" s="6"/>
      <c r="V46" s="6"/>
      <c r="W46" s="6">
        <f>(W48+W50)-W45</f>
        <v>2823</v>
      </c>
      <c r="X46" s="48">
        <v>3100</v>
      </c>
      <c r="Y46" s="48">
        <v>3900</v>
      </c>
      <c r="Z46" s="48">
        <v>4400</v>
      </c>
      <c r="AA46" s="48">
        <v>4900</v>
      </c>
      <c r="AB46" s="6">
        <v>5370</v>
      </c>
      <c r="AC46" s="6">
        <v>5850</v>
      </c>
    </row>
    <row r="47" spans="1:34" x14ac:dyDescent="0.2">
      <c r="A47" s="5"/>
      <c r="C47" s="6"/>
      <c r="D47" s="6"/>
      <c r="E47" s="6"/>
      <c r="F47" s="6"/>
      <c r="H47" s="6"/>
      <c r="I47" s="6"/>
      <c r="J47" s="6"/>
      <c r="K47" s="6"/>
      <c r="L47" s="6"/>
      <c r="M47" s="6"/>
      <c r="N47" s="6"/>
      <c r="O47" s="6"/>
      <c r="P47" s="6"/>
      <c r="Q47" s="6"/>
      <c r="R47" s="6"/>
      <c r="S47" s="6"/>
      <c r="T47" s="6"/>
      <c r="U47" s="6"/>
      <c r="V47" s="6"/>
    </row>
    <row r="48" spans="1:34" x14ac:dyDescent="0.2">
      <c r="B48" s="6" t="s">
        <v>6</v>
      </c>
      <c r="C48" s="6"/>
      <c r="D48" s="6">
        <v>5060</v>
      </c>
      <c r="E48" s="6"/>
      <c r="F48" s="6"/>
      <c r="H48" s="6">
        <v>5641</v>
      </c>
      <c r="I48" s="6"/>
      <c r="J48" s="6"/>
      <c r="K48" s="6"/>
      <c r="L48" s="6"/>
      <c r="M48" s="6"/>
      <c r="N48" s="6"/>
      <c r="O48" s="6"/>
      <c r="P48" s="6"/>
      <c r="Q48" s="6"/>
      <c r="R48" s="6"/>
      <c r="S48" s="6"/>
      <c r="T48" s="6"/>
      <c r="U48" s="6"/>
      <c r="V48" s="6"/>
      <c r="W48" s="6">
        <v>9634</v>
      </c>
      <c r="X48" s="6">
        <v>11626</v>
      </c>
      <c r="Y48" s="6">
        <v>14573</v>
      </c>
      <c r="Z48" s="6">
        <v>16388</v>
      </c>
      <c r="AA48" s="6">
        <v>18284</v>
      </c>
      <c r="AB48" s="6">
        <v>20521</v>
      </c>
    </row>
    <row r="49" spans="2:38" x14ac:dyDescent="0.2">
      <c r="B49" s="6" t="s">
        <v>7</v>
      </c>
      <c r="C49" s="6"/>
      <c r="D49" s="6">
        <v>104</v>
      </c>
      <c r="E49" s="6"/>
      <c r="F49" s="6"/>
      <c r="H49" s="6">
        <v>88</v>
      </c>
      <c r="I49" s="6"/>
      <c r="J49" s="6"/>
      <c r="K49" s="6"/>
      <c r="L49" s="6"/>
      <c r="M49" s="6"/>
      <c r="N49" s="6"/>
      <c r="O49" s="6"/>
      <c r="P49" s="6"/>
      <c r="Q49" s="6"/>
      <c r="R49" s="6"/>
      <c r="S49" s="6"/>
      <c r="T49" s="6"/>
      <c r="U49" s="6"/>
      <c r="V49" s="6"/>
      <c r="W49" s="6">
        <v>648</v>
      </c>
      <c r="X49" s="6">
        <v>507</v>
      </c>
      <c r="Y49" s="6">
        <v>555</v>
      </c>
      <c r="Z49" s="6">
        <v>532</v>
      </c>
      <c r="AA49" s="6">
        <v>460</v>
      </c>
      <c r="AB49" s="6">
        <v>386</v>
      </c>
    </row>
    <row r="50" spans="2:38" x14ac:dyDescent="0.2">
      <c r="B50" s="6" t="s">
        <v>8</v>
      </c>
      <c r="C50" s="6"/>
      <c r="D50" s="6">
        <v>145</v>
      </c>
      <c r="E50" s="6"/>
      <c r="F50" s="6"/>
      <c r="H50" s="6">
        <v>144</v>
      </c>
      <c r="I50" s="6"/>
      <c r="J50" s="6"/>
      <c r="K50" s="6"/>
      <c r="L50" s="6"/>
      <c r="M50" s="6"/>
      <c r="N50" s="6"/>
      <c r="O50" s="6"/>
      <c r="P50" s="6"/>
      <c r="Q50" s="6"/>
      <c r="R50" s="6"/>
      <c r="S50" s="6"/>
      <c r="T50" s="6"/>
      <c r="U50" s="6"/>
      <c r="V50" s="6"/>
      <c r="W50" s="6">
        <v>889</v>
      </c>
      <c r="X50" s="6">
        <v>735</v>
      </c>
      <c r="Y50" s="6">
        <v>657</v>
      </c>
      <c r="Z50" s="6">
        <v>686</v>
      </c>
      <c r="AA50" s="6">
        <v>665</v>
      </c>
      <c r="AB50" s="6">
        <v>598</v>
      </c>
    </row>
    <row r="51" spans="2:38" s="10" customFormat="1" x14ac:dyDescent="0.2">
      <c r="B51" s="10" t="s">
        <v>9</v>
      </c>
      <c r="C51" s="10">
        <f>SUM(C48:C50)</f>
        <v>0</v>
      </c>
      <c r="D51" s="10">
        <f>SUM(D48:D50)</f>
        <v>5309</v>
      </c>
      <c r="E51" s="10">
        <f>SUM(E48:E50)</f>
        <v>0</v>
      </c>
      <c r="F51" s="10">
        <f>SUM(F48:F50)</f>
        <v>0</v>
      </c>
      <c r="G51" s="10">
        <v>5710</v>
      </c>
      <c r="H51" s="10">
        <f>SUM(H48:H50)</f>
        <v>5873</v>
      </c>
      <c r="I51" s="10">
        <v>5900</v>
      </c>
      <c r="J51" s="10">
        <f>I51*1.02</f>
        <v>6018</v>
      </c>
      <c r="K51" s="10">
        <v>6250</v>
      </c>
      <c r="P51" s="10">
        <v>4400</v>
      </c>
      <c r="Q51" s="10">
        <v>4060</v>
      </c>
      <c r="R51" s="10">
        <v>4150</v>
      </c>
      <c r="S51" s="10">
        <v>4800</v>
      </c>
      <c r="T51" s="10">
        <v>5850</v>
      </c>
      <c r="U51" s="10">
        <v>7300</v>
      </c>
      <c r="V51" s="10">
        <v>9030</v>
      </c>
      <c r="W51" s="10">
        <f>SUM(W48:W50)</f>
        <v>11171</v>
      </c>
      <c r="X51" s="10">
        <f>SUM(X48:X50)</f>
        <v>12868</v>
      </c>
      <c r="Y51" s="10">
        <f>SUM(Y48:Y50)</f>
        <v>15785</v>
      </c>
      <c r="Z51" s="10">
        <f>SUM(Z48:Z50)</f>
        <v>17606</v>
      </c>
      <c r="AA51" s="10">
        <f t="shared" ref="AA51:AB51" si="12">SUM(AA48:AA50)</f>
        <v>19409</v>
      </c>
      <c r="AB51" s="10">
        <f t="shared" si="12"/>
        <v>21505</v>
      </c>
      <c r="AC51" s="10">
        <v>23600</v>
      </c>
      <c r="AD51" s="10">
        <f>AD37+AD34+AD32+AD38</f>
        <v>25985.833333333336</v>
      </c>
      <c r="AE51" s="10">
        <f t="shared" ref="AE51:AH51" si="13">AE37+AE34+AE32+AE38</f>
        <v>27098.064999999999</v>
      </c>
      <c r="AF51" s="10">
        <f t="shared" si="13"/>
        <v>30279.851949999997</v>
      </c>
      <c r="AG51" s="10">
        <f t="shared" si="13"/>
        <v>33909.524858500001</v>
      </c>
      <c r="AH51" s="10">
        <f t="shared" si="13"/>
        <v>38055.493775755</v>
      </c>
      <c r="AI51" s="10">
        <f>AH51*(1+$AL$118)</f>
        <v>38436.048713512551</v>
      </c>
    </row>
    <row r="52" spans="2:38" x14ac:dyDescent="0.2">
      <c r="B52" s="6" t="s">
        <v>10</v>
      </c>
      <c r="D52" s="7">
        <v>456</v>
      </c>
      <c r="H52" s="7">
        <v>505</v>
      </c>
      <c r="I52" s="6"/>
      <c r="Z52" s="6">
        <v>1646</v>
      </c>
      <c r="AA52" s="6">
        <v>1822</v>
      </c>
      <c r="AB52" s="6">
        <v>1799</v>
      </c>
      <c r="AL52" s="14"/>
    </row>
    <row r="53" spans="2:38" x14ac:dyDescent="0.2">
      <c r="B53" s="6" t="s">
        <v>11</v>
      </c>
      <c r="D53" s="7">
        <v>8</v>
      </c>
      <c r="H53" s="7">
        <v>6</v>
      </c>
      <c r="Z53" s="6">
        <v>35</v>
      </c>
      <c r="AA53" s="6">
        <v>29</v>
      </c>
      <c r="AB53" s="6">
        <v>25</v>
      </c>
      <c r="AC53" s="14"/>
      <c r="AD53" s="14"/>
    </row>
    <row r="54" spans="2:38" x14ac:dyDescent="0.2">
      <c r="B54" s="6" t="s">
        <v>12</v>
      </c>
      <c r="D54" s="7">
        <v>134</v>
      </c>
      <c r="H54" s="7">
        <v>127</v>
      </c>
      <c r="Z54" s="6">
        <v>484</v>
      </c>
      <c r="AA54" s="6">
        <v>503</v>
      </c>
      <c r="AB54" s="6">
        <v>534</v>
      </c>
    </row>
    <row r="55" spans="2:38" x14ac:dyDescent="0.2">
      <c r="B55" s="6" t="s">
        <v>13</v>
      </c>
      <c r="C55" s="7">
        <f>SUM(C52:C54)</f>
        <v>0</v>
      </c>
      <c r="D55" s="7">
        <f>SUM(D52:D54)</f>
        <v>598</v>
      </c>
      <c r="E55" s="7">
        <f t="shared" ref="E55:H55" si="14">SUM(E52:E54)</f>
        <v>0</v>
      </c>
      <c r="F55" s="7">
        <f t="shared" si="14"/>
        <v>0</v>
      </c>
      <c r="G55" s="7">
        <f t="shared" si="14"/>
        <v>0</v>
      </c>
      <c r="H55" s="7">
        <f t="shared" si="14"/>
        <v>638</v>
      </c>
      <c r="I55" s="6">
        <f>I51*(1-I73)</f>
        <v>648.99999999999989</v>
      </c>
      <c r="J55" s="6">
        <f>J51*(1-J73)</f>
        <v>661.9799999999999</v>
      </c>
      <c r="K55" s="6"/>
      <c r="L55" s="6"/>
      <c r="M55" s="6"/>
      <c r="N55" s="6"/>
      <c r="O55" s="6"/>
      <c r="P55" s="6"/>
      <c r="Q55" s="6"/>
      <c r="R55" s="6"/>
      <c r="S55" s="6"/>
      <c r="T55" s="6"/>
      <c r="U55" s="6"/>
      <c r="V55" s="6"/>
      <c r="W55" s="6">
        <f>SUM(W52:W54)</f>
        <v>0</v>
      </c>
      <c r="X55" s="6">
        <f>SUM(X52:X54)</f>
        <v>0</v>
      </c>
      <c r="Y55" s="6">
        <f>SUM(Y52:Y54)</f>
        <v>0</v>
      </c>
      <c r="Z55" s="6">
        <f>SUM(Z52:Z54)</f>
        <v>2165</v>
      </c>
      <c r="AA55" s="6">
        <f t="shared" ref="AA55:AB55" si="15">SUM(AA52:AA54)</f>
        <v>2354</v>
      </c>
      <c r="AB55" s="6">
        <f t="shared" si="15"/>
        <v>2358</v>
      </c>
      <c r="AC55" s="6">
        <f t="shared" ref="AC55:AH55" si="16">AC51*(1-AC73)</f>
        <v>2595.9999999999995</v>
      </c>
      <c r="AD55" s="6">
        <f t="shared" si="16"/>
        <v>2858.4416666666666</v>
      </c>
      <c r="AE55" s="6">
        <f t="shared" si="16"/>
        <v>2980.7871499999997</v>
      </c>
      <c r="AF55" s="6">
        <f t="shared" si="16"/>
        <v>3330.7837144999994</v>
      </c>
      <c r="AG55" s="6">
        <f t="shared" si="16"/>
        <v>3730.0477344349997</v>
      </c>
      <c r="AH55" s="6">
        <f t="shared" si="16"/>
        <v>4186.1043153330493</v>
      </c>
    </row>
    <row r="56" spans="2:38" x14ac:dyDescent="0.2">
      <c r="B56" s="6" t="s">
        <v>14</v>
      </c>
      <c r="C56" s="6">
        <f>C51-C55</f>
        <v>0</v>
      </c>
      <c r="D56" s="6">
        <f>D51-D55</f>
        <v>4711</v>
      </c>
      <c r="E56" s="6">
        <f t="shared" ref="E56:J56" si="17">E51-E55</f>
        <v>0</v>
      </c>
      <c r="F56" s="6">
        <f t="shared" si="17"/>
        <v>0</v>
      </c>
      <c r="G56" s="6">
        <f t="shared" si="17"/>
        <v>5710</v>
      </c>
      <c r="H56" s="6">
        <f t="shared" si="17"/>
        <v>5235</v>
      </c>
      <c r="I56" s="6">
        <f t="shared" si="17"/>
        <v>5251</v>
      </c>
      <c r="J56" s="6">
        <f t="shared" si="17"/>
        <v>5356.02</v>
      </c>
      <c r="K56" s="6"/>
      <c r="L56" s="6"/>
      <c r="M56" s="6"/>
      <c r="N56" s="6"/>
      <c r="O56" s="6"/>
      <c r="P56" s="6"/>
      <c r="Q56" s="6"/>
      <c r="R56" s="6"/>
      <c r="S56" s="6"/>
      <c r="T56" s="6"/>
      <c r="U56" s="6"/>
      <c r="V56" s="6"/>
      <c r="Z56" s="6">
        <f>Z51-Z55</f>
        <v>15441</v>
      </c>
      <c r="AA56" s="6">
        <f t="shared" ref="AA56:AB56" si="18">AA51-AA55</f>
        <v>17055</v>
      </c>
      <c r="AB56" s="6">
        <f t="shared" si="18"/>
        <v>19147</v>
      </c>
      <c r="AC56" s="6">
        <f t="shared" ref="AC56" si="19">AC51-AC55</f>
        <v>21004</v>
      </c>
      <c r="AD56" s="6">
        <f t="shared" ref="AD56" si="20">AD51-AD55</f>
        <v>23127.39166666667</v>
      </c>
      <c r="AE56" s="6">
        <f t="shared" ref="AE56" si="21">AE51-AE55</f>
        <v>24117.277849999999</v>
      </c>
      <c r="AF56" s="6">
        <f t="shared" ref="AF56" si="22">AF51-AF55</f>
        <v>26949.068235499995</v>
      </c>
      <c r="AG56" s="6">
        <f t="shared" ref="AG56:AH56" si="23">AG51-AG55</f>
        <v>30179.477124065001</v>
      </c>
      <c r="AH56" s="6">
        <f t="shared" si="23"/>
        <v>33869.389460421953</v>
      </c>
    </row>
    <row r="57" spans="2:38" x14ac:dyDescent="0.2">
      <c r="B57" s="6" t="s">
        <v>15</v>
      </c>
      <c r="C57" s="6"/>
      <c r="D57" s="6">
        <v>984</v>
      </c>
      <c r="E57" s="6"/>
      <c r="F57" s="6"/>
      <c r="H57" s="6">
        <v>1082</v>
      </c>
      <c r="I57" s="6">
        <f t="shared" ref="I57:J59" si="24">H57*1.01</f>
        <v>1092.82</v>
      </c>
      <c r="J57" s="6">
        <f t="shared" si="24"/>
        <v>1103.7482</v>
      </c>
      <c r="K57" s="6"/>
      <c r="L57" s="6"/>
      <c r="M57" s="6"/>
      <c r="N57" s="6"/>
      <c r="O57" s="6"/>
      <c r="P57" s="6"/>
      <c r="Q57" s="6"/>
      <c r="R57" s="6"/>
      <c r="S57" s="6"/>
      <c r="T57" s="6"/>
      <c r="U57" s="6"/>
      <c r="V57" s="6"/>
      <c r="Z57" s="6">
        <v>2987</v>
      </c>
      <c r="AA57" s="6">
        <v>3473</v>
      </c>
      <c r="AB57" s="6">
        <v>3944</v>
      </c>
      <c r="AC57" s="6">
        <f>AB57*(1+AC69)</f>
        <v>4328.221343873518</v>
      </c>
    </row>
    <row r="58" spans="2:38" x14ac:dyDescent="0.2">
      <c r="B58" s="6" t="s">
        <v>16</v>
      </c>
      <c r="C58" s="6"/>
      <c r="D58" s="6">
        <v>1445</v>
      </c>
      <c r="E58" s="6"/>
      <c r="F58" s="6"/>
      <c r="H58" s="6">
        <v>1626</v>
      </c>
      <c r="I58" s="6">
        <f t="shared" si="24"/>
        <v>1642.26</v>
      </c>
      <c r="J58" s="6">
        <f t="shared" si="24"/>
        <v>1658.6826000000001</v>
      </c>
      <c r="K58" s="6"/>
      <c r="L58" s="6"/>
      <c r="M58" s="6"/>
      <c r="N58" s="6"/>
      <c r="O58" s="6"/>
      <c r="P58" s="6"/>
      <c r="Q58" s="6"/>
      <c r="R58" s="6"/>
      <c r="S58" s="6"/>
      <c r="T58" s="6"/>
      <c r="U58" s="6"/>
      <c r="V58" s="6"/>
      <c r="Z58" s="6">
        <v>4968</v>
      </c>
      <c r="AA58" s="6">
        <v>5351</v>
      </c>
      <c r="AB58" s="6">
        <v>5764</v>
      </c>
      <c r="AC58" s="6">
        <f>AB58*1.08</f>
        <v>6225.1200000000008</v>
      </c>
      <c r="AD58" s="6">
        <f>AC58*1.08</f>
        <v>6723.1296000000011</v>
      </c>
      <c r="AE58" s="6">
        <f t="shared" ref="AE58:AH58" si="25">AD58*1.08</f>
        <v>7260.9799680000015</v>
      </c>
      <c r="AF58" s="6">
        <f t="shared" si="25"/>
        <v>7841.8583654400018</v>
      </c>
      <c r="AG58" s="6">
        <f t="shared" si="25"/>
        <v>8469.2070346752025</v>
      </c>
      <c r="AH58" s="6">
        <f t="shared" si="25"/>
        <v>9146.74359744922</v>
      </c>
    </row>
    <row r="59" spans="2:38" x14ac:dyDescent="0.2">
      <c r="B59" s="6" t="s">
        <v>17</v>
      </c>
      <c r="C59" s="6"/>
      <c r="D59" s="6">
        <v>355</v>
      </c>
      <c r="E59" s="6"/>
      <c r="F59" s="6"/>
      <c r="H59" s="6">
        <v>377</v>
      </c>
      <c r="I59" s="6">
        <f t="shared" si="24"/>
        <v>380.77</v>
      </c>
      <c r="J59" s="6">
        <f t="shared" si="24"/>
        <v>384.57769999999999</v>
      </c>
      <c r="K59" s="6"/>
      <c r="L59" s="6"/>
      <c r="M59" s="6"/>
      <c r="N59" s="6"/>
      <c r="O59" s="6"/>
      <c r="P59" s="6"/>
      <c r="Q59" s="6"/>
      <c r="R59" s="6"/>
      <c r="S59" s="6"/>
      <c r="T59" s="6"/>
      <c r="U59" s="6"/>
      <c r="V59" s="6"/>
      <c r="Z59" s="6">
        <v>1219</v>
      </c>
      <c r="AA59" s="6">
        <v>1413</v>
      </c>
      <c r="AB59" s="6">
        <v>1529</v>
      </c>
      <c r="AC59" s="6">
        <f>AB59*1.08</f>
        <v>1651.3200000000002</v>
      </c>
      <c r="AD59" s="6">
        <f>AC59*1.08</f>
        <v>1783.4256000000003</v>
      </c>
      <c r="AE59" s="6">
        <f t="shared" ref="AE59:AH59" si="26">AD59*1.08</f>
        <v>1926.0996480000003</v>
      </c>
      <c r="AF59" s="6">
        <f t="shared" si="26"/>
        <v>2080.1876198400005</v>
      </c>
      <c r="AG59" s="6">
        <f t="shared" si="26"/>
        <v>2246.6026294272006</v>
      </c>
      <c r="AH59" s="6">
        <f t="shared" si="26"/>
        <v>2426.3308397813767</v>
      </c>
    </row>
    <row r="60" spans="2:38" x14ac:dyDescent="0.2">
      <c r="B60" s="6" t="s">
        <v>18</v>
      </c>
      <c r="C60" s="6">
        <f>SUM(C57:C59)</f>
        <v>0</v>
      </c>
      <c r="D60" s="6">
        <f t="shared" ref="D60:J60" si="27">SUM(D57:D59)</f>
        <v>2784</v>
      </c>
      <c r="E60" s="6">
        <f t="shared" si="27"/>
        <v>0</v>
      </c>
      <c r="F60" s="6">
        <f t="shared" si="27"/>
        <v>0</v>
      </c>
      <c r="G60" s="6">
        <f t="shared" si="27"/>
        <v>0</v>
      </c>
      <c r="H60" s="6">
        <f t="shared" si="27"/>
        <v>3085</v>
      </c>
      <c r="I60" s="6">
        <f t="shared" si="27"/>
        <v>3115.85</v>
      </c>
      <c r="J60" s="6">
        <f t="shared" si="27"/>
        <v>3147.0084999999999</v>
      </c>
      <c r="K60" s="6"/>
      <c r="L60" s="6"/>
      <c r="M60" s="6"/>
      <c r="N60" s="6"/>
      <c r="O60" s="6"/>
      <c r="P60" s="6"/>
      <c r="Q60" s="6"/>
      <c r="R60" s="6"/>
      <c r="S60" s="6"/>
      <c r="T60" s="6"/>
      <c r="U60" s="6"/>
      <c r="V60" s="6"/>
      <c r="W60" s="6">
        <f>SUM(W57:W59)</f>
        <v>0</v>
      </c>
      <c r="X60" s="6">
        <f>SUM(X57:X59)</f>
        <v>0</v>
      </c>
      <c r="Y60" s="6">
        <f>SUM(Y57:Y59)</f>
        <v>0</v>
      </c>
      <c r="Z60" s="6">
        <f>SUM(Z57:Z59)</f>
        <v>9174</v>
      </c>
      <c r="AA60" s="6">
        <f t="shared" ref="AA60:AC60" si="28">SUM(AA57:AA59)</f>
        <v>10237</v>
      </c>
      <c r="AB60" s="6">
        <f t="shared" si="28"/>
        <v>11237</v>
      </c>
      <c r="AC60" s="6">
        <f t="shared" si="28"/>
        <v>12204.661343873518</v>
      </c>
      <c r="AD60" s="6">
        <f>AD56*0.58</f>
        <v>13413.887166666667</v>
      </c>
      <c r="AE60" s="6">
        <f t="shared" ref="AE60:AH60" si="29">AE56*0.58</f>
        <v>13988.021152999998</v>
      </c>
      <c r="AF60" s="6">
        <f t="shared" si="29"/>
        <v>15630.459576589996</v>
      </c>
      <c r="AG60" s="6">
        <f t="shared" si="29"/>
        <v>17504.096731957699</v>
      </c>
      <c r="AH60" s="6">
        <f t="shared" si="29"/>
        <v>19644.24588704473</v>
      </c>
    </row>
    <row r="61" spans="2:38" x14ac:dyDescent="0.2">
      <c r="B61" s="6" t="s">
        <v>19</v>
      </c>
      <c r="C61" s="6">
        <f>C56-C60</f>
        <v>0</v>
      </c>
      <c r="D61" s="6">
        <f t="shared" ref="D61:J61" si="30">D56-D60</f>
        <v>1927</v>
      </c>
      <c r="E61" s="6">
        <f t="shared" si="30"/>
        <v>0</v>
      </c>
      <c r="F61" s="6">
        <f t="shared" si="30"/>
        <v>0</v>
      </c>
      <c r="G61" s="6">
        <f t="shared" si="30"/>
        <v>5710</v>
      </c>
      <c r="H61" s="6">
        <f t="shared" si="30"/>
        <v>2150</v>
      </c>
      <c r="I61" s="6">
        <f t="shared" si="30"/>
        <v>2135.15</v>
      </c>
      <c r="J61" s="6">
        <f t="shared" si="30"/>
        <v>2209.0115000000005</v>
      </c>
      <c r="K61" s="6"/>
      <c r="L61" s="6"/>
      <c r="M61" s="6"/>
      <c r="N61" s="6"/>
      <c r="O61" s="6"/>
      <c r="P61" s="6"/>
      <c r="Q61" s="6"/>
      <c r="R61" s="6"/>
      <c r="S61" s="6"/>
      <c r="T61" s="6"/>
      <c r="U61" s="6"/>
      <c r="V61" s="6"/>
      <c r="W61" s="6">
        <f>W56-W60</f>
        <v>0</v>
      </c>
      <c r="X61" s="6">
        <f>X56-X60</f>
        <v>0</v>
      </c>
      <c r="Y61" s="6">
        <f>Y56-Y60</f>
        <v>0</v>
      </c>
      <c r="Z61" s="6">
        <f>Z56-Z60</f>
        <v>6267</v>
      </c>
      <c r="AA61" s="6">
        <f t="shared" ref="AA61:AG61" si="31">AA56-AA60</f>
        <v>6818</v>
      </c>
      <c r="AB61" s="6">
        <f t="shared" si="31"/>
        <v>7910</v>
      </c>
      <c r="AC61" s="6">
        <f t="shared" si="31"/>
        <v>8799.3386561264815</v>
      </c>
      <c r="AD61" s="6">
        <f t="shared" si="31"/>
        <v>9713.5045000000027</v>
      </c>
      <c r="AE61" s="6">
        <f t="shared" si="31"/>
        <v>10129.256697000001</v>
      </c>
      <c r="AF61" s="6">
        <f t="shared" si="31"/>
        <v>11318.60865891</v>
      </c>
      <c r="AG61" s="6">
        <f t="shared" si="31"/>
        <v>12675.380392107301</v>
      </c>
      <c r="AH61" s="6">
        <f t="shared" ref="AH61" si="32">AH56-AH60</f>
        <v>14225.143573377223</v>
      </c>
      <c r="AI61" s="6">
        <f>AH61*(1+$AL$118)</f>
        <v>14367.395009110996</v>
      </c>
    </row>
    <row r="62" spans="2:38" x14ac:dyDescent="0.2">
      <c r="B62" s="16" t="s">
        <v>59</v>
      </c>
      <c r="I62" s="6">
        <f>H76*$AL$117/4</f>
        <v>-14.3025</v>
      </c>
      <c r="J62" s="6">
        <f>I76*$AL$117/4</f>
        <v>-1.5774149999999973</v>
      </c>
      <c r="K62" s="6"/>
      <c r="L62" s="6"/>
      <c r="M62" s="6"/>
      <c r="N62" s="6"/>
      <c r="O62" s="6"/>
      <c r="P62" s="6"/>
      <c r="Q62" s="6"/>
      <c r="R62" s="6"/>
      <c r="S62" s="6"/>
      <c r="T62" s="6"/>
      <c r="U62" s="6"/>
      <c r="V62" s="6"/>
      <c r="Z62" s="6">
        <f>-112-19</f>
        <v>-131</v>
      </c>
      <c r="AA62" s="6">
        <f>-113+16</f>
        <v>-97</v>
      </c>
      <c r="AB62" s="6">
        <f>-169+48</f>
        <v>-121</v>
      </c>
      <c r="AC62" s="6">
        <f>SUM(G62:J62)</f>
        <v>-15.879914999999997</v>
      </c>
      <c r="AD62" s="6">
        <f>AC76*$AL$117</f>
        <v>46.668758040000021</v>
      </c>
      <c r="AE62" s="6">
        <f>AD76*$AL$117</f>
        <v>277.98486425554808</v>
      </c>
      <c r="AF62" s="6">
        <f>AE76*$AL$117</f>
        <v>524.63648925730445</v>
      </c>
      <c r="AG62" s="6">
        <f>AF76*$AL$117</f>
        <v>805.32139926886953</v>
      </c>
      <c r="AH62" s="6">
        <f>AG76*$AL$117</f>
        <v>1124.8140317244847</v>
      </c>
      <c r="AI62" s="6">
        <v>0</v>
      </c>
    </row>
    <row r="63" spans="2:38" x14ac:dyDescent="0.2">
      <c r="B63" s="6" t="s">
        <v>20</v>
      </c>
      <c r="C63" s="6">
        <f>C61+C62</f>
        <v>0</v>
      </c>
      <c r="D63" s="6">
        <f t="shared" ref="D63:J63" si="33">D61+D62</f>
        <v>1927</v>
      </c>
      <c r="E63" s="6">
        <f t="shared" si="33"/>
        <v>0</v>
      </c>
      <c r="F63" s="6">
        <f t="shared" si="33"/>
        <v>0</v>
      </c>
      <c r="G63" s="6">
        <f t="shared" si="33"/>
        <v>5710</v>
      </c>
      <c r="H63" s="6">
        <f t="shared" si="33"/>
        <v>2150</v>
      </c>
      <c r="I63" s="6">
        <f t="shared" si="33"/>
        <v>2120.8475000000003</v>
      </c>
      <c r="J63" s="6">
        <f t="shared" si="33"/>
        <v>2207.4340850000003</v>
      </c>
      <c r="K63" s="6"/>
      <c r="L63" s="6"/>
      <c r="M63" s="6"/>
      <c r="N63" s="6"/>
      <c r="O63" s="6"/>
      <c r="P63" s="6"/>
      <c r="Q63" s="6"/>
      <c r="R63" s="6"/>
      <c r="S63" s="6"/>
      <c r="T63" s="6"/>
      <c r="U63" s="6"/>
      <c r="V63" s="6"/>
      <c r="W63" s="6">
        <f>W61+W62</f>
        <v>0</v>
      </c>
      <c r="X63" s="6">
        <f>X61+X62</f>
        <v>0</v>
      </c>
      <c r="Y63" s="6">
        <f>Y61+Y62</f>
        <v>0</v>
      </c>
      <c r="Z63" s="6">
        <f>Z61+Z62</f>
        <v>6136</v>
      </c>
      <c r="AA63" s="6">
        <f t="shared" ref="AA63:AG63" si="34">AA61+AA62</f>
        <v>6721</v>
      </c>
      <c r="AB63" s="6">
        <f t="shared" si="34"/>
        <v>7789</v>
      </c>
      <c r="AC63" s="6">
        <f t="shared" si="34"/>
        <v>8783.458741126482</v>
      </c>
      <c r="AD63" s="6">
        <f t="shared" si="34"/>
        <v>9760.1732580400021</v>
      </c>
      <c r="AE63" s="6">
        <f t="shared" si="34"/>
        <v>10407.241561255549</v>
      </c>
      <c r="AF63" s="6">
        <f t="shared" si="34"/>
        <v>11843.245148167303</v>
      </c>
      <c r="AG63" s="6">
        <f t="shared" si="34"/>
        <v>13480.70179137617</v>
      </c>
      <c r="AH63" s="6">
        <f t="shared" ref="AH63" si="35">AH61+AH62</f>
        <v>15349.957605101708</v>
      </c>
      <c r="AI63" s="6">
        <f>AI61+AI62</f>
        <v>14367.395009110996</v>
      </c>
    </row>
    <row r="64" spans="2:38" x14ac:dyDescent="0.2">
      <c r="B64" s="6" t="s">
        <v>21</v>
      </c>
      <c r="I64" s="6">
        <f>I63*0.2</f>
        <v>424.16950000000008</v>
      </c>
      <c r="J64" s="6">
        <f>J63*0.2</f>
        <v>441.48681700000009</v>
      </c>
      <c r="K64" s="6"/>
      <c r="L64" s="6"/>
      <c r="M64" s="6"/>
      <c r="N64" s="6"/>
      <c r="O64" s="6"/>
      <c r="P64" s="6"/>
      <c r="Q64" s="6"/>
      <c r="R64" s="6"/>
      <c r="S64" s="6"/>
      <c r="T64" s="6"/>
      <c r="U64" s="6"/>
      <c r="V64" s="6"/>
      <c r="W64" s="14"/>
      <c r="X64" s="14"/>
      <c r="Y64" s="14"/>
      <c r="Z64" s="14"/>
      <c r="AA64" s="14"/>
      <c r="AB64" s="14"/>
      <c r="AC64" s="14"/>
      <c r="AD64" s="6">
        <f t="shared" ref="AD64:AI64" si="36">AD63*0.21</f>
        <v>2049.6363841884004</v>
      </c>
      <c r="AE64" s="6">
        <f t="shared" si="36"/>
        <v>2185.5207278636653</v>
      </c>
      <c r="AF64" s="6">
        <f t="shared" si="36"/>
        <v>2487.0814811151336</v>
      </c>
      <c r="AG64" s="6">
        <f t="shared" si="36"/>
        <v>2830.9473761889958</v>
      </c>
      <c r="AH64" s="6">
        <f t="shared" si="36"/>
        <v>3223.4910970713586</v>
      </c>
      <c r="AI64" s="6">
        <f t="shared" si="36"/>
        <v>3017.1529519133092</v>
      </c>
    </row>
    <row r="65" spans="2:38" s="10" customFormat="1" x14ac:dyDescent="0.2">
      <c r="B65" s="10" t="s">
        <v>22</v>
      </c>
      <c r="C65" s="10">
        <f>C63-C64</f>
        <v>0</v>
      </c>
      <c r="D65" s="10">
        <f t="shared" ref="D65:J65" si="37">D63-D64</f>
        <v>1927</v>
      </c>
      <c r="E65" s="10">
        <f t="shared" si="37"/>
        <v>0</v>
      </c>
      <c r="F65" s="10">
        <f t="shared" si="37"/>
        <v>0</v>
      </c>
      <c r="G65" s="10">
        <f t="shared" si="37"/>
        <v>5710</v>
      </c>
      <c r="H65" s="10">
        <f t="shared" si="37"/>
        <v>2150</v>
      </c>
      <c r="I65" s="10">
        <f t="shared" si="37"/>
        <v>1696.6780000000003</v>
      </c>
      <c r="J65" s="10">
        <f t="shared" si="37"/>
        <v>1765.9472680000003</v>
      </c>
      <c r="W65" s="10">
        <f>W63-W64</f>
        <v>0</v>
      </c>
      <c r="X65" s="10">
        <f>X63-X64</f>
        <v>0</v>
      </c>
      <c r="Y65" s="10">
        <f>Y63-Y64</f>
        <v>0</v>
      </c>
      <c r="Z65" s="10">
        <f>Z63-Z64</f>
        <v>6136</v>
      </c>
      <c r="AA65" s="10">
        <f t="shared" ref="AA65:AB65" si="38">AA63-AA64</f>
        <v>6721</v>
      </c>
      <c r="AB65" s="10">
        <f t="shared" si="38"/>
        <v>7789</v>
      </c>
      <c r="AC65" s="10">
        <f t="shared" ref="AC65" si="39">AC63-AC64</f>
        <v>8783.458741126482</v>
      </c>
      <c r="AD65" s="10">
        <f t="shared" ref="AD65" si="40">AD63-AD64</f>
        <v>7710.5368738516017</v>
      </c>
      <c r="AE65" s="10">
        <f t="shared" ref="AE65" si="41">AE63-AE64</f>
        <v>8221.7208333918825</v>
      </c>
      <c r="AF65" s="10">
        <f t="shared" ref="AF65" si="42">AF63-AF64</f>
        <v>9356.1636670521693</v>
      </c>
      <c r="AG65" s="10">
        <f t="shared" ref="AG65:AI65" si="43">AG63-AG64</f>
        <v>10649.754415187173</v>
      </c>
      <c r="AH65" s="10">
        <f t="shared" si="43"/>
        <v>12126.466508030349</v>
      </c>
      <c r="AI65" s="10">
        <f t="shared" si="43"/>
        <v>11350.242057197687</v>
      </c>
    </row>
    <row r="66" spans="2:38" x14ac:dyDescent="0.2">
      <c r="B66" s="6" t="s">
        <v>1</v>
      </c>
      <c r="H66" s="4">
        <v>424.2</v>
      </c>
      <c r="I66" s="6">
        <f>H66*1</f>
        <v>424.2</v>
      </c>
      <c r="J66" s="6">
        <f>I66*1</f>
        <v>424.2</v>
      </c>
      <c r="K66" s="6"/>
      <c r="L66" s="6"/>
      <c r="M66" s="6"/>
      <c r="N66" s="6"/>
      <c r="O66" s="6"/>
      <c r="P66" s="6"/>
      <c r="Q66" s="6"/>
      <c r="R66" s="6"/>
      <c r="S66" s="6"/>
      <c r="T66" s="6"/>
      <c r="U66" s="6"/>
      <c r="V66" s="6"/>
      <c r="Z66" s="6">
        <v>471</v>
      </c>
      <c r="AA66" s="6">
        <v>459</v>
      </c>
      <c r="AB66" s="6">
        <v>450</v>
      </c>
      <c r="AC66" s="6">
        <v>411</v>
      </c>
      <c r="AD66" s="6">
        <v>411</v>
      </c>
      <c r="AE66" s="6">
        <v>411</v>
      </c>
      <c r="AF66" s="6">
        <v>411</v>
      </c>
      <c r="AG66" s="6">
        <v>411</v>
      </c>
      <c r="AH66" s="6">
        <v>411</v>
      </c>
    </row>
    <row r="67" spans="2:38" x14ac:dyDescent="0.2">
      <c r="B67" s="6" t="s">
        <v>23</v>
      </c>
      <c r="C67" s="9" t="e">
        <f t="shared" ref="C67:J67" si="44">C65/C66</f>
        <v>#DIV/0!</v>
      </c>
      <c r="D67" s="9" t="e">
        <f t="shared" si="44"/>
        <v>#DIV/0!</v>
      </c>
      <c r="E67" s="9" t="e">
        <f t="shared" si="44"/>
        <v>#DIV/0!</v>
      </c>
      <c r="F67" s="9" t="e">
        <f t="shared" si="44"/>
        <v>#DIV/0!</v>
      </c>
      <c r="G67" s="9" t="e">
        <f t="shared" si="44"/>
        <v>#DIV/0!</v>
      </c>
      <c r="H67" s="9">
        <f t="shared" si="44"/>
        <v>5.0683639792550688</v>
      </c>
      <c r="I67" s="9">
        <f t="shared" si="44"/>
        <v>3.9997123998114108</v>
      </c>
      <c r="J67" s="9">
        <f t="shared" si="44"/>
        <v>4.1630062894860922</v>
      </c>
      <c r="K67" s="9">
        <v>4.55</v>
      </c>
      <c r="L67" s="9"/>
      <c r="M67" s="9"/>
      <c r="N67" s="9"/>
      <c r="O67" s="9"/>
      <c r="P67" s="9"/>
      <c r="Q67" s="9"/>
      <c r="R67" s="9"/>
      <c r="S67" s="9"/>
      <c r="T67" s="9"/>
      <c r="U67" s="9"/>
      <c r="V67" s="9"/>
      <c r="W67" s="9" t="e">
        <f>W65/W66</f>
        <v>#DIV/0!</v>
      </c>
      <c r="X67" s="9" t="e">
        <f>X65/X66</f>
        <v>#DIV/0!</v>
      </c>
      <c r="Y67" s="9" t="e">
        <f>Y65/Y66</f>
        <v>#DIV/0!</v>
      </c>
      <c r="Z67" s="9">
        <f>Z65/Z66</f>
        <v>13.027600849256901</v>
      </c>
      <c r="AA67" s="9">
        <f t="shared" ref="AA67:AG67" si="45">AA65/AA66</f>
        <v>14.642701525054466</v>
      </c>
      <c r="AB67" s="9">
        <f t="shared" si="45"/>
        <v>17.308888888888887</v>
      </c>
      <c r="AC67" s="9">
        <f t="shared" si="45"/>
        <v>21.370945842156889</v>
      </c>
      <c r="AD67" s="9">
        <f t="shared" si="45"/>
        <v>18.760430350003897</v>
      </c>
      <c r="AE67" s="9">
        <f t="shared" si="45"/>
        <v>20.004186942559326</v>
      </c>
      <c r="AF67" s="9">
        <f t="shared" si="45"/>
        <v>22.764388484311848</v>
      </c>
      <c r="AG67" s="9">
        <f t="shared" si="45"/>
        <v>25.91181122916587</v>
      </c>
      <c r="AH67" s="9">
        <f t="shared" ref="AH67" si="46">AH65/AH66</f>
        <v>29.504784691071411</v>
      </c>
      <c r="AI67" s="9"/>
      <c r="AJ67" s="9"/>
      <c r="AK67" s="9"/>
      <c r="AL67" s="9"/>
    </row>
    <row r="68" spans="2:38" x14ac:dyDescent="0.2">
      <c r="Y68" s="11"/>
    </row>
    <row r="69" spans="2:38" s="10" customFormat="1" x14ac:dyDescent="0.2">
      <c r="B69" s="10" t="s">
        <v>33</v>
      </c>
      <c r="E69" s="12"/>
      <c r="F69" s="12"/>
      <c r="G69" s="12" t="e">
        <f>G51/C51-1</f>
        <v>#DIV/0!</v>
      </c>
      <c r="H69" s="12">
        <f>H51/D51-1</f>
        <v>0.10623469579958567</v>
      </c>
      <c r="I69" s="12" t="e">
        <f>I51/E51-1</f>
        <v>#DIV/0!</v>
      </c>
      <c r="J69" s="12" t="e">
        <f>J51/F51-1</f>
        <v>#DIV/0!</v>
      </c>
      <c r="K69" s="12"/>
      <c r="L69" s="12"/>
      <c r="M69" s="12"/>
      <c r="N69" s="12"/>
      <c r="O69" s="12"/>
      <c r="P69" s="12"/>
      <c r="Q69" s="12"/>
      <c r="R69" s="12"/>
      <c r="S69" s="12"/>
      <c r="T69" s="12"/>
      <c r="U69" s="12"/>
      <c r="V69" s="12"/>
      <c r="W69" s="12"/>
      <c r="X69" s="12">
        <f>X51/W51-1</f>
        <v>0.151911198639334</v>
      </c>
      <c r="Y69" s="12">
        <f>Y51/X51-1</f>
        <v>0.22668635374572577</v>
      </c>
      <c r="Z69" s="12">
        <f>Z51/Y51-1</f>
        <v>0.11536268609439349</v>
      </c>
      <c r="AA69" s="12">
        <f>AA51/Z51-1</f>
        <v>0.10240826990798602</v>
      </c>
      <c r="AB69" s="12">
        <f>AB51/AA51-1</f>
        <v>0.10799113813179462</v>
      </c>
      <c r="AC69" s="12">
        <f t="shared" ref="AC69:AH69" si="47">AC51/AB51-1</f>
        <v>9.7419204836084683E-2</v>
      </c>
      <c r="AD69" s="12">
        <f t="shared" si="47"/>
        <v>0.10109463276836173</v>
      </c>
      <c r="AE69" s="12">
        <f t="shared" si="47"/>
        <v>4.2801462335246621E-2</v>
      </c>
      <c r="AF69" s="12">
        <f t="shared" si="47"/>
        <v>0.11741749641533428</v>
      </c>
      <c r="AG69" s="12">
        <f t="shared" si="47"/>
        <v>0.11987089350679625</v>
      </c>
      <c r="AH69" s="12">
        <f t="shared" si="47"/>
        <v>0.12226561517908552</v>
      </c>
      <c r="AI69" s="12"/>
      <c r="AJ69" s="12"/>
      <c r="AK69" s="12"/>
      <c r="AL69" s="12"/>
    </row>
    <row r="70" spans="2:38" s="10" customFormat="1" x14ac:dyDescent="0.2">
      <c r="B70" s="16" t="s">
        <v>58</v>
      </c>
      <c r="C70" s="12"/>
      <c r="D70" s="12" t="e">
        <f t="shared" ref="D70:J70" si="48">D51/C51-1</f>
        <v>#DIV/0!</v>
      </c>
      <c r="E70" s="12">
        <f t="shared" si="48"/>
        <v>-1</v>
      </c>
      <c r="F70" s="12" t="e">
        <f t="shared" si="48"/>
        <v>#DIV/0!</v>
      </c>
      <c r="G70" s="12" t="e">
        <f t="shared" si="48"/>
        <v>#DIV/0!</v>
      </c>
      <c r="H70" s="12">
        <f t="shared" si="48"/>
        <v>2.8546409807355566E-2</v>
      </c>
      <c r="I70" s="12">
        <f t="shared" si="48"/>
        <v>4.5973097224587534E-3</v>
      </c>
      <c r="J70" s="12">
        <f t="shared" si="48"/>
        <v>2.0000000000000018E-2</v>
      </c>
      <c r="K70" s="12"/>
      <c r="L70" s="12"/>
      <c r="M70" s="12"/>
      <c r="N70" s="12"/>
      <c r="O70" s="12"/>
      <c r="P70" s="12"/>
      <c r="Q70" s="12"/>
      <c r="R70" s="12"/>
      <c r="S70" s="12"/>
      <c r="T70" s="12"/>
      <c r="U70" s="12"/>
      <c r="V70" s="12"/>
      <c r="AA70" s="12"/>
      <c r="AB70" s="12"/>
      <c r="AC70" s="12"/>
      <c r="AD70" s="12"/>
      <c r="AE70" s="12"/>
      <c r="AF70" s="12"/>
      <c r="AG70" s="12"/>
      <c r="AH70" s="12"/>
      <c r="AI70" s="12"/>
      <c r="AJ70" s="12"/>
      <c r="AK70" s="12"/>
      <c r="AL70" s="12"/>
    </row>
    <row r="71" spans="2:38" s="10" customFormat="1" x14ac:dyDescent="0.2">
      <c r="B71" s="6" t="s">
        <v>57</v>
      </c>
      <c r="X71" s="12" t="e">
        <f t="shared" ref="X71:AC71" si="49">SUM(X58:X59)/SUM(W58:W59)-1</f>
        <v>#DIV/0!</v>
      </c>
      <c r="Y71" s="12" t="e">
        <f t="shared" si="49"/>
        <v>#DIV/0!</v>
      </c>
      <c r="Z71" s="12" t="e">
        <f t="shared" si="49"/>
        <v>#DIV/0!</v>
      </c>
      <c r="AA71" s="12">
        <f t="shared" si="49"/>
        <v>9.326006141910459E-2</v>
      </c>
      <c r="AB71" s="12">
        <f t="shared" si="49"/>
        <v>7.820816085156701E-2</v>
      </c>
      <c r="AC71" s="12">
        <f t="shared" si="49"/>
        <v>8.0000000000000071E-2</v>
      </c>
      <c r="AD71" s="12"/>
      <c r="AE71" s="12"/>
      <c r="AF71" s="12"/>
      <c r="AG71" s="12"/>
      <c r="AH71" s="12"/>
      <c r="AI71" s="12"/>
      <c r="AJ71" s="12"/>
      <c r="AK71" s="12"/>
      <c r="AL71" s="12"/>
    </row>
    <row r="72" spans="2:38" x14ac:dyDescent="0.2">
      <c r="AD72" s="14"/>
      <c r="AE72" s="14"/>
      <c r="AF72" s="14"/>
      <c r="AG72" s="14"/>
      <c r="AH72" s="14"/>
      <c r="AI72" s="14"/>
    </row>
    <row r="73" spans="2:38" s="10" customFormat="1" x14ac:dyDescent="0.2">
      <c r="B73" s="10" t="s">
        <v>24</v>
      </c>
      <c r="C73" s="13" t="e">
        <f>C56/C51</f>
        <v>#DIV/0!</v>
      </c>
      <c r="D73" s="13">
        <f t="shared" ref="D73:H73" si="50">D56/D51</f>
        <v>0.88736108495008481</v>
      </c>
      <c r="E73" s="13" t="e">
        <f t="shared" si="50"/>
        <v>#DIV/0!</v>
      </c>
      <c r="F73" s="13" t="e">
        <f t="shared" si="50"/>
        <v>#DIV/0!</v>
      </c>
      <c r="G73" s="13">
        <f t="shared" si="50"/>
        <v>1</v>
      </c>
      <c r="H73" s="13">
        <f t="shared" si="50"/>
        <v>0.89136727396560533</v>
      </c>
      <c r="I73" s="13">
        <v>0.89</v>
      </c>
      <c r="J73" s="13">
        <v>0.89</v>
      </c>
      <c r="K73" s="13"/>
      <c r="L73" s="13"/>
      <c r="M73" s="13"/>
      <c r="N73" s="13"/>
      <c r="O73" s="13"/>
      <c r="P73" s="13"/>
      <c r="Q73" s="13"/>
      <c r="R73" s="13"/>
      <c r="S73" s="13"/>
      <c r="T73" s="13"/>
      <c r="U73" s="13"/>
      <c r="V73" s="13"/>
      <c r="Z73" s="13">
        <f>Z56/Z51</f>
        <v>0.87703055776439853</v>
      </c>
      <c r="AA73" s="13">
        <f>AA56/AA51</f>
        <v>0.87871605955999799</v>
      </c>
      <c r="AB73" s="13">
        <f>AB56/AB51</f>
        <v>0.89035108114392003</v>
      </c>
      <c r="AC73" s="13">
        <v>0.89</v>
      </c>
      <c r="AD73" s="13">
        <v>0.89</v>
      </c>
      <c r="AE73" s="13">
        <v>0.89</v>
      </c>
      <c r="AF73" s="13">
        <v>0.89</v>
      </c>
      <c r="AG73" s="13">
        <v>0.89</v>
      </c>
      <c r="AH73" s="13">
        <v>0.89</v>
      </c>
      <c r="AI73" s="13"/>
      <c r="AJ73" s="13"/>
      <c r="AK73" s="13"/>
      <c r="AL73" s="13"/>
    </row>
    <row r="74" spans="2:38" s="10" customFormat="1" x14ac:dyDescent="0.2">
      <c r="B74" s="6" t="s">
        <v>34</v>
      </c>
      <c r="C74" s="14" t="e">
        <f t="shared" ref="C74:J74" si="51">C61/C51</f>
        <v>#DIV/0!</v>
      </c>
      <c r="D74" s="14">
        <f t="shared" si="51"/>
        <v>0.36296854398191752</v>
      </c>
      <c r="E74" s="14" t="e">
        <f t="shared" si="51"/>
        <v>#DIV/0!</v>
      </c>
      <c r="F74" s="14" t="e">
        <f t="shared" si="51"/>
        <v>#DIV/0!</v>
      </c>
      <c r="G74" s="14">
        <f t="shared" si="51"/>
        <v>1</v>
      </c>
      <c r="H74" s="14">
        <f t="shared" si="51"/>
        <v>0.36608207049208241</v>
      </c>
      <c r="I74" s="14">
        <f t="shared" si="51"/>
        <v>0.36188983050847462</v>
      </c>
      <c r="J74" s="14">
        <f t="shared" si="51"/>
        <v>0.36706738118976412</v>
      </c>
      <c r="K74" s="14"/>
      <c r="L74" s="14"/>
      <c r="M74" s="14"/>
      <c r="N74" s="14"/>
      <c r="O74" s="14"/>
      <c r="P74" s="14"/>
      <c r="Q74" s="14"/>
      <c r="R74" s="14"/>
      <c r="S74" s="14"/>
      <c r="T74" s="14"/>
      <c r="U74" s="14"/>
      <c r="V74" s="14"/>
      <c r="Z74" s="14">
        <f t="shared" ref="Z74:AH74" si="52">Z61/Z51</f>
        <v>0.35595819606952173</v>
      </c>
      <c r="AA74" s="14">
        <f t="shared" si="52"/>
        <v>0.35128033386573237</v>
      </c>
      <c r="AB74" s="14">
        <f t="shared" si="52"/>
        <v>0.36782143687514529</v>
      </c>
      <c r="AC74" s="14">
        <f t="shared" si="52"/>
        <v>0.37285333288671529</v>
      </c>
      <c r="AD74" s="14">
        <f t="shared" si="52"/>
        <v>0.37380000000000008</v>
      </c>
      <c r="AE74" s="14">
        <f>AE61/AE51</f>
        <v>0.37380000000000002</v>
      </c>
      <c r="AF74" s="14">
        <f t="shared" si="52"/>
        <v>0.37380000000000002</v>
      </c>
      <c r="AG74" s="14">
        <f t="shared" si="52"/>
        <v>0.37380000000000002</v>
      </c>
      <c r="AH74" s="14">
        <f t="shared" si="52"/>
        <v>0.37380000000000013</v>
      </c>
      <c r="AI74" s="14"/>
      <c r="AJ74" s="14"/>
      <c r="AK74" s="14"/>
      <c r="AL74" s="14"/>
    </row>
    <row r="76" spans="2:38" x14ac:dyDescent="0.2">
      <c r="B76" s="33" t="s">
        <v>27</v>
      </c>
      <c r="C76" s="6">
        <f t="shared" ref="C76:H76" si="53">C77-C78</f>
        <v>0</v>
      </c>
      <c r="D76" s="6">
        <f t="shared" si="53"/>
        <v>0</v>
      </c>
      <c r="E76" s="6">
        <f t="shared" si="53"/>
        <v>0</v>
      </c>
      <c r="F76" s="6">
        <f t="shared" si="53"/>
        <v>0</v>
      </c>
      <c r="G76" s="6">
        <f t="shared" si="53"/>
        <v>-262</v>
      </c>
      <c r="H76" s="6">
        <f t="shared" si="53"/>
        <v>-1907</v>
      </c>
      <c r="I76" s="6">
        <f>H76+I65</f>
        <v>-210.32199999999966</v>
      </c>
      <c r="J76" s="6">
        <f>I76+J65</f>
        <v>1555.6252680000007</v>
      </c>
      <c r="K76" s="6"/>
      <c r="L76" s="6"/>
      <c r="M76" s="6"/>
      <c r="N76" s="6"/>
      <c r="O76" s="6"/>
      <c r="P76" s="6"/>
      <c r="Q76" s="6"/>
      <c r="R76" s="6"/>
      <c r="S76" s="6"/>
      <c r="T76" s="6"/>
      <c r="U76" s="6"/>
      <c r="V76" s="6"/>
      <c r="Y76" s="33"/>
      <c r="AA76" s="6">
        <f>AA77-SUM(AA88,AA92)</f>
        <v>2674</v>
      </c>
      <c r="AB76" s="6">
        <f>AB77-SUM(AB88,AB92)</f>
        <v>316</v>
      </c>
      <c r="AC76" s="6">
        <f>J76</f>
        <v>1555.6252680000007</v>
      </c>
      <c r="AD76" s="6">
        <f t="shared" ref="AD76:AH76" si="54">AC76+AD65</f>
        <v>9266.1621418516024</v>
      </c>
      <c r="AE76" s="6">
        <f t="shared" si="54"/>
        <v>17487.882975243483</v>
      </c>
      <c r="AF76" s="6">
        <f t="shared" si="54"/>
        <v>26844.046642295652</v>
      </c>
      <c r="AG76" s="6">
        <f t="shared" si="54"/>
        <v>37493.801057482822</v>
      </c>
      <c r="AH76" s="6">
        <f t="shared" si="54"/>
        <v>49620.267565513175</v>
      </c>
    </row>
    <row r="77" spans="2:38" x14ac:dyDescent="0.2">
      <c r="B77" s="33" t="s">
        <v>3</v>
      </c>
      <c r="G77" s="6">
        <f>6758+677</f>
        <v>7435</v>
      </c>
      <c r="H77" s="4">
        <f>4931+782</f>
        <v>5713</v>
      </c>
      <c r="Y77" s="33"/>
      <c r="AA77" s="6">
        <f>7141+701</f>
        <v>7842</v>
      </c>
      <c r="AB77" s="6">
        <v>7613</v>
      </c>
    </row>
    <row r="78" spans="2:38" x14ac:dyDescent="0.2">
      <c r="B78" s="33" t="s">
        <v>96</v>
      </c>
      <c r="G78" s="6">
        <f>6155+143+567+334+498</f>
        <v>7697</v>
      </c>
      <c r="H78" s="4">
        <f>6166+114+477+323+540</f>
        <v>7620</v>
      </c>
      <c r="Y78" s="33"/>
      <c r="AA78" s="6">
        <v>2224</v>
      </c>
      <c r="AB78" s="6">
        <v>2072</v>
      </c>
    </row>
    <row r="79" spans="2:38" x14ac:dyDescent="0.2">
      <c r="B79" s="33" t="s">
        <v>97</v>
      </c>
      <c r="Y79" s="33"/>
      <c r="AA79" s="6">
        <v>1018</v>
      </c>
      <c r="AB79" s="6">
        <v>1274</v>
      </c>
    </row>
    <row r="80" spans="2:38" x14ac:dyDescent="0.2">
      <c r="B80" s="33" t="s">
        <v>98</v>
      </c>
      <c r="Y80" s="33"/>
      <c r="AA80" s="6">
        <v>358</v>
      </c>
      <c r="AB80" s="6">
        <v>281</v>
      </c>
    </row>
    <row r="81" spans="2:34" x14ac:dyDescent="0.2">
      <c r="B81" s="33" t="s">
        <v>36</v>
      </c>
      <c r="Y81" s="33"/>
      <c r="AA81" s="6">
        <v>12805</v>
      </c>
      <c r="AB81" s="6">
        <v>12788</v>
      </c>
    </row>
    <row r="82" spans="2:34" x14ac:dyDescent="0.2">
      <c r="B82" s="33" t="s">
        <v>37</v>
      </c>
      <c r="Y82" s="33"/>
      <c r="AA82" s="6">
        <v>1088</v>
      </c>
      <c r="AB82" s="6">
        <v>782</v>
      </c>
    </row>
    <row r="83" spans="2:34" x14ac:dyDescent="0.2">
      <c r="B83" s="33" t="s">
        <v>94</v>
      </c>
      <c r="Y83" s="33"/>
      <c r="AA83" s="6">
        <v>1191</v>
      </c>
      <c r="AB83" s="6">
        <v>1657</v>
      </c>
    </row>
    <row r="84" spans="2:34" x14ac:dyDescent="0.2">
      <c r="B84" s="33" t="s">
        <v>35</v>
      </c>
      <c r="Y84" s="33"/>
      <c r="AA84" s="6">
        <v>2030</v>
      </c>
      <c r="AB84" s="6">
        <v>1936</v>
      </c>
    </row>
    <row r="85" spans="2:34" x14ac:dyDescent="0.2">
      <c r="B85" s="33" t="s">
        <v>99</v>
      </c>
      <c r="Y85" s="33"/>
      <c r="AA85" s="6">
        <v>1223</v>
      </c>
      <c r="AB85" s="6">
        <v>1554</v>
      </c>
    </row>
    <row r="86" spans="2:34" x14ac:dyDescent="0.2">
      <c r="B86" s="33" t="s">
        <v>38</v>
      </c>
      <c r="Y86" s="33"/>
      <c r="AA86" s="6">
        <f>SUM(AA77:AA85)</f>
        <v>29779</v>
      </c>
      <c r="AB86" s="6">
        <f>SUM(AB77:AB85)</f>
        <v>29957</v>
      </c>
    </row>
    <row r="87" spans="2:34" x14ac:dyDescent="0.2">
      <c r="AE87" s="14"/>
      <c r="AF87" s="14"/>
      <c r="AG87" s="14"/>
    </row>
    <row r="88" spans="2:34" x14ac:dyDescent="0.2">
      <c r="B88" s="33" t="s">
        <v>4</v>
      </c>
      <c r="AA88" s="6">
        <f>5083</f>
        <v>5083</v>
      </c>
      <c r="AB88" s="6">
        <f>5679+1499</f>
        <v>7178</v>
      </c>
    </row>
    <row r="89" spans="2:34" x14ac:dyDescent="0.2">
      <c r="B89" s="33" t="s">
        <v>53</v>
      </c>
      <c r="AA89" s="6">
        <v>314</v>
      </c>
      <c r="AB89" s="6">
        <v>361</v>
      </c>
      <c r="AC89" s="6">
        <f>(AC55/360)*56</f>
        <v>403.82222222222214</v>
      </c>
      <c r="AD89" s="6">
        <f t="shared" ref="AD89:AH89" si="55">(AD55/360)*56</f>
        <v>444.64648148148149</v>
      </c>
      <c r="AE89" s="6">
        <f t="shared" si="55"/>
        <v>463.67800111111103</v>
      </c>
      <c r="AF89" s="6">
        <f t="shared" si="55"/>
        <v>518.12191114444431</v>
      </c>
      <c r="AG89" s="6">
        <f t="shared" si="55"/>
        <v>580.22964757877776</v>
      </c>
      <c r="AH89" s="6">
        <f t="shared" si="55"/>
        <v>651.171782385141</v>
      </c>
    </row>
    <row r="90" spans="2:34" x14ac:dyDescent="0.2">
      <c r="B90" s="33" t="s">
        <v>100</v>
      </c>
      <c r="AA90" s="6">
        <v>1942</v>
      </c>
      <c r="AB90" s="6">
        <v>2336</v>
      </c>
      <c r="AC90" s="6">
        <f t="shared" ref="AC90:AH90" si="56">0.3*SUM(AC58:AC59)</f>
        <v>2362.9320000000002</v>
      </c>
      <c r="AD90" s="6">
        <f>0.3*SUM(AD58:AD59)</f>
        <v>2551.9665600000003</v>
      </c>
      <c r="AE90" s="6">
        <f t="shared" si="56"/>
        <v>2756.1238848000007</v>
      </c>
      <c r="AF90" s="6">
        <f t="shared" si="56"/>
        <v>2976.6137955840004</v>
      </c>
      <c r="AG90" s="6">
        <f t="shared" si="56"/>
        <v>3214.7428992307205</v>
      </c>
      <c r="AH90" s="6">
        <f t="shared" si="56"/>
        <v>3471.922331169179</v>
      </c>
    </row>
    <row r="91" spans="2:34" x14ac:dyDescent="0.2">
      <c r="B91" s="33" t="s">
        <v>54</v>
      </c>
      <c r="AA91" s="6">
        <v>5837</v>
      </c>
      <c r="AB91" s="6">
        <v>6131</v>
      </c>
      <c r="AC91" s="6">
        <f>0.3*AC51</f>
        <v>7080</v>
      </c>
      <c r="AD91" s="6">
        <f t="shared" ref="AD91:AH91" si="57">0.3*AD51</f>
        <v>7795.75</v>
      </c>
      <c r="AE91" s="6">
        <f t="shared" si="57"/>
        <v>8129.4194999999991</v>
      </c>
      <c r="AF91" s="6">
        <f t="shared" si="57"/>
        <v>9083.9555849999979</v>
      </c>
      <c r="AG91" s="6">
        <f t="shared" si="57"/>
        <v>10172.857457550001</v>
      </c>
      <c r="AH91" s="6">
        <f t="shared" si="57"/>
        <v>11416.648132726499</v>
      </c>
    </row>
    <row r="92" spans="2:34" x14ac:dyDescent="0.2">
      <c r="B92" s="33" t="s">
        <v>101</v>
      </c>
      <c r="AA92" s="6">
        <v>85</v>
      </c>
      <c r="AB92" s="6">
        <v>119</v>
      </c>
    </row>
    <row r="93" spans="2:34" x14ac:dyDescent="0.2">
      <c r="B93" s="33" t="s">
        <v>40</v>
      </c>
      <c r="AA93" s="6">
        <f>SUM(AA88:AA92)</f>
        <v>13261</v>
      </c>
      <c r="AB93" s="6">
        <f>SUM(AB88:AB92)</f>
        <v>16125</v>
      </c>
    </row>
    <row r="94" spans="2:34" x14ac:dyDescent="0.2">
      <c r="B94" s="33" t="s">
        <v>39</v>
      </c>
      <c r="AA94" s="6">
        <f>AA86-AA93</f>
        <v>16518</v>
      </c>
      <c r="AB94" s="6">
        <f>AB86-AB93</f>
        <v>13832</v>
      </c>
    </row>
    <row r="95" spans="2:34" x14ac:dyDescent="0.2">
      <c r="B95" s="33" t="s">
        <v>41</v>
      </c>
      <c r="AA95" s="6">
        <f>AA93+AA94</f>
        <v>29779</v>
      </c>
      <c r="AB95" s="6">
        <f>AB93+AB94</f>
        <v>29957</v>
      </c>
    </row>
    <row r="96" spans="2:34" x14ac:dyDescent="0.2">
      <c r="AA96" s="14"/>
      <c r="AB96" s="14"/>
    </row>
    <row r="97" spans="2:40" x14ac:dyDescent="0.2">
      <c r="B97" s="6" t="s">
        <v>49</v>
      </c>
      <c r="AA97" s="6">
        <f>AA78/AA51*360</f>
        <v>41.250966046679373</v>
      </c>
      <c r="AB97" s="6">
        <f>AB78/AB51*360</f>
        <v>34.68588700302255</v>
      </c>
    </row>
    <row r="98" spans="2:40" x14ac:dyDescent="0.2">
      <c r="B98" s="29" t="s">
        <v>110</v>
      </c>
      <c r="AA98" s="6">
        <f>(AA89/Z55)*360</f>
        <v>52.212471131639724</v>
      </c>
      <c r="AB98" s="6">
        <f>(AB89/AA55)*360</f>
        <v>55.208156329651651</v>
      </c>
      <c r="AC98" s="6">
        <f t="shared" ref="AC98:AH98" si="58">(AC89/AB55)*360</f>
        <v>61.652247667514835</v>
      </c>
      <c r="AD98" s="6">
        <f t="shared" si="58"/>
        <v>61.661299435028262</v>
      </c>
      <c r="AE98" s="6">
        <f t="shared" si="58"/>
        <v>58.396881890773805</v>
      </c>
      <c r="AF98" s="6">
        <f t="shared" si="58"/>
        <v>62.57537979925872</v>
      </c>
      <c r="AG98" s="6">
        <f t="shared" si="58"/>
        <v>62.71277003638059</v>
      </c>
      <c r="AH98" s="6">
        <f t="shared" si="58"/>
        <v>62.846874450028793</v>
      </c>
    </row>
    <row r="99" spans="2:40" x14ac:dyDescent="0.2">
      <c r="Z99" s="14"/>
      <c r="AA99" s="14"/>
      <c r="AB99" s="14"/>
      <c r="AC99" s="14"/>
      <c r="AD99" s="14"/>
      <c r="AE99" s="14"/>
      <c r="AF99" s="14"/>
      <c r="AG99" s="14"/>
    </row>
    <row r="100" spans="2:40" s="10" customFormat="1" x14ac:dyDescent="0.2">
      <c r="B100" s="6" t="s">
        <v>50</v>
      </c>
      <c r="Z100" s="29">
        <f t="shared" ref="Z100:AI100" si="59">Z65</f>
        <v>6136</v>
      </c>
      <c r="AA100" s="29">
        <f t="shared" si="59"/>
        <v>6721</v>
      </c>
      <c r="AB100" s="29">
        <f t="shared" si="59"/>
        <v>7789</v>
      </c>
      <c r="AC100" s="29">
        <f t="shared" si="59"/>
        <v>8783.458741126482</v>
      </c>
      <c r="AD100" s="29">
        <f t="shared" si="59"/>
        <v>7710.5368738516017</v>
      </c>
      <c r="AE100" s="29">
        <f t="shared" si="59"/>
        <v>8221.7208333918825</v>
      </c>
      <c r="AF100" s="29">
        <f t="shared" si="59"/>
        <v>9356.1636670521693</v>
      </c>
      <c r="AG100" s="29">
        <f t="shared" si="59"/>
        <v>10649.754415187173</v>
      </c>
      <c r="AH100" s="29">
        <f t="shared" si="59"/>
        <v>12126.466508030349</v>
      </c>
      <c r="AI100" s="29">
        <f t="shared" si="59"/>
        <v>11350.242057197687</v>
      </c>
      <c r="AM100" s="33"/>
    </row>
    <row r="101" spans="2:40" x14ac:dyDescent="0.2">
      <c r="B101" s="6" t="s">
        <v>51</v>
      </c>
      <c r="Z101" s="6">
        <v>4756</v>
      </c>
      <c r="AA101" s="6">
        <v>5428</v>
      </c>
      <c r="AB101" s="6">
        <v>5560</v>
      </c>
      <c r="AC101" s="14"/>
      <c r="AM101" s="33"/>
    </row>
    <row r="102" spans="2:40" x14ac:dyDescent="0.2">
      <c r="B102" s="6" t="s">
        <v>52</v>
      </c>
      <c r="Z102" s="6">
        <v>856</v>
      </c>
      <c r="AA102" s="6">
        <v>872</v>
      </c>
      <c r="AB102" s="6">
        <v>857</v>
      </c>
      <c r="AC102" s="6">
        <f>AB102*(1+AC69)</f>
        <v>940.48825854452457</v>
      </c>
      <c r="AD102" s="6">
        <f>0.04*AD51</f>
        <v>1039.4333333333334</v>
      </c>
      <c r="AE102" s="6">
        <f t="shared" ref="AE102:AI102" si="60">0.04*AE51</f>
        <v>1083.9225999999999</v>
      </c>
      <c r="AF102" s="6">
        <f t="shared" si="60"/>
        <v>1211.194078</v>
      </c>
      <c r="AG102" s="6">
        <f t="shared" si="60"/>
        <v>1356.3809943400001</v>
      </c>
      <c r="AH102" s="6">
        <f t="shared" si="60"/>
        <v>1522.2197510302001</v>
      </c>
      <c r="AI102" s="6">
        <f t="shared" si="60"/>
        <v>1537.4419485405022</v>
      </c>
      <c r="AM102" s="33"/>
    </row>
    <row r="103" spans="2:40" x14ac:dyDescent="0.2">
      <c r="B103" s="29" t="s">
        <v>95</v>
      </c>
      <c r="Z103" s="6">
        <v>1440</v>
      </c>
      <c r="AA103" s="6">
        <v>1718</v>
      </c>
      <c r="AB103" s="6">
        <v>1833</v>
      </c>
      <c r="AC103" s="6">
        <f>AC51*0.08</f>
        <v>1888</v>
      </c>
      <c r="AM103" s="33"/>
    </row>
    <row r="104" spans="2:40" x14ac:dyDescent="0.2">
      <c r="B104" s="29" t="s">
        <v>94</v>
      </c>
      <c r="Z104" s="6">
        <v>328</v>
      </c>
      <c r="AA104" s="6">
        <v>-426</v>
      </c>
      <c r="AB104" s="6">
        <v>-468</v>
      </c>
      <c r="AC104" s="6">
        <f>AB104*(1+AC69)</f>
        <v>-513.59218786328768</v>
      </c>
      <c r="AM104" s="33"/>
    </row>
    <row r="105" spans="2:40" x14ac:dyDescent="0.2">
      <c r="B105" s="29" t="s">
        <v>84</v>
      </c>
      <c r="Z105" s="6">
        <v>29</v>
      </c>
      <c r="AA105" s="6">
        <v>-10</v>
      </c>
      <c r="AB105" s="6">
        <v>-35</v>
      </c>
      <c r="AC105" s="6">
        <f>AB105*(1+AC69)</f>
        <v>-38.409672169262961</v>
      </c>
      <c r="AM105" s="33"/>
      <c r="AN105" s="18"/>
    </row>
    <row r="106" spans="2:40" x14ac:dyDescent="0.2">
      <c r="B106" s="29" t="s">
        <v>86</v>
      </c>
      <c r="Z106" s="6">
        <v>10</v>
      </c>
      <c r="AA106" s="6">
        <v>3</v>
      </c>
      <c r="AB106" s="6">
        <v>10</v>
      </c>
      <c r="AC106" s="6">
        <f>AB106*(1+AC69)</f>
        <v>10.974192048360846</v>
      </c>
      <c r="AM106" s="33"/>
      <c r="AN106" s="18"/>
    </row>
    <row r="107" spans="2:40" x14ac:dyDescent="0.2">
      <c r="B107" s="29" t="s">
        <v>82</v>
      </c>
      <c r="Z107" s="6">
        <f>SUM(Z89:Z91)</f>
        <v>0</v>
      </c>
      <c r="AA107" s="6">
        <f t="shared" ref="AA107:AI107" si="61">SUM(AA89:AA91)</f>
        <v>8093</v>
      </c>
      <c r="AB107" s="6">
        <f t="shared" si="61"/>
        <v>8828</v>
      </c>
      <c r="AC107" s="6">
        <f t="shared" si="61"/>
        <v>9846.7542222222219</v>
      </c>
      <c r="AD107" s="6">
        <f t="shared" si="61"/>
        <v>10792.363041481482</v>
      </c>
      <c r="AE107" s="6">
        <f t="shared" si="61"/>
        <v>11349.221385911111</v>
      </c>
      <c r="AF107" s="6">
        <f t="shared" si="61"/>
        <v>12578.691291728443</v>
      </c>
      <c r="AG107" s="6">
        <f t="shared" si="61"/>
        <v>13967.830004359499</v>
      </c>
      <c r="AH107" s="6">
        <f t="shared" si="61"/>
        <v>15539.742246280819</v>
      </c>
      <c r="AI107" s="6">
        <f t="shared" si="61"/>
        <v>0</v>
      </c>
      <c r="AM107" s="33"/>
      <c r="AN107" s="18"/>
    </row>
    <row r="108" spans="2:40" x14ac:dyDescent="0.2">
      <c r="B108" s="29" t="s">
        <v>25</v>
      </c>
      <c r="Z108" s="6">
        <f>SUM(Z101:Z106)</f>
        <v>7419</v>
      </c>
      <c r="AA108" s="6">
        <f t="shared" ref="AA108:AB108" si="62">SUM(AA101:AA106)</f>
        <v>7585</v>
      </c>
      <c r="AB108" s="6">
        <f t="shared" si="62"/>
        <v>7757</v>
      </c>
      <c r="AC108" s="6">
        <f>SUM(AC100:AC106)</f>
        <v>11070.919331686819</v>
      </c>
      <c r="AD108" s="6">
        <f t="shared" ref="AD108:AI108" si="63">SUM(AD100:AD106)</f>
        <v>8749.9702071849351</v>
      </c>
      <c r="AE108" s="6">
        <f t="shared" si="63"/>
        <v>9305.6434333918824</v>
      </c>
      <c r="AF108" s="6">
        <f t="shared" si="63"/>
        <v>10567.35774505217</v>
      </c>
      <c r="AG108" s="6">
        <f t="shared" si="63"/>
        <v>12006.135409527174</v>
      </c>
      <c r="AH108" s="6">
        <f t="shared" si="63"/>
        <v>13648.686259060549</v>
      </c>
      <c r="AI108" s="6">
        <f t="shared" si="63"/>
        <v>12887.684005738189</v>
      </c>
      <c r="AN108" s="18"/>
    </row>
    <row r="109" spans="2:40" x14ac:dyDescent="0.2">
      <c r="B109" s="29" t="s">
        <v>111</v>
      </c>
      <c r="AB109" s="6">
        <f>AB107-AA107</f>
        <v>735</v>
      </c>
      <c r="AC109" s="6">
        <f>AC107-AB107</f>
        <v>1018.7542222222219</v>
      </c>
      <c r="AD109" s="6">
        <f t="shared" ref="AD109:AH109" si="64">AD107-AC107</f>
        <v>945.60881925925969</v>
      </c>
      <c r="AE109" s="6">
        <f t="shared" si="64"/>
        <v>556.85834442962914</v>
      </c>
      <c r="AF109" s="6">
        <f t="shared" si="64"/>
        <v>1229.4699058173319</v>
      </c>
      <c r="AG109" s="6">
        <f t="shared" si="64"/>
        <v>1389.1387126310565</v>
      </c>
      <c r="AH109" s="6">
        <f t="shared" si="64"/>
        <v>1571.9122419213199</v>
      </c>
      <c r="AI109" s="6">
        <v>0</v>
      </c>
      <c r="AN109" s="18"/>
    </row>
    <row r="110" spans="2:40" x14ac:dyDescent="0.2">
      <c r="Z110" s="14"/>
      <c r="AA110" s="14"/>
      <c r="AB110" s="14"/>
      <c r="AC110" s="14"/>
      <c r="AD110" s="14"/>
      <c r="AN110" s="18"/>
    </row>
    <row r="111" spans="2:40" x14ac:dyDescent="0.2">
      <c r="B111" s="33" t="s">
        <v>83</v>
      </c>
      <c r="Z111" s="6">
        <v>-568</v>
      </c>
      <c r="AA111" s="6">
        <v>-360</v>
      </c>
      <c r="AB111" s="6">
        <v>-183</v>
      </c>
      <c r="AC111" s="6">
        <v>-300</v>
      </c>
      <c r="AD111" s="29">
        <f>-0.02*AD51</f>
        <v>-519.7166666666667</v>
      </c>
      <c r="AE111" s="29">
        <f>-0.02*AE51</f>
        <v>-541.96129999999994</v>
      </c>
      <c r="AF111" s="29">
        <f>-0.02*AF51</f>
        <v>-605.597039</v>
      </c>
      <c r="AG111" s="29">
        <f>-0.02*AG51</f>
        <v>-678.19049717000007</v>
      </c>
      <c r="AH111" s="29">
        <f>-0.02*AH51</f>
        <v>-761.10987551510004</v>
      </c>
      <c r="AI111" s="29">
        <f>-AI102</f>
        <v>-1537.4419485405022</v>
      </c>
    </row>
    <row r="112" spans="2:40" x14ac:dyDescent="0.2">
      <c r="B112" s="33" t="s">
        <v>84</v>
      </c>
      <c r="Z112" s="6">
        <v>-2</v>
      </c>
      <c r="AA112" s="6">
        <v>1136</v>
      </c>
      <c r="AB112" s="6">
        <v>332</v>
      </c>
    </row>
    <row r="113" spans="2:135" x14ac:dyDescent="0.2">
      <c r="B113" s="33" t="s">
        <v>85</v>
      </c>
    </row>
    <row r="114" spans="2:135" x14ac:dyDescent="0.2">
      <c r="B114" s="33" t="s">
        <v>86</v>
      </c>
      <c r="AL114" s="9"/>
    </row>
    <row r="115" spans="2:135" x14ac:dyDescent="0.2">
      <c r="B115" s="33" t="s">
        <v>87</v>
      </c>
      <c r="Z115" s="6">
        <f>SUM(Z111:Z114)</f>
        <v>-570</v>
      </c>
      <c r="AA115" s="6">
        <f t="shared" ref="AA115:AI115" si="65">SUM(AA111:AA114)</f>
        <v>776</v>
      </c>
      <c r="AB115" s="6">
        <f t="shared" si="65"/>
        <v>149</v>
      </c>
      <c r="AC115" s="6">
        <f t="shared" si="65"/>
        <v>-300</v>
      </c>
      <c r="AD115" s="6">
        <f t="shared" si="65"/>
        <v>-519.7166666666667</v>
      </c>
      <c r="AE115" s="6">
        <f t="shared" si="65"/>
        <v>-541.96129999999994</v>
      </c>
      <c r="AF115" s="6">
        <f t="shared" si="65"/>
        <v>-605.597039</v>
      </c>
      <c r="AG115" s="6">
        <f t="shared" si="65"/>
        <v>-678.19049717000007</v>
      </c>
      <c r="AH115" s="6">
        <f t="shared" si="65"/>
        <v>-761.10987551510004</v>
      </c>
      <c r="AI115" s="6">
        <f t="shared" si="65"/>
        <v>-1537.4419485405022</v>
      </c>
    </row>
    <row r="116" spans="2:135" x14ac:dyDescent="0.2">
      <c r="Z116" s="14"/>
      <c r="AA116" s="14"/>
      <c r="AB116" s="14"/>
      <c r="AC116" s="14"/>
      <c r="AD116" s="14"/>
      <c r="AE116" s="14"/>
      <c r="AF116" s="14"/>
      <c r="AG116" s="14"/>
      <c r="AH116" s="14"/>
      <c r="AI116" s="14"/>
    </row>
    <row r="117" spans="2:135" x14ac:dyDescent="0.2">
      <c r="B117" s="33" t="s">
        <v>88</v>
      </c>
      <c r="Z117" s="14"/>
      <c r="AA117" s="14"/>
      <c r="AB117" s="14"/>
      <c r="AD117" s="9"/>
      <c r="AE117" s="9"/>
      <c r="AF117" s="9"/>
      <c r="AG117" s="9"/>
      <c r="AH117" s="9"/>
      <c r="AI117" s="9"/>
      <c r="AK117" s="6" t="s">
        <v>29</v>
      </c>
      <c r="AL117" s="14">
        <v>0.03</v>
      </c>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row>
    <row r="118" spans="2:135" x14ac:dyDescent="0.2">
      <c r="B118" s="33" t="s">
        <v>89</v>
      </c>
      <c r="AK118" s="6" t="s">
        <v>30</v>
      </c>
      <c r="AL118" s="14">
        <v>0.01</v>
      </c>
    </row>
    <row r="119" spans="2:135" x14ac:dyDescent="0.2">
      <c r="B119" s="33" t="s">
        <v>90</v>
      </c>
      <c r="AK119" s="6" t="s">
        <v>31</v>
      </c>
      <c r="AL119" s="15">
        <v>8.5000000000000006E-2</v>
      </c>
    </row>
    <row r="120" spans="2:135" x14ac:dyDescent="0.2">
      <c r="B120" s="33" t="s">
        <v>86</v>
      </c>
      <c r="AK120" s="6" t="s">
        <v>32</v>
      </c>
      <c r="AL120" s="20">
        <f>NPV(AL119,AD125:DM125)+Main!K5-Main!K6</f>
        <v>134523.06171994418</v>
      </c>
    </row>
    <row r="121" spans="2:135" x14ac:dyDescent="0.2">
      <c r="B121" s="33" t="s">
        <v>91</v>
      </c>
      <c r="Z121" s="6">
        <f>SUM(Z117:Z120)</f>
        <v>0</v>
      </c>
      <c r="AA121" s="6">
        <f t="shared" ref="AA121:AI121" si="66">SUM(AA117:AA120)</f>
        <v>0</v>
      </c>
      <c r="AB121" s="6">
        <f t="shared" si="66"/>
        <v>0</v>
      </c>
      <c r="AC121" s="6">
        <f t="shared" si="66"/>
        <v>0</v>
      </c>
      <c r="AD121" s="6">
        <f t="shared" si="66"/>
        <v>0</v>
      </c>
      <c r="AE121" s="6">
        <f t="shared" si="66"/>
        <v>0</v>
      </c>
      <c r="AF121" s="6">
        <f t="shared" si="66"/>
        <v>0</v>
      </c>
      <c r="AG121" s="6">
        <f t="shared" si="66"/>
        <v>0</v>
      </c>
      <c r="AH121" s="6">
        <f t="shared" si="66"/>
        <v>0</v>
      </c>
      <c r="AI121" s="6">
        <f t="shared" si="66"/>
        <v>0</v>
      </c>
      <c r="AK121" s="19" t="s">
        <v>61</v>
      </c>
      <c r="AL121" s="9">
        <f>AL120/Main!K3</f>
        <v>327.70538786831713</v>
      </c>
    </row>
    <row r="122" spans="2:135" x14ac:dyDescent="0.2">
      <c r="B122" s="33" t="s">
        <v>92</v>
      </c>
      <c r="AL122" s="14">
        <f>AL121/Main!K2-1</f>
        <v>0.32674246100533244</v>
      </c>
    </row>
    <row r="123" spans="2:135" x14ac:dyDescent="0.2">
      <c r="B123" s="33" t="s">
        <v>93</v>
      </c>
      <c r="Z123" s="6">
        <f t="shared" ref="Z123:AI123" si="67">Z108+Z115+Z121+Z122</f>
        <v>6849</v>
      </c>
      <c r="AA123" s="6">
        <f t="shared" si="67"/>
        <v>8361</v>
      </c>
      <c r="AB123" s="6">
        <f t="shared" si="67"/>
        <v>7906</v>
      </c>
      <c r="AC123" s="6">
        <f t="shared" si="67"/>
        <v>10770.919331686819</v>
      </c>
      <c r="AD123" s="6">
        <f t="shared" si="67"/>
        <v>8230.253540518268</v>
      </c>
      <c r="AE123" s="6">
        <f t="shared" si="67"/>
        <v>8763.6821333918815</v>
      </c>
      <c r="AF123" s="6">
        <f t="shared" si="67"/>
        <v>9961.7607060521696</v>
      </c>
      <c r="AG123" s="6">
        <f t="shared" si="67"/>
        <v>11327.944912357174</v>
      </c>
      <c r="AH123" s="6">
        <f t="shared" si="67"/>
        <v>12887.576383545449</v>
      </c>
      <c r="AI123" s="6">
        <f t="shared" si="67"/>
        <v>11350.242057197687</v>
      </c>
      <c r="AK123" s="40"/>
      <c r="AL123" s="9"/>
      <c r="AM123" s="40"/>
    </row>
    <row r="125" spans="2:135" x14ac:dyDescent="0.2">
      <c r="B125" s="29" t="s">
        <v>26</v>
      </c>
      <c r="Z125" s="6">
        <f>Z108+Z111</f>
        <v>6851</v>
      </c>
      <c r="AA125" s="6">
        <f>AA108+AA111</f>
        <v>7225</v>
      </c>
      <c r="AB125" s="6">
        <f>AB108+AB111</f>
        <v>7574</v>
      </c>
      <c r="AC125" s="6">
        <f>AC108+AC111</f>
        <v>10770.919331686819</v>
      </c>
      <c r="AD125" s="6">
        <f>AD108+AD111-AD109</f>
        <v>7284.6447212590083</v>
      </c>
      <c r="AE125" s="6">
        <f t="shared" ref="AE125:AI125" si="68">AE108+AE111-AE109</f>
        <v>8206.8237889622524</v>
      </c>
      <c r="AF125" s="6">
        <f t="shared" si="68"/>
        <v>8732.2908002348377</v>
      </c>
      <c r="AG125" s="6">
        <f t="shared" si="68"/>
        <v>9938.8061997261175</v>
      </c>
      <c r="AH125" s="6">
        <f t="shared" si="68"/>
        <v>11315.664141624129</v>
      </c>
      <c r="AI125" s="6">
        <f t="shared" si="68"/>
        <v>11350.242057197687</v>
      </c>
      <c r="AJ125" s="6">
        <f t="shared" ref="AJ125:BO125" si="69">AI125*(1+$AL$118)</f>
        <v>11463.744477769664</v>
      </c>
      <c r="AK125" s="6">
        <f t="shared" si="69"/>
        <v>11578.38192254736</v>
      </c>
      <c r="AL125" s="6">
        <f t="shared" si="69"/>
        <v>11694.165741772833</v>
      </c>
      <c r="AM125" s="6">
        <f t="shared" si="69"/>
        <v>11811.107399190561</v>
      </c>
      <c r="AN125" s="6">
        <f t="shared" si="69"/>
        <v>11929.218473182467</v>
      </c>
      <c r="AO125" s="6">
        <f t="shared" si="69"/>
        <v>12048.510657914292</v>
      </c>
      <c r="AP125" s="6">
        <f t="shared" si="69"/>
        <v>12168.995764493435</v>
      </c>
      <c r="AQ125" s="6">
        <f t="shared" si="69"/>
        <v>12290.685722138369</v>
      </c>
      <c r="AR125" s="6">
        <f t="shared" si="69"/>
        <v>12413.592579359753</v>
      </c>
      <c r="AS125" s="6">
        <f t="shared" si="69"/>
        <v>12537.728505153351</v>
      </c>
      <c r="AT125" s="6">
        <f t="shared" si="69"/>
        <v>12663.105790204885</v>
      </c>
      <c r="AU125" s="6">
        <f t="shared" si="69"/>
        <v>12789.736848106933</v>
      </c>
      <c r="AV125" s="6">
        <f t="shared" si="69"/>
        <v>12917.634216588003</v>
      </c>
      <c r="AW125" s="6">
        <f t="shared" si="69"/>
        <v>13046.810558753883</v>
      </c>
      <c r="AX125" s="6">
        <f t="shared" si="69"/>
        <v>13177.278664341422</v>
      </c>
      <c r="AY125" s="6">
        <f t="shared" si="69"/>
        <v>13309.051450984836</v>
      </c>
      <c r="AZ125" s="6">
        <f t="shared" si="69"/>
        <v>13442.141965494684</v>
      </c>
      <c r="BA125" s="6">
        <f t="shared" si="69"/>
        <v>13576.563385149631</v>
      </c>
      <c r="BB125" s="6">
        <f t="shared" si="69"/>
        <v>13712.329019001128</v>
      </c>
      <c r="BC125" s="6">
        <f t="shared" si="69"/>
        <v>13849.45230919114</v>
      </c>
      <c r="BD125" s="6">
        <f t="shared" si="69"/>
        <v>13987.946832283051</v>
      </c>
      <c r="BE125" s="6">
        <f t="shared" si="69"/>
        <v>14127.826300605881</v>
      </c>
      <c r="BF125" s="6">
        <f t="shared" si="69"/>
        <v>14269.10456361194</v>
      </c>
      <c r="BG125" s="6">
        <f t="shared" si="69"/>
        <v>14411.79560924806</v>
      </c>
      <c r="BH125" s="6">
        <f t="shared" si="69"/>
        <v>14555.913565340541</v>
      </c>
      <c r="BI125" s="6">
        <f t="shared" si="69"/>
        <v>14701.472700993947</v>
      </c>
      <c r="BJ125" s="6">
        <f t="shared" si="69"/>
        <v>14848.487428003886</v>
      </c>
      <c r="BK125" s="6">
        <f t="shared" si="69"/>
        <v>14996.972302283924</v>
      </c>
      <c r="BL125" s="6">
        <f t="shared" si="69"/>
        <v>15146.942025306764</v>
      </c>
      <c r="BM125" s="6">
        <f t="shared" si="69"/>
        <v>15298.411445559832</v>
      </c>
      <c r="BN125" s="6">
        <f t="shared" si="69"/>
        <v>15451.39556001543</v>
      </c>
      <c r="BO125" s="6">
        <f t="shared" si="69"/>
        <v>15605.909515615584</v>
      </c>
      <c r="BP125" s="6">
        <f t="shared" ref="BP125:CU125" si="70">BO125*(1+$AL$118)</f>
        <v>15761.968610771739</v>
      </c>
      <c r="BQ125" s="6">
        <f t="shared" si="70"/>
        <v>15919.588296879456</v>
      </c>
      <c r="BR125" s="6">
        <f t="shared" si="70"/>
        <v>16078.784179848251</v>
      </c>
      <c r="BS125" s="6">
        <f t="shared" si="70"/>
        <v>16239.572021646734</v>
      </c>
      <c r="BT125" s="6">
        <f t="shared" si="70"/>
        <v>16401.967741863202</v>
      </c>
      <c r="BU125" s="6">
        <f t="shared" si="70"/>
        <v>16565.987419281835</v>
      </c>
      <c r="BV125" s="6">
        <f t="shared" si="70"/>
        <v>16731.647293474653</v>
      </c>
      <c r="BW125" s="6">
        <f t="shared" si="70"/>
        <v>16898.963766409401</v>
      </c>
      <c r="BX125" s="6">
        <f t="shared" si="70"/>
        <v>17067.953404073494</v>
      </c>
      <c r="BY125" s="6">
        <f t="shared" si="70"/>
        <v>17238.632938114228</v>
      </c>
      <c r="BZ125" s="6">
        <f t="shared" si="70"/>
        <v>17411.019267495369</v>
      </c>
      <c r="CA125" s="6">
        <f t="shared" si="70"/>
        <v>17585.129460170323</v>
      </c>
      <c r="CB125" s="6">
        <f t="shared" si="70"/>
        <v>17760.980754772027</v>
      </c>
      <c r="CC125" s="6">
        <f t="shared" si="70"/>
        <v>17938.590562319747</v>
      </c>
      <c r="CD125" s="6">
        <f t="shared" si="70"/>
        <v>18117.976467942943</v>
      </c>
      <c r="CE125" s="6">
        <f t="shared" si="70"/>
        <v>18299.156232622372</v>
      </c>
      <c r="CF125" s="6">
        <f t="shared" si="70"/>
        <v>18482.147794948596</v>
      </c>
      <c r="CG125" s="6">
        <f t="shared" si="70"/>
        <v>18666.969272898081</v>
      </c>
      <c r="CH125" s="6">
        <f t="shared" si="70"/>
        <v>18853.638965627062</v>
      </c>
      <c r="CI125" s="6">
        <f t="shared" si="70"/>
        <v>19042.175355283332</v>
      </c>
      <c r="CJ125" s="6">
        <f t="shared" si="70"/>
        <v>19232.597108836166</v>
      </c>
      <c r="CK125" s="6">
        <f t="shared" si="70"/>
        <v>19424.923079924527</v>
      </c>
      <c r="CL125" s="6">
        <f t="shared" si="70"/>
        <v>19619.172310723774</v>
      </c>
      <c r="CM125" s="6">
        <f t="shared" si="70"/>
        <v>19815.364033831011</v>
      </c>
      <c r="CN125" s="6">
        <f t="shared" si="70"/>
        <v>20013.517674169321</v>
      </c>
      <c r="CO125" s="6">
        <f t="shared" si="70"/>
        <v>20213.652850911014</v>
      </c>
      <c r="CP125" s="6">
        <f t="shared" si="70"/>
        <v>20415.789379420123</v>
      </c>
      <c r="CQ125" s="6">
        <f t="shared" si="70"/>
        <v>20619.947273214326</v>
      </c>
      <c r="CR125" s="6">
        <f t="shared" si="70"/>
        <v>20826.146745946469</v>
      </c>
      <c r="CS125" s="6">
        <f t="shared" si="70"/>
        <v>21034.408213405935</v>
      </c>
      <c r="CT125" s="6">
        <f t="shared" si="70"/>
        <v>21244.752295539995</v>
      </c>
      <c r="CU125" s="6">
        <f t="shared" si="70"/>
        <v>21457.199818495395</v>
      </c>
      <c r="CV125" s="6">
        <f t="shared" ref="CV125:DM125" si="71">CU125*(1+$AL$118)</f>
        <v>21671.77181668035</v>
      </c>
      <c r="CW125" s="6">
        <f t="shared" si="71"/>
        <v>21888.489534847155</v>
      </c>
      <c r="CX125" s="6">
        <f t="shared" si="71"/>
        <v>22107.374430195625</v>
      </c>
      <c r="CY125" s="6">
        <f t="shared" si="71"/>
        <v>22328.448174497582</v>
      </c>
      <c r="CZ125" s="6">
        <f t="shared" si="71"/>
        <v>22551.732656242559</v>
      </c>
      <c r="DA125" s="6">
        <f t="shared" si="71"/>
        <v>22777.249982804984</v>
      </c>
      <c r="DB125" s="6">
        <f t="shared" si="71"/>
        <v>23005.022482633034</v>
      </c>
      <c r="DC125" s="6">
        <f t="shared" si="71"/>
        <v>23235.072707459363</v>
      </c>
      <c r="DD125" s="6">
        <f t="shared" si="71"/>
        <v>23467.423434533957</v>
      </c>
      <c r="DE125" s="6">
        <f t="shared" si="71"/>
        <v>23702.097668879298</v>
      </c>
      <c r="DF125" s="6">
        <f t="shared" si="71"/>
        <v>23939.118645568091</v>
      </c>
      <c r="DG125" s="6">
        <f t="shared" si="71"/>
        <v>24178.50983202377</v>
      </c>
      <c r="DH125" s="6">
        <f t="shared" si="71"/>
        <v>24420.294930344007</v>
      </c>
      <c r="DI125" s="6">
        <f t="shared" si="71"/>
        <v>24664.497879647446</v>
      </c>
      <c r="DJ125" s="6">
        <f t="shared" si="71"/>
        <v>24911.14285844392</v>
      </c>
      <c r="DK125" s="6">
        <f t="shared" si="71"/>
        <v>25160.254287028358</v>
      </c>
      <c r="DL125" s="6">
        <f t="shared" si="71"/>
        <v>25411.856829898643</v>
      </c>
      <c r="DM125" s="6">
        <f t="shared" si="71"/>
        <v>25665.975398197628</v>
      </c>
    </row>
    <row r="127" spans="2:135" x14ac:dyDescent="0.2">
      <c r="B127" s="5" t="s">
        <v>169</v>
      </c>
      <c r="AK127" s="14">
        <f>((NPV(AL119,AD125:DM125)+Main!K5-Main!K6)/Main!K3)/Main!K2-1</f>
        <v>0.32674246100533244</v>
      </c>
      <c r="AL127" s="14">
        <v>7.0000000000000007E-2</v>
      </c>
      <c r="AM127" s="14">
        <v>0.08</v>
      </c>
      <c r="AN127" s="15">
        <v>8.5000000000000006E-2</v>
      </c>
      <c r="AO127" s="14">
        <v>0.09</v>
      </c>
      <c r="AP127" s="14">
        <v>0.1</v>
      </c>
      <c r="AQ127" s="14">
        <v>0.11</v>
      </c>
      <c r="AR127" s="29" t="s">
        <v>31</v>
      </c>
    </row>
    <row r="128" spans="2:135" x14ac:dyDescent="0.2">
      <c r="B128" s="5" t="s">
        <v>32</v>
      </c>
      <c r="AK128" s="6">
        <v>40</v>
      </c>
      <c r="AL128" s="14">
        <f t="dataTable" ref="AL128:AQ134" dt2D="1" dtr="1" r1="AL119" r2="AE30"/>
        <v>0.48803399732433106</v>
      </c>
      <c r="AM128" s="14">
        <v>0.27168978771674235</v>
      </c>
      <c r="AN128" s="14">
        <v>0.18421979600376992</v>
      </c>
      <c r="AO128" s="14">
        <v>0.10738059571781844</v>
      </c>
      <c r="AP128" s="14">
        <v>-2.1098462825579034E-2</v>
      </c>
      <c r="AQ128" s="14">
        <v>-0.12405686422567963</v>
      </c>
    </row>
    <row r="129" spans="2:45" x14ac:dyDescent="0.2">
      <c r="AK129" s="6">
        <v>60</v>
      </c>
      <c r="AL129" s="14">
        <v>0.53378224682117792</v>
      </c>
      <c r="AM129" s="14">
        <v>0.31022940469634031</v>
      </c>
      <c r="AN129" s="14">
        <v>0.21985046225416016</v>
      </c>
      <c r="AO129" s="14">
        <v>0.14045930897796532</v>
      </c>
      <c r="AP129" s="14">
        <v>7.722360540752593E-3</v>
      </c>
      <c r="AQ129" s="14">
        <v>-9.8637445457748774E-2</v>
      </c>
    </row>
    <row r="130" spans="2:45" x14ac:dyDescent="0.2">
      <c r="AK130" s="6">
        <v>80</v>
      </c>
      <c r="AL130" s="14">
        <v>0.57953049631802211</v>
      </c>
      <c r="AM130" s="14">
        <v>0.34876902167593671</v>
      </c>
      <c r="AN130" s="32">
        <v>0.25548112850455063</v>
      </c>
      <c r="AO130" s="14">
        <v>0.17353802223811132</v>
      </c>
      <c r="AP130" s="14">
        <v>3.654318390708311E-2</v>
      </c>
      <c r="AQ130" s="14">
        <v>-7.3218026689817806E-2</v>
      </c>
    </row>
    <row r="131" spans="2:45" x14ac:dyDescent="0.2">
      <c r="AK131" s="6">
        <v>100</v>
      </c>
      <c r="AL131" s="14">
        <v>0.62527874581487097</v>
      </c>
      <c r="AM131" s="14">
        <v>0.38730863865553378</v>
      </c>
      <c r="AN131" s="12">
        <v>0.2911117947549422</v>
      </c>
      <c r="AO131" s="14">
        <v>0.20661673549825799</v>
      </c>
      <c r="AP131" s="14">
        <v>6.5364007273414071E-2</v>
      </c>
      <c r="AQ131" s="14">
        <v>-4.7798607921886505E-2</v>
      </c>
    </row>
    <row r="132" spans="2:45" x14ac:dyDescent="0.2">
      <c r="AK132" s="6">
        <v>150</v>
      </c>
      <c r="AL132" s="14">
        <v>0.73964936955698501</v>
      </c>
      <c r="AM132" s="14">
        <v>0.48365768110452811</v>
      </c>
      <c r="AN132" s="14">
        <v>0.38018846038091847</v>
      </c>
      <c r="AO132" s="14">
        <v>0.28931351864862398</v>
      </c>
      <c r="AP132" s="14">
        <v>0.13741606568924136</v>
      </c>
      <c r="AQ132" s="14">
        <v>1.5749938997940971E-2</v>
      </c>
    </row>
    <row r="133" spans="2:45" x14ac:dyDescent="0.2">
      <c r="AK133" s="6">
        <v>200</v>
      </c>
      <c r="AL133" s="14">
        <v>0.8540199932991035</v>
      </c>
      <c r="AM133" s="14">
        <v>0.5800067235535209</v>
      </c>
      <c r="AN133" s="14">
        <v>0.46926512600689407</v>
      </c>
      <c r="AO133" s="14">
        <v>0.37201030179899175</v>
      </c>
      <c r="AP133" s="14">
        <v>0.20946812410506976</v>
      </c>
      <c r="AQ133" s="14">
        <v>7.9298485917769002E-2</v>
      </c>
    </row>
    <row r="134" spans="2:45" x14ac:dyDescent="0.2">
      <c r="AK134" s="6">
        <v>300</v>
      </c>
      <c r="AL134" s="14">
        <v>1.0827612407833334</v>
      </c>
      <c r="AM134" s="14">
        <v>0.77270480845150757</v>
      </c>
      <c r="AN134" s="14">
        <v>0.64741845725884883</v>
      </c>
      <c r="AO134" s="14">
        <v>0.53740386809972374</v>
      </c>
      <c r="AP134" s="14">
        <v>0.35357224093672568</v>
      </c>
      <c r="AQ134" s="14">
        <v>0.20639557975742284</v>
      </c>
    </row>
    <row r="135" spans="2:45" x14ac:dyDescent="0.2">
      <c r="AK135" s="29" t="s">
        <v>172</v>
      </c>
    </row>
    <row r="136" spans="2:45" x14ac:dyDescent="0.2">
      <c r="AK136" s="29" t="s">
        <v>173</v>
      </c>
    </row>
    <row r="137" spans="2:45" x14ac:dyDescent="0.2">
      <c r="AO137" s="14">
        <f>AVERAGE(AN130:AP133)</f>
        <v>0.24052637240050823</v>
      </c>
    </row>
    <row r="138" spans="2:45" x14ac:dyDescent="0.2">
      <c r="AK138" s="14"/>
      <c r="AS138" s="40"/>
    </row>
    <row r="139" spans="2:45" x14ac:dyDescent="0.2">
      <c r="AL139" s="14"/>
      <c r="AM139" s="14"/>
      <c r="AN139" s="14"/>
      <c r="AO139" s="14"/>
      <c r="AP139" s="14"/>
      <c r="AQ139" s="14"/>
      <c r="AR139" s="14"/>
    </row>
    <row r="140" spans="2:45" x14ac:dyDescent="0.2">
      <c r="AL140" s="14"/>
      <c r="AM140" s="14"/>
      <c r="AN140" s="14"/>
      <c r="AO140" s="14"/>
      <c r="AP140" s="14"/>
      <c r="AQ140" s="14"/>
      <c r="AR140" s="14"/>
    </row>
    <row r="141" spans="2:45" x14ac:dyDescent="0.2">
      <c r="B141" s="33"/>
      <c r="AL141" s="14"/>
      <c r="AM141" s="14"/>
      <c r="AN141" s="14"/>
      <c r="AO141" s="14"/>
      <c r="AP141" s="14"/>
      <c r="AQ141" s="14"/>
      <c r="AR141" s="14"/>
    </row>
    <row r="142" spans="2:45" x14ac:dyDescent="0.2">
      <c r="B142" s="33"/>
      <c r="AL142" s="14"/>
      <c r="AM142" s="14"/>
      <c r="AN142" s="14"/>
      <c r="AO142" s="14"/>
      <c r="AP142" s="14"/>
      <c r="AQ142" s="14"/>
      <c r="AR142" s="14"/>
    </row>
    <row r="143" spans="2:45" x14ac:dyDescent="0.2">
      <c r="B143" s="33"/>
      <c r="AL143" s="14"/>
      <c r="AM143" s="14"/>
      <c r="AN143" s="14"/>
      <c r="AO143" s="14"/>
      <c r="AP143" s="14"/>
      <c r="AQ143" s="14"/>
      <c r="AR143" s="14"/>
    </row>
    <row r="144" spans="2:45" x14ac:dyDescent="0.2">
      <c r="B144" s="33"/>
      <c r="AL144" s="14"/>
      <c r="AM144" s="14"/>
      <c r="AN144" s="14"/>
      <c r="AO144" s="14"/>
      <c r="AP144" s="14"/>
      <c r="AQ144" s="14"/>
      <c r="AR144" s="14"/>
    </row>
    <row r="145" spans="38:44" x14ac:dyDescent="0.2">
      <c r="AL145" s="14"/>
      <c r="AM145" s="14"/>
      <c r="AN145" s="14"/>
      <c r="AO145" s="14"/>
      <c r="AP145" s="14"/>
      <c r="AQ145" s="14"/>
      <c r="AR145" s="14"/>
    </row>
    <row r="147" spans="38:44" x14ac:dyDescent="0.2">
      <c r="AO147" s="29"/>
    </row>
  </sheetData>
  <conditionalFormatting sqref="AL128:AQ134">
    <cfRule type="colorScale" priority="2">
      <colorScale>
        <cfvo type="min"/>
        <cfvo type="percentile" val="50"/>
        <cfvo type="max"/>
        <color rgb="FFF8696B"/>
        <color rgb="FFFFEB84"/>
        <color rgb="FF63BE7B"/>
      </colorScale>
    </cfRule>
  </conditionalFormatting>
  <conditionalFormatting sqref="AL139:AR145">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B127" location="Model!AG107" display="ARPU Sensitivity Analysis" xr:uid="{CD2E99ED-E0DD-431F-B56B-50C50F7E7545}"/>
    <hyperlink ref="B128" location="Model!AG100" display="NPV" xr:uid="{93D05349-5F75-4F61-B38D-56A8C549A4AD}"/>
  </hyperlinks>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2"/>
  <sheetViews>
    <sheetView zoomScale="160" zoomScaleNormal="160" workbookViewId="0">
      <selection activeCell="C6" sqref="C6"/>
    </sheetView>
  </sheetViews>
  <sheetFormatPr defaultRowHeight="12.75" x14ac:dyDescent="0.2"/>
  <cols>
    <col min="1" max="1" width="5" style="30" bestFit="1" customWidth="1"/>
    <col min="2" max="2" width="22.5703125" style="30" bestFit="1" customWidth="1"/>
    <col min="3" max="16384" width="9.140625" style="30"/>
  </cols>
  <sheetData>
    <row r="1" spans="1:5" x14ac:dyDescent="0.2">
      <c r="A1" s="36" t="s">
        <v>42</v>
      </c>
      <c r="D1" s="1"/>
    </row>
    <row r="2" spans="1:5" x14ac:dyDescent="0.2">
      <c r="B2" s="31" t="s">
        <v>113</v>
      </c>
      <c r="C2" s="29">
        <f>Model!AC34</f>
        <v>13900</v>
      </c>
      <c r="E2" s="34" t="s">
        <v>120</v>
      </c>
    </row>
    <row r="3" spans="1:5" x14ac:dyDescent="0.2">
      <c r="B3" s="31" t="s">
        <v>114</v>
      </c>
      <c r="C3" s="30">
        <v>40</v>
      </c>
      <c r="E3" s="49" t="s">
        <v>286</v>
      </c>
    </row>
    <row r="4" spans="1:5" x14ac:dyDescent="0.2">
      <c r="A4" s="30" t="s">
        <v>119</v>
      </c>
      <c r="B4" s="31" t="s">
        <v>115</v>
      </c>
      <c r="C4" s="30">
        <v>20</v>
      </c>
      <c r="E4" s="29" t="s">
        <v>108</v>
      </c>
    </row>
    <row r="5" spans="1:5" x14ac:dyDescent="0.2">
      <c r="A5" s="30" t="s">
        <v>119</v>
      </c>
      <c r="B5" s="31" t="s">
        <v>116</v>
      </c>
      <c r="C5" s="30">
        <v>80</v>
      </c>
      <c r="E5" s="31" t="s">
        <v>109</v>
      </c>
    </row>
    <row r="6" spans="1:5" x14ac:dyDescent="0.2">
      <c r="B6" s="31" t="s">
        <v>117</v>
      </c>
      <c r="C6" s="30">
        <f>(C2-(C4*12*C3))/((C5*12)-(C4*12))</f>
        <v>5.9722222222222223</v>
      </c>
      <c r="E6" s="48" t="s">
        <v>287</v>
      </c>
    </row>
    <row r="7" spans="1:5" x14ac:dyDescent="0.2">
      <c r="B7" s="31" t="s">
        <v>118</v>
      </c>
      <c r="C7" s="30">
        <f>C3-C6</f>
        <v>34.027777777777779</v>
      </c>
    </row>
    <row r="8" spans="1:5" x14ac:dyDescent="0.2">
      <c r="B8" s="8"/>
      <c r="E8" s="30" t="s">
        <v>122</v>
      </c>
    </row>
    <row r="9" spans="1:5" x14ac:dyDescent="0.2">
      <c r="B9" s="8"/>
      <c r="E9" s="30" t="s">
        <v>115</v>
      </c>
    </row>
    <row r="10" spans="1:5" x14ac:dyDescent="0.2">
      <c r="E10" s="30" t="s">
        <v>116</v>
      </c>
    </row>
    <row r="11" spans="1:5" x14ac:dyDescent="0.2">
      <c r="E11" s="35" t="s">
        <v>127</v>
      </c>
    </row>
    <row r="13" spans="1:5" x14ac:dyDescent="0.2">
      <c r="E13" s="30" t="s">
        <v>124</v>
      </c>
    </row>
    <row r="14" spans="1:5" x14ac:dyDescent="0.2">
      <c r="E14" s="30" t="s">
        <v>125</v>
      </c>
    </row>
    <row r="15" spans="1:5" x14ac:dyDescent="0.2">
      <c r="E15" s="30" t="s">
        <v>126</v>
      </c>
    </row>
    <row r="17" spans="2:9" x14ac:dyDescent="0.2">
      <c r="E17" s="30" t="s">
        <v>123</v>
      </c>
    </row>
    <row r="18" spans="2:9" x14ac:dyDescent="0.2">
      <c r="E18" s="30" t="s">
        <v>121</v>
      </c>
    </row>
    <row r="20" spans="2:9" x14ac:dyDescent="0.2">
      <c r="E20" s="30" t="s">
        <v>128</v>
      </c>
    </row>
    <row r="21" spans="2:9" x14ac:dyDescent="0.2">
      <c r="E21" s="30" t="s">
        <v>129</v>
      </c>
    </row>
    <row r="22" spans="2:9" x14ac:dyDescent="0.2">
      <c r="E22" s="30" t="s">
        <v>130</v>
      </c>
    </row>
    <row r="23" spans="2:9" x14ac:dyDescent="0.2">
      <c r="E23" s="30" t="s">
        <v>132</v>
      </c>
    </row>
    <row r="24" spans="2:9" x14ac:dyDescent="0.2">
      <c r="E24" s="30" t="s">
        <v>131</v>
      </c>
    </row>
    <row r="26" spans="2:9" x14ac:dyDescent="0.2">
      <c r="E26" s="34" t="s">
        <v>135</v>
      </c>
    </row>
    <row r="28" spans="2:9" x14ac:dyDescent="0.2">
      <c r="C28" s="30">
        <f>'CC Model'!C6*'CC Model'!C5*12</f>
        <v>5733.333333333333</v>
      </c>
      <c r="D28" s="30">
        <v>10</v>
      </c>
      <c r="E28" s="30">
        <v>12.5</v>
      </c>
      <c r="F28" s="30">
        <v>15</v>
      </c>
      <c r="G28" s="30">
        <v>20</v>
      </c>
      <c r="H28" s="30">
        <v>25</v>
      </c>
      <c r="I28" s="30" t="s">
        <v>134</v>
      </c>
    </row>
    <row r="29" spans="2:9" x14ac:dyDescent="0.2">
      <c r="B29" s="41"/>
      <c r="C29" s="30">
        <v>40</v>
      </c>
      <c r="D29" s="30">
        <f t="dataTable" ref="D29:H37" dt2D="1" dtr="1" r1="C4" r2="C5"/>
        <v>12133.333333333332</v>
      </c>
      <c r="E29" s="30">
        <v>11490.90909090909</v>
      </c>
      <c r="F29" s="30">
        <v>10720</v>
      </c>
      <c r="G29" s="30">
        <v>8600</v>
      </c>
      <c r="H29" s="30">
        <v>5066.666666666667</v>
      </c>
    </row>
    <row r="30" spans="2:9" x14ac:dyDescent="0.2">
      <c r="C30" s="30">
        <v>50</v>
      </c>
      <c r="D30" s="30">
        <v>11375</v>
      </c>
      <c r="E30" s="30">
        <v>10533.333333333334</v>
      </c>
      <c r="F30" s="30">
        <v>9571.4285714285706</v>
      </c>
      <c r="G30" s="30">
        <v>7166.6666666666679</v>
      </c>
      <c r="H30" s="30">
        <v>3799.9999999999995</v>
      </c>
    </row>
    <row r="31" spans="2:9" x14ac:dyDescent="0.2">
      <c r="C31" s="30">
        <v>60</v>
      </c>
      <c r="D31" s="30">
        <v>10920</v>
      </c>
      <c r="E31" s="30">
        <v>9978.9473684210534</v>
      </c>
      <c r="F31" s="30">
        <v>8933.3333333333321</v>
      </c>
      <c r="G31" s="30">
        <v>6450</v>
      </c>
      <c r="H31" s="30">
        <v>3257.1428571428573</v>
      </c>
    </row>
    <row r="32" spans="2:9" x14ac:dyDescent="0.2">
      <c r="C32" s="30">
        <v>70</v>
      </c>
      <c r="D32" s="30">
        <v>10616.666666666668</v>
      </c>
      <c r="E32" s="30">
        <v>9617.3913043478242</v>
      </c>
      <c r="F32" s="30">
        <v>8527.2727272727279</v>
      </c>
      <c r="G32" s="30">
        <v>6020</v>
      </c>
      <c r="H32" s="30">
        <v>2955.5555555555557</v>
      </c>
    </row>
    <row r="33" spans="3:8" x14ac:dyDescent="0.2">
      <c r="C33" s="30">
        <v>80</v>
      </c>
      <c r="D33" s="30">
        <v>10400</v>
      </c>
      <c r="E33" s="30">
        <v>9362.9629629629635</v>
      </c>
      <c r="F33" s="1">
        <v>8246.1538461538457</v>
      </c>
      <c r="G33" s="47">
        <v>5733.333333333333</v>
      </c>
      <c r="H33" s="47">
        <v>2763.636363636364</v>
      </c>
    </row>
    <row r="34" spans="3:8" x14ac:dyDescent="0.2">
      <c r="C34" s="30">
        <v>90</v>
      </c>
      <c r="D34" s="30">
        <v>10237.5</v>
      </c>
      <c r="E34" s="30">
        <v>9174.1935483870966</v>
      </c>
      <c r="F34" s="30">
        <v>8040</v>
      </c>
      <c r="G34" s="30">
        <v>5528.5714285714275</v>
      </c>
      <c r="H34" s="30">
        <v>2630.7692307692305</v>
      </c>
    </row>
    <row r="35" spans="3:8" x14ac:dyDescent="0.2">
      <c r="C35" s="30">
        <v>100</v>
      </c>
      <c r="D35" s="30">
        <v>10111.111111111111</v>
      </c>
      <c r="E35" s="30">
        <v>9028.5714285714294</v>
      </c>
      <c r="F35" s="1">
        <v>7882.3529411764703</v>
      </c>
      <c r="G35" s="30">
        <v>5375</v>
      </c>
      <c r="H35" s="30">
        <v>2533.3333333333335</v>
      </c>
    </row>
    <row r="36" spans="3:8" x14ac:dyDescent="0.2">
      <c r="C36" s="30">
        <v>110</v>
      </c>
      <c r="D36" s="30">
        <v>10010</v>
      </c>
      <c r="E36" s="30">
        <v>8912.8205128205118</v>
      </c>
      <c r="F36" s="30">
        <v>7757.894736842105</v>
      </c>
      <c r="G36" s="30">
        <v>5255.5555555555547</v>
      </c>
      <c r="H36" s="30">
        <v>2458.8235294117649</v>
      </c>
    </row>
    <row r="37" spans="3:8" x14ac:dyDescent="0.2">
      <c r="C37" s="30">
        <v>120</v>
      </c>
      <c r="D37" s="30">
        <v>9927.2727272727279</v>
      </c>
      <c r="E37" s="30">
        <v>8818.6046511627901</v>
      </c>
      <c r="F37" s="30">
        <v>7657.1428571428569</v>
      </c>
      <c r="G37" s="30">
        <v>5160</v>
      </c>
      <c r="H37" s="30">
        <v>2400</v>
      </c>
    </row>
    <row r="38" spans="3:8" x14ac:dyDescent="0.2">
      <c r="C38" s="30" t="s">
        <v>133</v>
      </c>
    </row>
    <row r="39" spans="3:8" x14ac:dyDescent="0.2">
      <c r="E39" s="30" t="s">
        <v>136</v>
      </c>
    </row>
    <row r="40" spans="3:8" x14ac:dyDescent="0.2">
      <c r="E40" s="41" t="s">
        <v>196</v>
      </c>
    </row>
    <row r="41" spans="3:8" x14ac:dyDescent="0.2">
      <c r="E41" s="41" t="s">
        <v>197</v>
      </c>
    </row>
    <row r="42" spans="3:8" x14ac:dyDescent="0.2">
      <c r="E42" s="41"/>
    </row>
  </sheetData>
  <conditionalFormatting sqref="D29:H37">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D20"/>
  <sheetViews>
    <sheetView zoomScale="130" zoomScaleNormal="130" workbookViewId="0">
      <pane xSplit="2" ySplit="2" topLeftCell="C3" activePane="bottomRight" state="frozen"/>
      <selection pane="topRight" activeCell="C1" sqref="C1"/>
      <selection pane="bottomLeft" activeCell="A3" sqref="A3"/>
      <selection pane="bottomRight" activeCell="D24" sqref="D24"/>
    </sheetView>
  </sheetViews>
  <sheetFormatPr defaultRowHeight="12.75" x14ac:dyDescent="0.2"/>
  <cols>
    <col min="1" max="1" width="5" style="41" bestFit="1" customWidth="1"/>
    <col min="2" max="2" width="9.140625" style="41"/>
    <col min="3" max="3" width="14.42578125" style="41" customWidth="1"/>
    <col min="4" max="16384" width="9.140625" style="41"/>
  </cols>
  <sheetData>
    <row r="1" spans="1:4" x14ac:dyDescent="0.2">
      <c r="A1" s="36" t="s">
        <v>42</v>
      </c>
    </row>
    <row r="2" spans="1:4" x14ac:dyDescent="0.2">
      <c r="B2" s="41" t="s">
        <v>223</v>
      </c>
      <c r="C2" s="41" t="s">
        <v>224</v>
      </c>
      <c r="D2" s="41" t="s">
        <v>225</v>
      </c>
    </row>
    <row r="3" spans="1:4" x14ac:dyDescent="0.2">
      <c r="B3" s="36" t="s">
        <v>67</v>
      </c>
    </row>
    <row r="4" spans="1:4" x14ac:dyDescent="0.2">
      <c r="D4" s="41" t="s">
        <v>78</v>
      </c>
    </row>
    <row r="5" spans="1:4" x14ac:dyDescent="0.2">
      <c r="D5" s="41" t="s">
        <v>79</v>
      </c>
    </row>
    <row r="6" spans="1:4" x14ac:dyDescent="0.2">
      <c r="D6" s="41" t="s">
        <v>81</v>
      </c>
    </row>
    <row r="8" spans="1:4" x14ac:dyDescent="0.2">
      <c r="D8" s="41" t="s">
        <v>179</v>
      </c>
    </row>
    <row r="9" spans="1:4" x14ac:dyDescent="0.2">
      <c r="D9" s="41" t="s">
        <v>180</v>
      </c>
    </row>
    <row r="10" spans="1:4" x14ac:dyDescent="0.2">
      <c r="D10" s="41" t="s">
        <v>181</v>
      </c>
    </row>
    <row r="12" spans="1:4" x14ac:dyDescent="0.2">
      <c r="B12" s="41" t="s">
        <v>191</v>
      </c>
    </row>
    <row r="16" spans="1:4" x14ac:dyDescent="0.2">
      <c r="B16" s="41" t="s">
        <v>192</v>
      </c>
    </row>
    <row r="20" spans="2:2" x14ac:dyDescent="0.2">
      <c r="B20" s="41" t="s">
        <v>193</v>
      </c>
    </row>
  </sheetData>
  <hyperlinks>
    <hyperlink ref="A1" location="Main!A1" display="Main" xr:uid="{57CC344B-77FC-4721-A491-E9AD202E5FE1}"/>
    <hyperlink ref="B3" r:id="rId1" xr:uid="{1D9CF85B-3F66-49D9-91E7-9A558C2621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C10"/>
  <sheetViews>
    <sheetView zoomScale="145" zoomScaleNormal="145" workbookViewId="0">
      <selection activeCell="D15" sqref="D15"/>
    </sheetView>
  </sheetViews>
  <sheetFormatPr defaultRowHeight="12.75" x14ac:dyDescent="0.2"/>
  <cols>
    <col min="1" max="1" width="5" style="30" bestFit="1" customWidth="1"/>
    <col min="2" max="16384" width="9.140625" style="30"/>
  </cols>
  <sheetData>
    <row r="1" spans="1:3" x14ac:dyDescent="0.2">
      <c r="A1" s="36" t="s">
        <v>42</v>
      </c>
    </row>
    <row r="3" spans="1:3" x14ac:dyDescent="0.2">
      <c r="B3" s="30">
        <v>2007</v>
      </c>
      <c r="C3" s="30" t="s">
        <v>147</v>
      </c>
    </row>
    <row r="4" spans="1:3" x14ac:dyDescent="0.2">
      <c r="B4" s="30">
        <v>2012</v>
      </c>
      <c r="C4" s="30" t="s">
        <v>148</v>
      </c>
    </row>
    <row r="5" spans="1:3" x14ac:dyDescent="0.2">
      <c r="B5" s="30">
        <v>2014</v>
      </c>
      <c r="C5" s="30" t="s">
        <v>149</v>
      </c>
    </row>
    <row r="6" spans="1:3" x14ac:dyDescent="0.2">
      <c r="B6" s="30" t="s">
        <v>150</v>
      </c>
      <c r="C6" s="30" t="s">
        <v>151</v>
      </c>
    </row>
    <row r="9" spans="1:3" x14ac:dyDescent="0.2">
      <c r="B9" s="30">
        <v>2024</v>
      </c>
      <c r="C9" s="30" t="s">
        <v>170</v>
      </c>
    </row>
    <row r="10" spans="1:3" x14ac:dyDescent="0.2">
      <c r="B10" s="30">
        <v>2026</v>
      </c>
      <c r="C10" s="30" t="s">
        <v>171</v>
      </c>
    </row>
  </sheetData>
  <hyperlinks>
    <hyperlink ref="A1" location="Main!A1" display="Main" xr:uid="{76F3B995-E50F-4483-9AB5-8E1385A731C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C0C-C050-4EDC-80A5-805F78D8E79B}">
  <dimension ref="A1:F8"/>
  <sheetViews>
    <sheetView zoomScale="115" zoomScaleNormal="115" workbookViewId="0">
      <pane xSplit="4" ySplit="2" topLeftCell="E3" activePane="bottomRight" state="frozen"/>
      <selection pane="topRight" activeCell="C1" sqref="C1"/>
      <selection pane="bottomLeft" activeCell="A3" sqref="A3"/>
      <selection pane="bottomRight" activeCell="F17" sqref="F17"/>
    </sheetView>
  </sheetViews>
  <sheetFormatPr defaultRowHeight="12.75" x14ac:dyDescent="0.2"/>
  <cols>
    <col min="1" max="1" width="5" style="41" bestFit="1" customWidth="1"/>
    <col min="2" max="2" width="10" style="41" bestFit="1" customWidth="1"/>
    <col min="3" max="3" width="4.85546875" style="41" bestFit="1" customWidth="1"/>
    <col min="4" max="4" width="28.140625" style="41" customWidth="1"/>
    <col min="5" max="16384" width="9.140625" style="41"/>
  </cols>
  <sheetData>
    <row r="1" spans="1:6" x14ac:dyDescent="0.2">
      <c r="A1" s="36" t="s">
        <v>42</v>
      </c>
      <c r="B1" s="36"/>
      <c r="C1" s="36"/>
    </row>
    <row r="2" spans="1:6" x14ac:dyDescent="0.2">
      <c r="B2" s="41" t="s">
        <v>229</v>
      </c>
      <c r="C2" s="41" t="s">
        <v>228</v>
      </c>
      <c r="D2" s="41" t="s">
        <v>226</v>
      </c>
      <c r="E2" s="41" t="s">
        <v>227</v>
      </c>
      <c r="F2" s="47" t="s">
        <v>291</v>
      </c>
    </row>
    <row r="3" spans="1:6" x14ac:dyDescent="0.2">
      <c r="C3" s="47"/>
      <c r="D3" s="47" t="s">
        <v>288</v>
      </c>
      <c r="E3" s="47" t="s">
        <v>289</v>
      </c>
    </row>
    <row r="4" spans="1:6" x14ac:dyDescent="0.2">
      <c r="E4" s="47" t="s">
        <v>290</v>
      </c>
      <c r="F4" s="47" t="s">
        <v>292</v>
      </c>
    </row>
    <row r="5" spans="1:6" x14ac:dyDescent="0.2">
      <c r="D5" s="47" t="s">
        <v>293</v>
      </c>
    </row>
    <row r="6" spans="1:6" x14ac:dyDescent="0.2">
      <c r="D6" s="47" t="s">
        <v>295</v>
      </c>
      <c r="E6" s="47" t="s">
        <v>296</v>
      </c>
    </row>
    <row r="7" spans="1:6" x14ac:dyDescent="0.2">
      <c r="C7" s="44"/>
      <c r="D7" s="47" t="s">
        <v>297</v>
      </c>
    </row>
    <row r="8" spans="1:6" x14ac:dyDescent="0.2">
      <c r="D8" s="47"/>
    </row>
  </sheetData>
  <hyperlinks>
    <hyperlink ref="A1" location="Main!A1" display="Main" xr:uid="{1EE68F7C-8B94-4243-8283-FB95EEE9A5F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9E34F-9CF5-4A56-83E9-C7934E3E1D46}">
  <dimension ref="A1:K1010"/>
  <sheetViews>
    <sheetView tabSelected="1" topLeftCell="B15" zoomScale="145" zoomScaleNormal="145" workbookViewId="0">
      <selection activeCell="G37" sqref="G37"/>
    </sheetView>
  </sheetViews>
  <sheetFormatPr defaultRowHeight="12.75" x14ac:dyDescent="0.2"/>
  <cols>
    <col min="1" max="1" width="5" style="41" bestFit="1" customWidth="1"/>
    <col min="2" max="2" width="15.28515625" style="41" bestFit="1" customWidth="1"/>
    <col min="3" max="16384" width="9.140625" style="41"/>
  </cols>
  <sheetData>
    <row r="1" spans="1:11" x14ac:dyDescent="0.2">
      <c r="A1" s="36" t="s">
        <v>42</v>
      </c>
    </row>
    <row r="2" spans="1:11" x14ac:dyDescent="0.2">
      <c r="B2" s="41" t="s">
        <v>198</v>
      </c>
      <c r="C2" s="46">
        <f>J11</f>
        <v>106.66666666666667</v>
      </c>
      <c r="E2" s="41">
        <f ca="1">_xlfn.NORM.INV(RAND(), C2,C3)</f>
        <v>120.73699190841721</v>
      </c>
      <c r="G2" s="41" t="s">
        <v>174</v>
      </c>
    </row>
    <row r="3" spans="1:11" x14ac:dyDescent="0.2">
      <c r="B3" s="41" t="s">
        <v>199</v>
      </c>
      <c r="C3" s="46">
        <f>J16</f>
        <v>33.993463423951901</v>
      </c>
      <c r="G3" s="41" t="s">
        <v>213</v>
      </c>
    </row>
    <row r="4" spans="1:11" x14ac:dyDescent="0.2">
      <c r="B4" s="41" t="s">
        <v>202</v>
      </c>
      <c r="C4" s="46">
        <f>J18</f>
        <v>6.9000000000000012</v>
      </c>
      <c r="E4" s="41">
        <f ca="1">_xlfn.NORM.INV(RAND(), C4,C5)</f>
        <v>7.7416036526035183</v>
      </c>
      <c r="G4" s="41" t="s">
        <v>214</v>
      </c>
    </row>
    <row r="5" spans="1:11" x14ac:dyDescent="0.2">
      <c r="B5" s="41" t="s">
        <v>203</v>
      </c>
      <c r="C5" s="46">
        <f>J23</f>
        <v>2.0716338157760092</v>
      </c>
    </row>
    <row r="6" spans="1:11" x14ac:dyDescent="0.2">
      <c r="B6" s="41" t="s">
        <v>200</v>
      </c>
      <c r="C6" s="46">
        <f>J25</f>
        <v>1.3333333333333317E-2</v>
      </c>
      <c r="E6" s="41">
        <f ca="1">_xlfn.NORM.INV(RAND(), C6,C7)</f>
        <v>6.6406884326591489E-2</v>
      </c>
    </row>
    <row r="7" spans="1:11" x14ac:dyDescent="0.2">
      <c r="B7" s="41" t="s">
        <v>201</v>
      </c>
      <c r="C7" s="46">
        <f>J30</f>
        <v>0.21312489817527708</v>
      </c>
    </row>
    <row r="8" spans="1:11" x14ac:dyDescent="0.2">
      <c r="B8" s="41" t="s">
        <v>209</v>
      </c>
      <c r="C8" s="46"/>
      <c r="E8" s="41">
        <f ca="1">(E2*12)*E4*(1+E6)</f>
        <v>11961.219784591018</v>
      </c>
    </row>
    <row r="10" spans="1:11" x14ac:dyDescent="0.2">
      <c r="B10" s="41">
        <f ca="1">E8</f>
        <v>11961.219784591018</v>
      </c>
      <c r="E10" s="34" t="s">
        <v>209</v>
      </c>
    </row>
    <row r="11" spans="1:11" x14ac:dyDescent="0.2">
      <c r="A11" s="41">
        <v>1</v>
      </c>
      <c r="B11" s="41">
        <f t="dataTable" ref="B11:B1010" dt2D="0" dtr="0" r1="A2" ca="1"/>
        <v>7559.8816728831725</v>
      </c>
      <c r="C11" s="41">
        <f>($F$22+B11)*$F$23/Main!$K$3</f>
        <v>303.43585567713541</v>
      </c>
      <c r="E11" s="41">
        <f>AVERAGE(B11:B211)</f>
        <v>9108.634746331647</v>
      </c>
      <c r="F11" s="41" t="s">
        <v>207</v>
      </c>
      <c r="I11" s="45" t="s">
        <v>246</v>
      </c>
      <c r="J11" s="41">
        <f>(J12+J13+J14)/3</f>
        <v>106.66666666666667</v>
      </c>
    </row>
    <row r="12" spans="1:11" x14ac:dyDescent="0.2">
      <c r="A12" s="41">
        <f>A11+1</f>
        <v>2</v>
      </c>
      <c r="B12" s="41">
        <v>8694.839211560693</v>
      </c>
      <c r="C12" s="41">
        <f>($F$22+B12)*$F$23/Main!$K$3</f>
        <v>313.27860558625105</v>
      </c>
      <c r="E12" s="42">
        <f>E11/Model!AH35-1</f>
        <v>0.34620977927445673</v>
      </c>
      <c r="F12" s="41" t="s">
        <v>212</v>
      </c>
      <c r="I12" s="45" t="s">
        <v>249</v>
      </c>
      <c r="J12" s="41">
        <v>40</v>
      </c>
      <c r="K12" s="45" t="s">
        <v>259</v>
      </c>
    </row>
    <row r="13" spans="1:11" x14ac:dyDescent="0.2">
      <c r="A13" s="41">
        <f t="shared" ref="A13:A76" si="0">A12+1</f>
        <v>3</v>
      </c>
      <c r="B13" s="41">
        <v>10246.41015342549</v>
      </c>
      <c r="C13" s="41">
        <f>($F$22+B13)*$F$23/Main!$K$3</f>
        <v>326.73437307233797</v>
      </c>
      <c r="I13" s="45" t="s">
        <v>250</v>
      </c>
      <c r="J13" s="41">
        <v>200</v>
      </c>
      <c r="K13" s="45" t="s">
        <v>257</v>
      </c>
    </row>
    <row r="14" spans="1:11" x14ac:dyDescent="0.2">
      <c r="A14" s="41">
        <f t="shared" si="0"/>
        <v>4</v>
      </c>
      <c r="B14" s="41">
        <v>5331.8786998771557</v>
      </c>
      <c r="C14" s="41">
        <f>($F$22+B14)*$F$23/Main!$K$3</f>
        <v>284.11383233023793</v>
      </c>
      <c r="E14" s="34" t="s">
        <v>206</v>
      </c>
      <c r="I14" s="45" t="s">
        <v>251</v>
      </c>
      <c r="J14" s="41">
        <v>80</v>
      </c>
      <c r="K14" s="45" t="s">
        <v>258</v>
      </c>
    </row>
    <row r="15" spans="1:11" x14ac:dyDescent="0.2">
      <c r="A15" s="41">
        <f t="shared" si="0"/>
        <v>5</v>
      </c>
      <c r="B15" s="41">
        <v>1089.1709829363804</v>
      </c>
      <c r="C15" s="41">
        <f>($F$22+B15)*$F$23/Main!$K$3</f>
        <v>247.31958270220102</v>
      </c>
      <c r="E15" s="41">
        <f>AVERAGE(C11:C211)</f>
        <v>316.86718561983122</v>
      </c>
      <c r="F15" s="41" t="s">
        <v>207</v>
      </c>
      <c r="I15" s="45" t="s">
        <v>252</v>
      </c>
      <c r="J15" s="41">
        <f>((J12^2)+(J13^2)+(J14^2)-(J12*J13)-(J12*J14)-(J13*J14))/18</f>
        <v>1155.5555555555557</v>
      </c>
    </row>
    <row r="16" spans="1:11" x14ac:dyDescent="0.2">
      <c r="A16" s="41">
        <f t="shared" si="0"/>
        <v>6</v>
      </c>
      <c r="B16" s="41">
        <v>3786.4260815892435</v>
      </c>
      <c r="C16" s="41">
        <f>($F$22+B16)*$F$23/Main!$K$3</f>
        <v>270.711125092467</v>
      </c>
      <c r="E16" s="42">
        <f>E15/Model!$AL$121-1</f>
        <v>-3.3073005967302116E-2</v>
      </c>
      <c r="F16" s="41" t="s">
        <v>212</v>
      </c>
      <c r="I16" s="45" t="s">
        <v>253</v>
      </c>
      <c r="J16" s="41">
        <f>SQRT(J15)</f>
        <v>33.993463423951901</v>
      </c>
    </row>
    <row r="17" spans="1:11" x14ac:dyDescent="0.2">
      <c r="A17" s="41">
        <f t="shared" si="0"/>
        <v>7</v>
      </c>
      <c r="B17" s="41">
        <v>8132.8942638882918</v>
      </c>
      <c r="C17" s="41">
        <f>($F$22+B17)*$F$23/Main!$K$3</f>
        <v>308.40522187440274</v>
      </c>
      <c r="E17" s="41">
        <f>_xlfn.PERCENTILE.INC($C$11:$C$1010, 0.25)</f>
        <v>284.00657330212368</v>
      </c>
      <c r="F17" s="41" t="s">
        <v>210</v>
      </c>
    </row>
    <row r="18" spans="1:11" x14ac:dyDescent="0.2">
      <c r="A18" s="41">
        <f t="shared" si="0"/>
        <v>8</v>
      </c>
      <c r="B18" s="41">
        <v>11070.582080788863</v>
      </c>
      <c r="C18" s="41">
        <f>($F$22+B18)*$F$23/Main!$K$3</f>
        <v>333.88188113911906</v>
      </c>
      <c r="E18" s="42">
        <f>E17/Model!$AL$121-1</f>
        <v>-0.13334786727325054</v>
      </c>
      <c r="F18" s="41" t="s">
        <v>212</v>
      </c>
      <c r="I18" s="45" t="s">
        <v>247</v>
      </c>
      <c r="J18" s="41">
        <f>(J19+J20+J21)/3</f>
        <v>6.9000000000000012</v>
      </c>
    </row>
    <row r="19" spans="1:11" x14ac:dyDescent="0.2">
      <c r="A19" s="41">
        <f t="shared" si="0"/>
        <v>9</v>
      </c>
      <c r="B19" s="41">
        <v>16585.124407472449</v>
      </c>
      <c r="C19" s="41">
        <f>($F$22+B19)*$F$23/Main!$K$3</f>
        <v>381.70592665189264</v>
      </c>
      <c r="E19" s="41">
        <f>_xlfn.PERCENTILE.INC($C$11:$C$1010, 0.75)</f>
        <v>337.33037242633782</v>
      </c>
      <c r="F19" s="41" t="s">
        <v>211</v>
      </c>
      <c r="I19" s="45" t="s">
        <v>249</v>
      </c>
      <c r="J19" s="41">
        <v>2.4</v>
      </c>
      <c r="K19" s="45" t="s">
        <v>256</v>
      </c>
    </row>
    <row r="20" spans="1:11" x14ac:dyDescent="0.2">
      <c r="A20" s="41">
        <f t="shared" si="0"/>
        <v>10</v>
      </c>
      <c r="B20" s="41">
        <v>6421.0741819058376</v>
      </c>
      <c r="C20" s="41">
        <f>($F$22+B20)*$F$23/Main!$K$3</f>
        <v>293.55971763114445</v>
      </c>
      <c r="E20" s="42">
        <f>E19/Model!$AL$121-1</f>
        <v>2.9370846236706827E-2</v>
      </c>
      <c r="F20" s="41" t="s">
        <v>212</v>
      </c>
      <c r="I20" s="45" t="s">
        <v>250</v>
      </c>
      <c r="J20" s="41">
        <v>12.4</v>
      </c>
    </row>
    <row r="21" spans="1:11" x14ac:dyDescent="0.2">
      <c r="A21" s="41">
        <f t="shared" si="0"/>
        <v>11</v>
      </c>
      <c r="B21" s="41">
        <v>12960.003090009024</v>
      </c>
      <c r="C21" s="41">
        <f>($F$22+B21)*$F$23/Main!$K$3</f>
        <v>350.26760292431698</v>
      </c>
      <c r="H21" s="47"/>
      <c r="I21" s="45" t="s">
        <v>251</v>
      </c>
      <c r="J21" s="41">
        <v>5.9</v>
      </c>
    </row>
    <row r="22" spans="1:11" x14ac:dyDescent="0.2">
      <c r="A22" s="41">
        <f t="shared" si="0"/>
        <v>12</v>
      </c>
      <c r="B22" s="41">
        <v>17638.620680910921</v>
      </c>
      <c r="C22" s="41">
        <f>($F$22+B22)*$F$23/Main!$K$3</f>
        <v>390.84221589291809</v>
      </c>
      <c r="E22" s="41" t="s">
        <v>205</v>
      </c>
      <c r="F22" s="41">
        <v>27429</v>
      </c>
      <c r="G22" s="47"/>
      <c r="H22" s="47"/>
      <c r="I22" s="45" t="s">
        <v>252</v>
      </c>
      <c r="J22" s="41">
        <f>((J19^2)+(J20^2)+(J21^2)-(J19*J20)-(J19*J21)-(J20*J21))/18</f>
        <v>4.2916666666666679</v>
      </c>
    </row>
    <row r="23" spans="1:11" x14ac:dyDescent="0.2">
      <c r="A23" s="41">
        <f t="shared" si="0"/>
        <v>13</v>
      </c>
      <c r="B23" s="41">
        <v>11923.387580534112</v>
      </c>
      <c r="C23" s="41">
        <f>($F$22+B23)*$F$23/Main!$K$3</f>
        <v>341.27770959001566</v>
      </c>
      <c r="E23" s="41" t="s">
        <v>208</v>
      </c>
      <c r="F23" s="41">
        <v>3.56</v>
      </c>
      <c r="I23" s="45" t="s">
        <v>253</v>
      </c>
      <c r="J23" s="41">
        <f>SQRT(J22)</f>
        <v>2.0716338157760092</v>
      </c>
    </row>
    <row r="24" spans="1:11" x14ac:dyDescent="0.2">
      <c r="A24" s="41">
        <f t="shared" si="0"/>
        <v>14</v>
      </c>
      <c r="B24" s="41">
        <v>12637.779477835758</v>
      </c>
      <c r="C24" s="41">
        <f>($F$22+B24)*$F$23/Main!$K$3</f>
        <v>347.47316672617609</v>
      </c>
    </row>
    <row r="25" spans="1:11" x14ac:dyDescent="0.2">
      <c r="A25" s="41">
        <f t="shared" si="0"/>
        <v>15</v>
      </c>
      <c r="B25" s="41">
        <v>8464.450644494169</v>
      </c>
      <c r="C25" s="41">
        <f>($F$22+B25)*$F$23/Main!$K$3</f>
        <v>311.28059511424902</v>
      </c>
      <c r="E25" s="34" t="s">
        <v>215</v>
      </c>
      <c r="I25" s="45" t="s">
        <v>248</v>
      </c>
      <c r="J25" s="41">
        <f>(J26+J27+J28)/3</f>
        <v>1.3333333333333317E-2</v>
      </c>
    </row>
    <row r="26" spans="1:11" x14ac:dyDescent="0.2">
      <c r="A26" s="41">
        <f t="shared" si="0"/>
        <v>16</v>
      </c>
      <c r="B26" s="41">
        <v>5050.9514498426615</v>
      </c>
      <c r="C26" s="41">
        <f>($F$22+B26)*$F$23/Main!$K$3</f>
        <v>281.6775326709863</v>
      </c>
      <c r="I26" s="45" t="s">
        <v>249</v>
      </c>
      <c r="J26" s="41">
        <v>-0.4</v>
      </c>
      <c r="K26" s="45" t="s">
        <v>255</v>
      </c>
    </row>
    <row r="27" spans="1:11" x14ac:dyDescent="0.2">
      <c r="A27" s="41">
        <f t="shared" si="0"/>
        <v>17</v>
      </c>
      <c r="B27" s="41">
        <v>7460.0093527116032</v>
      </c>
      <c r="C27" s="41">
        <f>($F$22+B27)*$F$23/Main!$K$3</f>
        <v>302.56972788222487</v>
      </c>
      <c r="E27" s="41" t="s">
        <v>216</v>
      </c>
      <c r="F27" s="42">
        <f>COUNTIF(C11:C1010, "&gt;"&amp;Main!K2*(1/0.7))/1000</f>
        <v>0.14399999999999999</v>
      </c>
      <c r="G27" s="41" t="s">
        <v>230</v>
      </c>
      <c r="I27" s="45" t="s">
        <v>250</v>
      </c>
      <c r="J27" s="41">
        <v>0.6</v>
      </c>
      <c r="K27" s="47" t="s">
        <v>260</v>
      </c>
    </row>
    <row r="28" spans="1:11" x14ac:dyDescent="0.2">
      <c r="A28" s="41">
        <f t="shared" si="0"/>
        <v>18</v>
      </c>
      <c r="B28" s="41">
        <v>7360.6420826296508</v>
      </c>
      <c r="C28" s="41">
        <f>($F$22+B28)*$F$23/Main!$K$3</f>
        <v>301.70798005885888</v>
      </c>
      <c r="E28" s="41" t="s">
        <v>217</v>
      </c>
      <c r="F28" s="42">
        <f>1-F27</f>
        <v>0.85599999999999998</v>
      </c>
      <c r="I28" s="45" t="s">
        <v>251</v>
      </c>
      <c r="J28" s="41">
        <v>-0.16</v>
      </c>
      <c r="K28" s="45" t="s">
        <v>254</v>
      </c>
    </row>
    <row r="29" spans="1:11" x14ac:dyDescent="0.2">
      <c r="A29" s="41">
        <f t="shared" si="0"/>
        <v>19</v>
      </c>
      <c r="B29" s="41">
        <v>1957.3216904251965</v>
      </c>
      <c r="C29" s="41">
        <f>($F$22+B29)*$F$23/Main!$K$3</f>
        <v>254.84849017762167</v>
      </c>
      <c r="I29" s="45" t="s">
        <v>252</v>
      </c>
      <c r="J29" s="41">
        <f>((J26^2)+(J27^2)+(J28^2)-(J26*J27)-(J26*J28)-(J27*J28))/18</f>
        <v>4.5422222222222225E-2</v>
      </c>
    </row>
    <row r="30" spans="1:11" x14ac:dyDescent="0.2">
      <c r="A30" s="41">
        <f t="shared" si="0"/>
        <v>20</v>
      </c>
      <c r="B30" s="41">
        <v>6471.8373263882686</v>
      </c>
      <c r="C30" s="41">
        <f>($F$22+B30)*$F$23/Main!$K$3</f>
        <v>293.99995342738669</v>
      </c>
      <c r="E30" s="41" t="s">
        <v>219</v>
      </c>
      <c r="F30" s="42">
        <f>AVERAGEIF(C11:C1010, "&gt;"&amp;Main!K2*(1/0.7))/Main!K2 - 1</f>
        <v>0.56264500783324389</v>
      </c>
      <c r="G30" s="50"/>
      <c r="I30" s="45" t="s">
        <v>253</v>
      </c>
      <c r="J30" s="41">
        <f>SQRT(J29)</f>
        <v>0.21312489817527708</v>
      </c>
      <c r="K30" s="47"/>
    </row>
    <row r="31" spans="1:11" x14ac:dyDescent="0.2">
      <c r="A31" s="41">
        <f t="shared" si="0"/>
        <v>21</v>
      </c>
      <c r="B31" s="41">
        <v>13930.630079195005</v>
      </c>
      <c r="C31" s="41">
        <f>($F$22+B31)*$F$23/Main!$K$3</f>
        <v>358.68522066244634</v>
      </c>
      <c r="E31" s="41" t="s">
        <v>220</v>
      </c>
      <c r="F31" s="42">
        <f>1 - (AVERAGEIF(C11:C1010, "&lt;="&amp;Main!K2)/Main!K2)</f>
        <v>2.630772980970586E-3</v>
      </c>
      <c r="G31" s="42"/>
      <c r="H31" s="47"/>
    </row>
    <row r="32" spans="1:11" x14ac:dyDescent="0.2">
      <c r="A32" s="41">
        <f t="shared" si="0"/>
        <v>22</v>
      </c>
      <c r="B32" s="41">
        <v>5396.3513438522423</v>
      </c>
      <c r="C32" s="41">
        <f>($F$22+B32)*$F$23/Main!$K$3</f>
        <v>284.67296171525942</v>
      </c>
      <c r="E32" s="41" t="s">
        <v>218</v>
      </c>
      <c r="F32" s="43">
        <f>F30/F31</f>
        <v>213.87060453451369</v>
      </c>
      <c r="G32" s="42"/>
      <c r="H32" s="47"/>
      <c r="I32" s="45"/>
    </row>
    <row r="33" spans="1:9" x14ac:dyDescent="0.2">
      <c r="A33" s="41">
        <f t="shared" si="0"/>
        <v>23</v>
      </c>
      <c r="B33" s="41">
        <v>16022.273071447278</v>
      </c>
      <c r="C33" s="41">
        <f>($F$22+B33)*$F$23/Main!$K$3</f>
        <v>376.8246824222955</v>
      </c>
      <c r="H33" s="45"/>
      <c r="I33" s="45"/>
    </row>
    <row r="34" spans="1:9" x14ac:dyDescent="0.2">
      <c r="A34" s="41">
        <f t="shared" si="0"/>
        <v>24</v>
      </c>
      <c r="B34" s="41">
        <v>10680.943325298053</v>
      </c>
      <c r="C34" s="41">
        <f>($F$22+B34)*$F$23/Main!$K$3</f>
        <v>330.50279716945454</v>
      </c>
      <c r="E34" s="41" t="s">
        <v>221</v>
      </c>
      <c r="F34" s="42">
        <f>F27 - (F28/F32)</f>
        <v>0.13999757992986894</v>
      </c>
      <c r="G34" s="47"/>
      <c r="H34" s="47"/>
      <c r="I34" s="45"/>
    </row>
    <row r="35" spans="1:9" x14ac:dyDescent="0.2">
      <c r="A35" s="41">
        <f t="shared" si="0"/>
        <v>25</v>
      </c>
      <c r="B35" s="41">
        <v>10997.40470629011</v>
      </c>
      <c r="C35" s="41">
        <f>($F$22+B35)*$F$23/Main!$K$3</f>
        <v>333.24726127744896</v>
      </c>
      <c r="E35" s="41" t="s">
        <v>222</v>
      </c>
      <c r="F35" s="42">
        <f>F34/2</f>
        <v>6.9998789964934471E-2</v>
      </c>
      <c r="G35" s="47"/>
      <c r="H35" s="47"/>
    </row>
    <row r="36" spans="1:9" x14ac:dyDescent="0.2">
      <c r="A36" s="41">
        <f t="shared" si="0"/>
        <v>26</v>
      </c>
      <c r="B36" s="41">
        <v>15527.656358231716</v>
      </c>
      <c r="C36" s="41">
        <f>($F$22+B36)*$F$23/Main!$K$3</f>
        <v>372.53519277784392</v>
      </c>
      <c r="G36" s="47"/>
      <c r="H36" s="47"/>
      <c r="I36" s="45"/>
    </row>
    <row r="37" spans="1:9" x14ac:dyDescent="0.2">
      <c r="A37" s="41">
        <f t="shared" si="0"/>
        <v>27</v>
      </c>
      <c r="B37" s="41">
        <v>18478.451853910025</v>
      </c>
      <c r="C37" s="41">
        <f>($F$22+B37)*$F$23/Main!$K$3</f>
        <v>398.12552643098587</v>
      </c>
      <c r="G37" s="47"/>
      <c r="H37" s="47"/>
      <c r="I37" s="45"/>
    </row>
    <row r="38" spans="1:9" x14ac:dyDescent="0.2">
      <c r="A38" s="41">
        <f t="shared" si="0"/>
        <v>28</v>
      </c>
      <c r="B38" s="41">
        <v>8527.6146707235948</v>
      </c>
      <c r="C38" s="41">
        <f>($F$22+B38)*$F$23/Main!$K$3</f>
        <v>311.82837570712792</v>
      </c>
      <c r="H38" s="45"/>
      <c r="I38" s="45"/>
    </row>
    <row r="39" spans="1:9" x14ac:dyDescent="0.2">
      <c r="A39" s="41">
        <f t="shared" si="0"/>
        <v>29</v>
      </c>
      <c r="B39" s="41">
        <v>1073.8293789353304</v>
      </c>
      <c r="C39" s="41">
        <f>($F$22+B39)*$F$23/Main!$K$3</f>
        <v>247.18653493059631</v>
      </c>
      <c r="H39" s="45"/>
      <c r="I39" s="45"/>
    </row>
    <row r="40" spans="1:9" x14ac:dyDescent="0.2">
      <c r="A40" s="41">
        <f t="shared" si="0"/>
        <v>30</v>
      </c>
      <c r="B40" s="41">
        <v>7976.4458648877762</v>
      </c>
      <c r="C40" s="41">
        <f>($F$22+B40)*$F$23/Main!$K$3</f>
        <v>307.04844647746768</v>
      </c>
      <c r="H40" s="45"/>
    </row>
    <row r="41" spans="1:9" x14ac:dyDescent="0.2">
      <c r="A41" s="41">
        <f t="shared" si="0"/>
        <v>31</v>
      </c>
      <c r="B41" s="41">
        <v>9661.7226701689924</v>
      </c>
      <c r="C41" s="41">
        <f>($F$22+B41)*$F$23/Main!$K$3</f>
        <v>321.66375811401127</v>
      </c>
      <c r="H41" s="45"/>
    </row>
    <row r="42" spans="1:9" x14ac:dyDescent="0.2">
      <c r="A42" s="41">
        <f t="shared" si="0"/>
        <v>32</v>
      </c>
      <c r="B42" s="41">
        <v>2443.4866747751826</v>
      </c>
      <c r="C42" s="41">
        <f>($F$22+B42)*$F$23/Main!$K$3</f>
        <v>259.06468346455455</v>
      </c>
      <c r="H42" s="45"/>
    </row>
    <row r="43" spans="1:9" x14ac:dyDescent="0.2">
      <c r="A43" s="41">
        <f t="shared" si="0"/>
        <v>33</v>
      </c>
      <c r="B43" s="41">
        <v>6470.8471559398149</v>
      </c>
      <c r="C43" s="41">
        <f>($F$22+B43)*$F$23/Main!$K$3</f>
        <v>293.99136632191414</v>
      </c>
      <c r="H43" s="45"/>
    </row>
    <row r="44" spans="1:9" x14ac:dyDescent="0.2">
      <c r="A44" s="41">
        <f t="shared" si="0"/>
        <v>34</v>
      </c>
      <c r="B44" s="41">
        <v>7127.004371642638</v>
      </c>
      <c r="C44" s="41">
        <f>($F$22+B44)*$F$23/Main!$K$3</f>
        <v>299.6817918710056</v>
      </c>
      <c r="H44" s="45"/>
    </row>
    <row r="45" spans="1:9" x14ac:dyDescent="0.2">
      <c r="A45" s="41">
        <f t="shared" si="0"/>
        <v>35</v>
      </c>
      <c r="B45" s="41">
        <v>6842.783121645195</v>
      </c>
      <c r="C45" s="41">
        <f>($F$22+B45)*$F$23/Main!$K$3</f>
        <v>297.21692548856737</v>
      </c>
      <c r="H45" s="45"/>
    </row>
    <row r="46" spans="1:9" x14ac:dyDescent="0.2">
      <c r="A46" s="41">
        <f t="shared" si="0"/>
        <v>36</v>
      </c>
      <c r="B46" s="41">
        <v>10313.149622199924</v>
      </c>
      <c r="C46" s="41">
        <f>($F$22+B46)*$F$23/Main!$K$3</f>
        <v>327.31316115720273</v>
      </c>
      <c r="H46" s="45"/>
    </row>
    <row r="47" spans="1:9" x14ac:dyDescent="0.2">
      <c r="A47" s="41">
        <f t="shared" si="0"/>
        <v>37</v>
      </c>
      <c r="B47" s="41">
        <v>10538.72830263542</v>
      </c>
      <c r="C47" s="41">
        <f>($F$22+B47)*$F$23/Main!$K$3</f>
        <v>329.26945860507209</v>
      </c>
      <c r="H47" s="45"/>
    </row>
    <row r="48" spans="1:9" x14ac:dyDescent="0.2">
      <c r="A48" s="41">
        <f t="shared" si="0"/>
        <v>38</v>
      </c>
      <c r="B48" s="41">
        <v>14834.983362644354</v>
      </c>
      <c r="C48" s="41">
        <f>($F$22+B48)*$F$23/Main!$K$3</f>
        <v>366.52808957616054</v>
      </c>
      <c r="H48" s="45"/>
    </row>
    <row r="49" spans="1:8" x14ac:dyDescent="0.2">
      <c r="A49" s="41">
        <f t="shared" si="0"/>
        <v>39</v>
      </c>
      <c r="B49" s="41">
        <v>5380.4777312968954</v>
      </c>
      <c r="C49" s="41">
        <f>($F$22+B49)*$F$23/Main!$K$3</f>
        <v>284.53530017884765</v>
      </c>
      <c r="H49" s="45"/>
    </row>
    <row r="50" spans="1:8" x14ac:dyDescent="0.2">
      <c r="A50" s="41">
        <f t="shared" si="0"/>
        <v>40</v>
      </c>
      <c r="B50" s="41">
        <v>6390.9939881454729</v>
      </c>
      <c r="C50" s="41">
        <f>($F$22+B50)*$F$23/Main!$K$3</f>
        <v>293.29885163897166</v>
      </c>
    </row>
    <row r="51" spans="1:8" x14ac:dyDescent="0.2">
      <c r="A51" s="41">
        <f t="shared" si="0"/>
        <v>41</v>
      </c>
      <c r="B51" s="41">
        <v>6055.328620758125</v>
      </c>
      <c r="C51" s="41">
        <f>($F$22+B51)*$F$23/Main!$K$3</f>
        <v>290.38784382435796</v>
      </c>
    </row>
    <row r="52" spans="1:8" x14ac:dyDescent="0.2">
      <c r="A52" s="41">
        <f t="shared" si="0"/>
        <v>42</v>
      </c>
      <c r="B52" s="41">
        <v>13093.082199211289</v>
      </c>
      <c r="C52" s="41">
        <f>($F$22+B52)*$F$23/Main!$K$3</f>
        <v>351.42171164236828</v>
      </c>
    </row>
    <row r="53" spans="1:8" x14ac:dyDescent="0.2">
      <c r="A53" s="41">
        <f t="shared" si="0"/>
        <v>43</v>
      </c>
      <c r="B53" s="41">
        <v>11262.219443708871</v>
      </c>
      <c r="C53" s="41">
        <f>($F$22+B53)*$F$23/Main!$K$3</f>
        <v>335.54382757516095</v>
      </c>
    </row>
    <row r="54" spans="1:8" x14ac:dyDescent="0.2">
      <c r="A54" s="41">
        <f t="shared" si="0"/>
        <v>44</v>
      </c>
      <c r="B54" s="41">
        <v>4731.4211810849611</v>
      </c>
      <c r="C54" s="41">
        <f>($F$22+B54)*$F$23/Main!$K$3</f>
        <v>278.90645409174778</v>
      </c>
    </row>
    <row r="55" spans="1:8" x14ac:dyDescent="0.2">
      <c r="A55" s="41">
        <f t="shared" si="0"/>
        <v>45</v>
      </c>
      <c r="B55" s="41">
        <v>13087.386997592821</v>
      </c>
      <c r="C55" s="41">
        <f>($F$22+B55)*$F$23/Main!$K$3</f>
        <v>351.37232085610339</v>
      </c>
    </row>
    <row r="56" spans="1:8" x14ac:dyDescent="0.2">
      <c r="A56" s="41">
        <f t="shared" si="0"/>
        <v>46</v>
      </c>
      <c r="B56" s="41">
        <v>4985.5154384189118</v>
      </c>
      <c r="C56" s="41">
        <f>($F$22+B56)*$F$23/Main!$K$3</f>
        <v>281.11004862550874</v>
      </c>
    </row>
    <row r="57" spans="1:8" x14ac:dyDescent="0.2">
      <c r="A57" s="41">
        <f t="shared" si="0"/>
        <v>47</v>
      </c>
      <c r="B57" s="41">
        <v>11154.183904665804</v>
      </c>
      <c r="C57" s="41">
        <f>($F$22+B57)*$F$23/Main!$K$3</f>
        <v>334.60690548260726</v>
      </c>
    </row>
    <row r="58" spans="1:8" x14ac:dyDescent="0.2">
      <c r="A58" s="41">
        <f t="shared" si="0"/>
        <v>48</v>
      </c>
      <c r="B58" s="41">
        <v>11734.268155095724</v>
      </c>
      <c r="C58" s="41">
        <f>($F$22+B58)*$F$23/Main!$K$3</f>
        <v>339.63759959108586</v>
      </c>
    </row>
    <row r="59" spans="1:8" x14ac:dyDescent="0.2">
      <c r="A59" s="41">
        <f t="shared" si="0"/>
        <v>49</v>
      </c>
      <c r="B59" s="41">
        <v>7121.1817683482805</v>
      </c>
      <c r="C59" s="41">
        <f>($F$22+B59)*$F$23/Main!$K$3</f>
        <v>299.63129621271588</v>
      </c>
    </row>
    <row r="60" spans="1:8" x14ac:dyDescent="0.2">
      <c r="A60" s="41">
        <f t="shared" si="0"/>
        <v>50</v>
      </c>
      <c r="B60" s="41">
        <v>5185.0180959942172</v>
      </c>
      <c r="C60" s="41">
        <f>($F$22+B60)*$F$23/Main!$K$3</f>
        <v>282.84020565588162</v>
      </c>
    </row>
    <row r="61" spans="1:8" x14ac:dyDescent="0.2">
      <c r="A61" s="41">
        <f t="shared" si="0"/>
        <v>51</v>
      </c>
      <c r="B61" s="41">
        <v>8525.336566973092</v>
      </c>
      <c r="C61" s="41">
        <f>($F$22+B61)*$F$23/Main!$K$3</f>
        <v>311.80861919226362</v>
      </c>
    </row>
    <row r="62" spans="1:8" x14ac:dyDescent="0.2">
      <c r="A62" s="41">
        <f t="shared" si="0"/>
        <v>52</v>
      </c>
      <c r="B62" s="41">
        <v>20215.7458992842</v>
      </c>
      <c r="C62" s="41">
        <f>($F$22+B62)*$F$23/Main!$K$3</f>
        <v>413.19194982083252</v>
      </c>
    </row>
    <row r="63" spans="1:8" x14ac:dyDescent="0.2">
      <c r="A63" s="41">
        <f t="shared" si="0"/>
        <v>53</v>
      </c>
      <c r="B63" s="41">
        <v>6154.9916085557306</v>
      </c>
      <c r="C63" s="41">
        <f>($F$22+B63)*$F$23/Main!$K$3</f>
        <v>291.25215621548944</v>
      </c>
    </row>
    <row r="64" spans="1:8" x14ac:dyDescent="0.2">
      <c r="A64" s="41">
        <f t="shared" si="0"/>
        <v>54</v>
      </c>
      <c r="B64" s="41">
        <v>6938.8897304482325</v>
      </c>
      <c r="C64" s="41">
        <f>($F$22+B64)*$F$23/Main!$K$3</f>
        <v>298.05039571350966</v>
      </c>
    </row>
    <row r="65" spans="1:3" x14ac:dyDescent="0.2">
      <c r="A65" s="41">
        <f t="shared" si="0"/>
        <v>55</v>
      </c>
      <c r="B65" s="41">
        <v>9935.886737128083</v>
      </c>
      <c r="C65" s="41">
        <f>($F$22+B65)*$F$23/Main!$K$3</f>
        <v>324.04140507716437</v>
      </c>
    </row>
    <row r="66" spans="1:3" x14ac:dyDescent="0.2">
      <c r="A66" s="41">
        <f t="shared" si="0"/>
        <v>56</v>
      </c>
      <c r="B66" s="41">
        <v>10642.079297407538</v>
      </c>
      <c r="C66" s="41">
        <f>($F$22+B66)*$F$23/Main!$K$3</f>
        <v>330.16575468640883</v>
      </c>
    </row>
    <row r="67" spans="1:3" x14ac:dyDescent="0.2">
      <c r="A67" s="41">
        <f t="shared" si="0"/>
        <v>57</v>
      </c>
      <c r="B67" s="41">
        <v>12300.831014199062</v>
      </c>
      <c r="C67" s="41">
        <f>($F$22+B67)*$F$23/Main!$K$3</f>
        <v>344.55103145078851</v>
      </c>
    </row>
    <row r="68" spans="1:3" x14ac:dyDescent="0.2">
      <c r="A68" s="41">
        <f t="shared" si="0"/>
        <v>58</v>
      </c>
      <c r="B68" s="41">
        <v>10332.536110680889</v>
      </c>
      <c r="C68" s="41">
        <f>($F$22+B68)*$F$23/Main!$K$3</f>
        <v>327.48128758592924</v>
      </c>
    </row>
    <row r="69" spans="1:3" x14ac:dyDescent="0.2">
      <c r="A69" s="41">
        <f t="shared" si="0"/>
        <v>59</v>
      </c>
      <c r="B69" s="41">
        <v>10895.008250988212</v>
      </c>
      <c r="C69" s="41">
        <f>($F$22+B69)*$F$23/Main!$K$3</f>
        <v>332.35924329724253</v>
      </c>
    </row>
    <row r="70" spans="1:3" x14ac:dyDescent="0.2">
      <c r="A70" s="41">
        <f t="shared" si="0"/>
        <v>60</v>
      </c>
      <c r="B70" s="41">
        <v>5607.445192788904</v>
      </c>
      <c r="C70" s="41">
        <f>($F$22+B70)*$F$23/Main!$K$3</f>
        <v>286.50364162321193</v>
      </c>
    </row>
    <row r="71" spans="1:3" x14ac:dyDescent="0.2">
      <c r="A71" s="41">
        <f t="shared" si="0"/>
        <v>61</v>
      </c>
      <c r="B71" s="41">
        <v>6361.8436526310188</v>
      </c>
      <c r="C71" s="41">
        <f>($F$22+B71)*$F$23/Main!$K$3</f>
        <v>293.04604970369411</v>
      </c>
    </row>
    <row r="72" spans="1:3" x14ac:dyDescent="0.2">
      <c r="A72" s="41">
        <f t="shared" si="0"/>
        <v>62</v>
      </c>
      <c r="B72" s="41">
        <v>4013.8192231202333</v>
      </c>
      <c r="C72" s="41">
        <f>($F$22+B72)*$F$23/Main!$K$3</f>
        <v>272.6831581834544</v>
      </c>
    </row>
    <row r="73" spans="1:3" x14ac:dyDescent="0.2">
      <c r="A73" s="41">
        <f t="shared" si="0"/>
        <v>63</v>
      </c>
      <c r="B73" s="41">
        <v>5193.7369753086059</v>
      </c>
      <c r="C73" s="41">
        <f>($F$22+B73)*$F$23/Main!$K$3</f>
        <v>282.9158188358067</v>
      </c>
    </row>
    <row r="74" spans="1:3" x14ac:dyDescent="0.2">
      <c r="A74" s="41">
        <f t="shared" si="0"/>
        <v>64</v>
      </c>
      <c r="B74" s="41">
        <v>8814.7117241386386</v>
      </c>
      <c r="C74" s="41">
        <f>($F$22+B74)*$F$23/Main!$K$3</f>
        <v>314.31818206561161</v>
      </c>
    </row>
    <row r="75" spans="1:3" x14ac:dyDescent="0.2">
      <c r="A75" s="41">
        <f t="shared" si="0"/>
        <v>65</v>
      </c>
      <c r="B75" s="41">
        <v>5943.3480226613192</v>
      </c>
      <c r="C75" s="41">
        <f>($F$22+B75)*$F$23/Main!$K$3</f>
        <v>289.41670879579607</v>
      </c>
    </row>
    <row r="76" spans="1:3" x14ac:dyDescent="0.2">
      <c r="A76" s="41">
        <f t="shared" si="0"/>
        <v>66</v>
      </c>
      <c r="B76" s="41">
        <v>10220.800248496931</v>
      </c>
      <c r="C76" s="41">
        <f>($F$22+B76)*$F$23/Main!$K$3</f>
        <v>326.51227499305503</v>
      </c>
    </row>
    <row r="77" spans="1:3" x14ac:dyDescent="0.2">
      <c r="A77" s="41">
        <f t="shared" ref="A77:A140" si="1">A76+1</f>
        <v>67</v>
      </c>
      <c r="B77" s="41">
        <v>13626.820113558191</v>
      </c>
      <c r="C77" s="41">
        <f>($F$22+B77)*$F$23/Main!$K$3</f>
        <v>356.05047406642427</v>
      </c>
    </row>
    <row r="78" spans="1:3" x14ac:dyDescent="0.2">
      <c r="A78" s="41">
        <f t="shared" si="1"/>
        <v>68</v>
      </c>
      <c r="B78" s="41">
        <v>6426.4729603342475</v>
      </c>
      <c r="C78" s="41">
        <f>($F$22+B78)*$F$23/Main!$K$3</f>
        <v>293.60653773152239</v>
      </c>
    </row>
    <row r="79" spans="1:3" x14ac:dyDescent="0.2">
      <c r="A79" s="41">
        <f t="shared" si="1"/>
        <v>69</v>
      </c>
      <c r="B79" s="41">
        <v>13073.990239776354</v>
      </c>
      <c r="C79" s="41">
        <f>($F$22+B79)*$F$23/Main!$K$3</f>
        <v>351.25613947284728</v>
      </c>
    </row>
    <row r="80" spans="1:3" x14ac:dyDescent="0.2">
      <c r="A80" s="41">
        <f t="shared" si="1"/>
        <v>70</v>
      </c>
      <c r="B80" s="41">
        <v>11697.758526047708</v>
      </c>
      <c r="C80" s="41">
        <f>($F$22+B80)*$F$23/Main!$K$3</f>
        <v>339.32097528070608</v>
      </c>
    </row>
    <row r="81" spans="1:3" x14ac:dyDescent="0.2">
      <c r="A81" s="41">
        <f t="shared" si="1"/>
        <v>71</v>
      </c>
      <c r="B81" s="41">
        <v>8091.680066696299</v>
      </c>
      <c r="C81" s="41">
        <f>($F$22+B81)*$F$23/Main!$K$3</f>
        <v>308.04779789875471</v>
      </c>
    </row>
    <row r="82" spans="1:3" x14ac:dyDescent="0.2">
      <c r="A82" s="41">
        <f t="shared" si="1"/>
        <v>72</v>
      </c>
      <c r="B82" s="41">
        <v>3094.8689987390799</v>
      </c>
      <c r="C82" s="41">
        <f>($F$22+B82)*$F$23/Main!$K$3</f>
        <v>264.71369947749361</v>
      </c>
    </row>
    <row r="83" spans="1:3" x14ac:dyDescent="0.2">
      <c r="A83" s="41">
        <f t="shared" si="1"/>
        <v>73</v>
      </c>
      <c r="B83" s="41">
        <v>13835.72435185643</v>
      </c>
      <c r="C83" s="41">
        <f>($F$22+B83)*$F$23/Main!$K$3</f>
        <v>357.86216490282311</v>
      </c>
    </row>
    <row r="84" spans="1:3" x14ac:dyDescent="0.2">
      <c r="A84" s="41">
        <f t="shared" si="1"/>
        <v>74</v>
      </c>
      <c r="B84" s="41">
        <v>9965.8057485121572</v>
      </c>
      <c r="C84" s="41">
        <f>($F$22+B84)*$F$23/Main!$K$3</f>
        <v>324.30087323922845</v>
      </c>
    </row>
    <row r="85" spans="1:3" x14ac:dyDescent="0.2">
      <c r="A85" s="41">
        <f t="shared" si="1"/>
        <v>75</v>
      </c>
      <c r="B85" s="41">
        <v>5918.1999375796322</v>
      </c>
      <c r="C85" s="41">
        <f>($F$22+B85)*$F$23/Main!$K$3</f>
        <v>289.19861578022773</v>
      </c>
    </row>
    <row r="86" spans="1:3" x14ac:dyDescent="0.2">
      <c r="A86" s="41">
        <f t="shared" si="1"/>
        <v>76</v>
      </c>
      <c r="B86" s="41">
        <v>12471.971134017131</v>
      </c>
      <c r="C86" s="41">
        <f>($F$22+B86)*$F$23/Main!$K$3</f>
        <v>346.03521860438735</v>
      </c>
    </row>
    <row r="87" spans="1:3" x14ac:dyDescent="0.2">
      <c r="A87" s="41">
        <f t="shared" si="1"/>
        <v>77</v>
      </c>
      <c r="B87" s="41">
        <v>8225.9597219520874</v>
      </c>
      <c r="C87" s="41">
        <f>($F$22+B87)*$F$23/Main!$K$3</f>
        <v>309.21231817332387</v>
      </c>
    </row>
    <row r="88" spans="1:3" x14ac:dyDescent="0.2">
      <c r="A88" s="41">
        <f t="shared" si="1"/>
        <v>78</v>
      </c>
      <c r="B88" s="41">
        <v>10465.960856559226</v>
      </c>
      <c r="C88" s="41">
        <f>($F$22+B88)*$F$23/Main!$K$3</f>
        <v>328.63839378648203</v>
      </c>
    </row>
    <row r="89" spans="1:3" x14ac:dyDescent="0.2">
      <c r="A89" s="41">
        <f t="shared" si="1"/>
        <v>79</v>
      </c>
      <c r="B89" s="41">
        <v>4606.2079306680971</v>
      </c>
      <c r="C89" s="41">
        <f>($F$22+B89)*$F$23/Main!$K$3</f>
        <v>277.82056086036158</v>
      </c>
    </row>
    <row r="90" spans="1:3" x14ac:dyDescent="0.2">
      <c r="A90" s="41">
        <f t="shared" si="1"/>
        <v>80</v>
      </c>
      <c r="B90" s="41">
        <v>6190.0227571448022</v>
      </c>
      <c r="C90" s="41">
        <f>($F$22+B90)*$F$23/Main!$K$3</f>
        <v>291.55595862469067</v>
      </c>
    </row>
    <row r="91" spans="1:3" x14ac:dyDescent="0.2">
      <c r="A91" s="41">
        <f t="shared" si="1"/>
        <v>81</v>
      </c>
      <c r="B91" s="41">
        <v>5241.828878270765</v>
      </c>
      <c r="C91" s="41">
        <f>($F$22+B91)*$F$23/Main!$K$3</f>
        <v>283.33288868853577</v>
      </c>
    </row>
    <row r="92" spans="1:3" x14ac:dyDescent="0.2">
      <c r="A92" s="41">
        <f t="shared" si="1"/>
        <v>82</v>
      </c>
      <c r="B92" s="41">
        <v>8975.4543421927847</v>
      </c>
      <c r="C92" s="41">
        <f>($F$22+B92)*$F$23/Main!$K$3</f>
        <v>315.71219843655615</v>
      </c>
    </row>
    <row r="93" spans="1:3" x14ac:dyDescent="0.2">
      <c r="A93" s="41">
        <f t="shared" si="1"/>
        <v>83</v>
      </c>
      <c r="B93" s="41">
        <v>10986.907625351876</v>
      </c>
      <c r="C93" s="41">
        <f>($F$22+B93)*$F$23/Main!$K$3</f>
        <v>333.15622690926352</v>
      </c>
    </row>
    <row r="94" spans="1:3" x14ac:dyDescent="0.2">
      <c r="A94" s="41">
        <f t="shared" si="1"/>
        <v>84</v>
      </c>
      <c r="B94" s="41">
        <v>17303.870769076242</v>
      </c>
      <c r="C94" s="41">
        <f>($F$22+B94)*$F$23/Main!$K$3</f>
        <v>387.93914722999131</v>
      </c>
    </row>
    <row r="95" spans="1:3" x14ac:dyDescent="0.2">
      <c r="A95" s="41">
        <f t="shared" si="1"/>
        <v>85</v>
      </c>
      <c r="B95" s="41">
        <v>6362.4886929679124</v>
      </c>
      <c r="C95" s="41">
        <f>($F$22+B95)*$F$23/Main!$K$3</f>
        <v>293.05164371977042</v>
      </c>
    </row>
    <row r="96" spans="1:3" x14ac:dyDescent="0.2">
      <c r="A96" s="41">
        <f t="shared" si="1"/>
        <v>86</v>
      </c>
      <c r="B96" s="41">
        <v>5877.2235723353569</v>
      </c>
      <c r="C96" s="41">
        <f>($F$22+B96)*$F$23/Main!$K$3</f>
        <v>288.84325436665989</v>
      </c>
    </row>
    <row r="97" spans="1:3" x14ac:dyDescent="0.2">
      <c r="A97" s="41">
        <f t="shared" si="1"/>
        <v>87</v>
      </c>
      <c r="B97" s="41">
        <v>4052.9614547311608</v>
      </c>
      <c r="C97" s="41">
        <f>($F$22+B97)*$F$23/Main!$K$3</f>
        <v>273.02261334675501</v>
      </c>
    </row>
    <row r="98" spans="1:3" x14ac:dyDescent="0.2">
      <c r="A98" s="41">
        <f t="shared" si="1"/>
        <v>88</v>
      </c>
      <c r="B98" s="41">
        <v>21905.583754882882</v>
      </c>
      <c r="C98" s="41">
        <f>($F$22+B98)*$F$23/Main!$K$3</f>
        <v>427.84681648570785</v>
      </c>
    </row>
    <row r="99" spans="1:3" x14ac:dyDescent="0.2">
      <c r="A99" s="41">
        <f t="shared" si="1"/>
        <v>89</v>
      </c>
      <c r="B99" s="41">
        <v>5883.885013605468</v>
      </c>
      <c r="C99" s="41">
        <f>($F$22+B99)*$F$23/Main!$K$3</f>
        <v>288.90102472213266</v>
      </c>
    </row>
    <row r="100" spans="1:3" x14ac:dyDescent="0.2">
      <c r="A100" s="41">
        <f t="shared" si="1"/>
        <v>90</v>
      </c>
      <c r="B100" s="41">
        <v>6398.0145834844971</v>
      </c>
      <c r="C100" s="41">
        <f>($F$22+B100)*$F$23/Main!$K$3</f>
        <v>293.35973670451841</v>
      </c>
    </row>
    <row r="101" spans="1:3" x14ac:dyDescent="0.2">
      <c r="A101" s="41">
        <f t="shared" si="1"/>
        <v>91</v>
      </c>
      <c r="B101" s="41">
        <v>4642.0733281849207</v>
      </c>
      <c r="C101" s="41">
        <f>($F$22+B101)*$F$23/Main!$K$3</f>
        <v>278.13159816891186</v>
      </c>
    </row>
    <row r="102" spans="1:3" x14ac:dyDescent="0.2">
      <c r="A102" s="41">
        <f t="shared" si="1"/>
        <v>92</v>
      </c>
      <c r="B102" s="41">
        <v>10521.048301357103</v>
      </c>
      <c r="C102" s="41">
        <f>($F$22+B102)*$F$23/Main!$K$3</f>
        <v>329.11613143198855</v>
      </c>
    </row>
    <row r="103" spans="1:3" x14ac:dyDescent="0.2">
      <c r="A103" s="41">
        <f t="shared" si="1"/>
        <v>93</v>
      </c>
      <c r="B103" s="41">
        <v>5897.7075939861315</v>
      </c>
      <c r="C103" s="41">
        <f>($F$22+B103)*$F$23/Main!$K$3</f>
        <v>289.02089898804053</v>
      </c>
    </row>
    <row r="104" spans="1:3" x14ac:dyDescent="0.2">
      <c r="A104" s="41">
        <f t="shared" si="1"/>
        <v>94</v>
      </c>
      <c r="B104" s="41">
        <v>6272.5540129801911</v>
      </c>
      <c r="C104" s="41">
        <f>($F$22+B104)*$F$23/Main!$K$3</f>
        <v>292.2716986265761</v>
      </c>
    </row>
    <row r="105" spans="1:3" x14ac:dyDescent="0.2">
      <c r="A105" s="41">
        <f t="shared" si="1"/>
        <v>95</v>
      </c>
      <c r="B105" s="41">
        <v>5195.3589005506692</v>
      </c>
      <c r="C105" s="41">
        <f>($F$22+B105)*$F$23/Main!$K$3</f>
        <v>282.92988474046376</v>
      </c>
    </row>
    <row r="106" spans="1:3" x14ac:dyDescent="0.2">
      <c r="A106" s="41">
        <f t="shared" si="1"/>
        <v>96</v>
      </c>
      <c r="B106" s="41">
        <v>4141.9283173252061</v>
      </c>
      <c r="C106" s="41">
        <f>($F$22+B106)*$F$23/Main!$K$3</f>
        <v>273.79416518800912</v>
      </c>
    </row>
    <row r="107" spans="1:3" x14ac:dyDescent="0.2">
      <c r="A107" s="41">
        <f t="shared" si="1"/>
        <v>97</v>
      </c>
      <c r="B107" s="41">
        <v>6494.6619828691682</v>
      </c>
      <c r="C107" s="41">
        <f>($F$22+B107)*$F$23/Main!$K$3</f>
        <v>294.19789685508954</v>
      </c>
    </row>
    <row r="108" spans="1:3" x14ac:dyDescent="0.2">
      <c r="A108" s="41">
        <f t="shared" si="1"/>
        <v>98</v>
      </c>
      <c r="B108" s="41">
        <v>19625.485341148586</v>
      </c>
      <c r="C108" s="41">
        <f>($F$22+B108)*$F$23/Main!$K$3</f>
        <v>408.07300320216552</v>
      </c>
    </row>
    <row r="109" spans="1:3" x14ac:dyDescent="0.2">
      <c r="A109" s="41">
        <f t="shared" si="1"/>
        <v>99</v>
      </c>
      <c r="B109" s="41">
        <v>6988.0506758157908</v>
      </c>
      <c r="C109" s="41">
        <f>($F$22+B109)*$F$23/Main!$K$3</f>
        <v>298.47673667698956</v>
      </c>
    </row>
    <row r="110" spans="1:3" x14ac:dyDescent="0.2">
      <c r="A110" s="41">
        <f t="shared" si="1"/>
        <v>100</v>
      </c>
      <c r="B110" s="41">
        <v>9102.9605555062699</v>
      </c>
      <c r="C110" s="41">
        <f>($F$22+B110)*$F$23/Main!$K$3</f>
        <v>316.81797704653434</v>
      </c>
    </row>
    <row r="111" spans="1:3" x14ac:dyDescent="0.2">
      <c r="A111" s="41">
        <f t="shared" si="1"/>
        <v>101</v>
      </c>
      <c r="B111" s="41">
        <v>8899.4793439577043</v>
      </c>
      <c r="C111" s="41">
        <f>($F$22+B111)*$F$23/Main!$K$3</f>
        <v>315.05331660046147</v>
      </c>
    </row>
    <row r="112" spans="1:3" x14ac:dyDescent="0.2">
      <c r="A112" s="41">
        <f t="shared" si="1"/>
        <v>102</v>
      </c>
      <c r="B112" s="41">
        <v>7266.4550261763325</v>
      </c>
      <c r="C112" s="41">
        <f>($F$22+B112)*$F$23/Main!$K$3</f>
        <v>300.89115686525639</v>
      </c>
    </row>
    <row r="113" spans="1:3" x14ac:dyDescent="0.2">
      <c r="A113" s="41">
        <f t="shared" si="1"/>
        <v>103</v>
      </c>
      <c r="B113" s="41">
        <v>8453.0717417719661</v>
      </c>
      <c r="C113" s="41">
        <f>($F$22+B113)*$F$23/Main!$K$3</f>
        <v>311.18191327821728</v>
      </c>
    </row>
    <row r="114" spans="1:3" x14ac:dyDescent="0.2">
      <c r="A114" s="41">
        <f t="shared" si="1"/>
        <v>104</v>
      </c>
      <c r="B114" s="41">
        <v>14770.590274153397</v>
      </c>
      <c r="C114" s="41">
        <f>($F$22+B114)*$F$23/Main!$K$3</f>
        <v>365.96965012420486</v>
      </c>
    </row>
    <row r="115" spans="1:3" x14ac:dyDescent="0.2">
      <c r="A115" s="41">
        <f t="shared" si="1"/>
        <v>105</v>
      </c>
      <c r="B115" s="41">
        <v>13933.635683999573</v>
      </c>
      <c r="C115" s="41">
        <f>($F$22+B115)*$F$23/Main!$K$3</f>
        <v>358.71128632165284</v>
      </c>
    </row>
    <row r="116" spans="1:3" x14ac:dyDescent="0.2">
      <c r="A116" s="41">
        <f t="shared" si="1"/>
        <v>106</v>
      </c>
      <c r="B116" s="41">
        <v>2416.6531902475017</v>
      </c>
      <c r="C116" s="41">
        <f>($F$22+B116)*$F$23/Main!$K$3</f>
        <v>258.83197407376645</v>
      </c>
    </row>
    <row r="117" spans="1:3" x14ac:dyDescent="0.2">
      <c r="A117" s="41">
        <f t="shared" si="1"/>
        <v>107</v>
      </c>
      <c r="B117" s="41">
        <v>8638.8144609463434</v>
      </c>
      <c r="C117" s="41">
        <f>($F$22+B117)*$F$23/Main!$K$3</f>
        <v>312.79273929590494</v>
      </c>
    </row>
    <row r="118" spans="1:3" x14ac:dyDescent="0.2">
      <c r="A118" s="41">
        <f t="shared" si="1"/>
        <v>108</v>
      </c>
      <c r="B118" s="41">
        <v>11393.775909736942</v>
      </c>
      <c r="C118" s="41">
        <f>($F$22+B118)*$F$23/Main!$K$3</f>
        <v>336.68473139747505</v>
      </c>
    </row>
    <row r="119" spans="1:3" x14ac:dyDescent="0.2">
      <c r="A119" s="41">
        <f t="shared" si="1"/>
        <v>109</v>
      </c>
      <c r="B119" s="41">
        <v>4452.2511438255915</v>
      </c>
      <c r="C119" s="41">
        <f>($F$22+B119)*$F$23/Main!$K$3</f>
        <v>276.48539359809769</v>
      </c>
    </row>
    <row r="120" spans="1:3" x14ac:dyDescent="0.2">
      <c r="A120" s="41">
        <f t="shared" si="1"/>
        <v>110</v>
      </c>
      <c r="B120" s="41">
        <v>5638.224630735589</v>
      </c>
      <c r="C120" s="41">
        <f>($F$22+B120)*$F$23/Main!$K$3</f>
        <v>286.7705717062575</v>
      </c>
    </row>
    <row r="121" spans="1:3" x14ac:dyDescent="0.2">
      <c r="A121" s="41">
        <f t="shared" si="1"/>
        <v>111</v>
      </c>
      <c r="B121" s="41">
        <v>4955.9535255597111</v>
      </c>
      <c r="C121" s="41">
        <f>($F$22+B121)*$F$23/Main!$K$3</f>
        <v>280.85367734711957</v>
      </c>
    </row>
    <row r="122" spans="1:3" x14ac:dyDescent="0.2">
      <c r="A122" s="41">
        <f t="shared" si="1"/>
        <v>112</v>
      </c>
      <c r="B122" s="41">
        <v>11325.683057185761</v>
      </c>
      <c r="C122" s="41">
        <f>($F$22+B122)*$F$23/Main!$K$3</f>
        <v>336.09420629374245</v>
      </c>
    </row>
    <row r="123" spans="1:3" x14ac:dyDescent="0.2">
      <c r="A123" s="41">
        <f t="shared" si="1"/>
        <v>113</v>
      </c>
      <c r="B123" s="41">
        <v>14126.27721473032</v>
      </c>
      <c r="C123" s="41">
        <f>($F$22+B123)*$F$23/Main!$K$3</f>
        <v>360.38194125320325</v>
      </c>
    </row>
    <row r="124" spans="1:3" x14ac:dyDescent="0.2">
      <c r="A124" s="41">
        <f t="shared" si="1"/>
        <v>114</v>
      </c>
      <c r="B124" s="41">
        <v>9156.611176711911</v>
      </c>
      <c r="C124" s="41">
        <f>($F$22+B124)*$F$23/Main!$K$3</f>
        <v>317.28325405382321</v>
      </c>
    </row>
    <row r="125" spans="1:3" x14ac:dyDescent="0.2">
      <c r="A125" s="41">
        <f t="shared" si="1"/>
        <v>115</v>
      </c>
      <c r="B125" s="41">
        <v>4330.9715476648898</v>
      </c>
      <c r="C125" s="41">
        <f>($F$22+B125)*$F$23/Main!$K$3</f>
        <v>275.43361439631428</v>
      </c>
    </row>
    <row r="126" spans="1:3" x14ac:dyDescent="0.2">
      <c r="A126" s="41">
        <f t="shared" si="1"/>
        <v>116</v>
      </c>
      <c r="B126" s="41">
        <v>5925.3001089724321</v>
      </c>
      <c r="C126" s="41">
        <f>($F$22+B126)*$F$23/Main!$K$3</f>
        <v>289.26019095722745</v>
      </c>
    </row>
    <row r="127" spans="1:3" x14ac:dyDescent="0.2">
      <c r="A127" s="41">
        <f t="shared" si="1"/>
        <v>117</v>
      </c>
      <c r="B127" s="41">
        <v>6757.4721857189452</v>
      </c>
      <c r="C127" s="41">
        <f>($F$22+B127)*$F$23/Main!$K$3</f>
        <v>296.47707912584519</v>
      </c>
    </row>
    <row r="128" spans="1:3" x14ac:dyDescent="0.2">
      <c r="A128" s="41">
        <f t="shared" si="1"/>
        <v>118</v>
      </c>
      <c r="B128" s="41">
        <v>11858.561741358701</v>
      </c>
      <c r="C128" s="41">
        <f>($F$22+B128)*$F$23/Main!$K$3</f>
        <v>340.71551717231904</v>
      </c>
    </row>
    <row r="129" spans="1:3" x14ac:dyDescent="0.2">
      <c r="A129" s="41">
        <f t="shared" si="1"/>
        <v>119</v>
      </c>
      <c r="B129" s="41">
        <v>11624.122154798682</v>
      </c>
      <c r="C129" s="41">
        <f>($F$22+B129)*$F$23/Main!$K$3</f>
        <v>338.68237483820536</v>
      </c>
    </row>
    <row r="130" spans="1:3" x14ac:dyDescent="0.2">
      <c r="A130" s="41">
        <f t="shared" si="1"/>
        <v>120</v>
      </c>
      <c r="B130" s="41">
        <v>8087.8359743716801</v>
      </c>
      <c r="C130" s="41">
        <f>($F$22+B130)*$F$23/Main!$K$3</f>
        <v>308.01446058163992</v>
      </c>
    </row>
    <row r="131" spans="1:3" x14ac:dyDescent="0.2">
      <c r="A131" s="41">
        <f t="shared" si="1"/>
        <v>121</v>
      </c>
      <c r="B131" s="41">
        <v>1824.0876113520653</v>
      </c>
      <c r="C131" s="41">
        <f>($F$22+B131)*$F$23/Main!$K$3</f>
        <v>253.69303750648808</v>
      </c>
    </row>
    <row r="132" spans="1:3" x14ac:dyDescent="0.2">
      <c r="A132" s="41">
        <f t="shared" si="1"/>
        <v>122</v>
      </c>
      <c r="B132" s="41">
        <v>4709.0051193133768</v>
      </c>
      <c r="C132" s="41">
        <f>($F$22+B132)*$F$23/Main!$K$3</f>
        <v>278.71205414069578</v>
      </c>
    </row>
    <row r="133" spans="1:3" x14ac:dyDescent="0.2">
      <c r="A133" s="41">
        <f t="shared" si="1"/>
        <v>123</v>
      </c>
      <c r="B133" s="41">
        <v>7484.6900269732414</v>
      </c>
      <c r="C133" s="41">
        <f>($F$22+B133)*$F$23/Main!$K$3</f>
        <v>302.78376734719791</v>
      </c>
    </row>
    <row r="134" spans="1:3" x14ac:dyDescent="0.2">
      <c r="A134" s="41">
        <f t="shared" si="1"/>
        <v>124</v>
      </c>
      <c r="B134" s="41">
        <v>6062.455584614645</v>
      </c>
      <c r="C134" s="41">
        <f>($F$22+B134)*$F$23/Main!$K$3</f>
        <v>290.44965135500161</v>
      </c>
    </row>
    <row r="135" spans="1:3" x14ac:dyDescent="0.2">
      <c r="A135" s="41">
        <f t="shared" si="1"/>
        <v>125</v>
      </c>
      <c r="B135" s="41">
        <v>16704.410189895323</v>
      </c>
      <c r="C135" s="41">
        <f>($F$22+B135)*$F$23/Main!$K$3</f>
        <v>382.74041480152829</v>
      </c>
    </row>
    <row r="136" spans="1:3" x14ac:dyDescent="0.2">
      <c r="A136" s="41">
        <f t="shared" si="1"/>
        <v>126</v>
      </c>
      <c r="B136" s="41">
        <v>16216.32946264069</v>
      </c>
      <c r="C136" s="41">
        <f>($F$22+B136)*$F$23/Main!$K$3</f>
        <v>378.5076075200995</v>
      </c>
    </row>
    <row r="137" spans="1:3" x14ac:dyDescent="0.2">
      <c r="A137" s="41">
        <f t="shared" si="1"/>
        <v>127</v>
      </c>
      <c r="B137" s="41">
        <v>8661.7300768155492</v>
      </c>
      <c r="C137" s="41">
        <f>($F$22+B137)*$F$23/Main!$K$3</f>
        <v>312.99147155533092</v>
      </c>
    </row>
    <row r="138" spans="1:3" x14ac:dyDescent="0.2">
      <c r="A138" s="41">
        <f t="shared" si="1"/>
        <v>128</v>
      </c>
      <c r="B138" s="41">
        <v>11580.395988733613</v>
      </c>
      <c r="C138" s="41">
        <f>($F$22+B138)*$F$23/Main!$K$3</f>
        <v>338.30316618731217</v>
      </c>
    </row>
    <row r="139" spans="1:3" x14ac:dyDescent="0.2">
      <c r="A139" s="41">
        <f t="shared" si="1"/>
        <v>129</v>
      </c>
      <c r="B139" s="41">
        <v>12064.23177286085</v>
      </c>
      <c r="C139" s="41">
        <f>($F$22+B139)*$F$23/Main!$K$3</f>
        <v>342.49915983284922</v>
      </c>
    </row>
    <row r="140" spans="1:3" x14ac:dyDescent="0.2">
      <c r="A140" s="41">
        <f t="shared" si="1"/>
        <v>130</v>
      </c>
      <c r="B140" s="41">
        <v>13465.347158950548</v>
      </c>
      <c r="C140" s="41">
        <f>($F$22+B140)*$F$23/Main!$K$3</f>
        <v>354.65012396069176</v>
      </c>
    </row>
    <row r="141" spans="1:3" x14ac:dyDescent="0.2">
      <c r="A141" s="41">
        <f t="shared" ref="A141:A204" si="2">A140+1</f>
        <v>131</v>
      </c>
      <c r="B141" s="41">
        <v>5196.1749741509166</v>
      </c>
      <c r="C141" s="41">
        <f>($F$22+B141)*$F$23/Main!$K$3</f>
        <v>282.93696201699697</v>
      </c>
    </row>
    <row r="142" spans="1:3" x14ac:dyDescent="0.2">
      <c r="A142" s="41">
        <f t="shared" si="2"/>
        <v>132</v>
      </c>
      <c r="B142" s="41">
        <v>8729.2179559113756</v>
      </c>
      <c r="C142" s="41">
        <f>($F$22+B142)*$F$23/Main!$K$3</f>
        <v>313.57675011703896</v>
      </c>
    </row>
    <row r="143" spans="1:3" x14ac:dyDescent="0.2">
      <c r="A143" s="41">
        <f t="shared" si="2"/>
        <v>133</v>
      </c>
      <c r="B143" s="41">
        <v>4906.4395137391139</v>
      </c>
      <c r="C143" s="41">
        <f>($F$22+B143)*$F$23/Main!$K$3</f>
        <v>280.42427446750611</v>
      </c>
    </row>
    <row r="144" spans="1:3" x14ac:dyDescent="0.2">
      <c r="A144" s="41">
        <f t="shared" si="2"/>
        <v>134</v>
      </c>
      <c r="B144" s="41">
        <v>11721.920356516417</v>
      </c>
      <c r="C144" s="41">
        <f>($F$22+B144)*$F$23/Main!$K$3</f>
        <v>339.53051515030074</v>
      </c>
    </row>
    <row r="145" spans="1:3" x14ac:dyDescent="0.2">
      <c r="A145" s="41">
        <f t="shared" si="2"/>
        <v>135</v>
      </c>
      <c r="B145" s="41">
        <v>6778.0780780493315</v>
      </c>
      <c r="C145" s="41">
        <f>($F$22+B145)*$F$23/Main!$K$3</f>
        <v>296.65578065251066</v>
      </c>
    </row>
    <row r="146" spans="1:3" x14ac:dyDescent="0.2">
      <c r="A146" s="41">
        <f t="shared" si="2"/>
        <v>136</v>
      </c>
      <c r="B146" s="41">
        <v>23360.685872391165</v>
      </c>
      <c r="C146" s="41">
        <f>($F$22+B146)*$F$23/Main!$K$3</f>
        <v>440.46597248651045</v>
      </c>
    </row>
    <row r="147" spans="1:3" x14ac:dyDescent="0.2">
      <c r="A147" s="41">
        <f t="shared" si="2"/>
        <v>137</v>
      </c>
      <c r="B147" s="41">
        <v>11706.747835702572</v>
      </c>
      <c r="C147" s="41">
        <f>($F$22+B147)*$F$23/Main!$K$3</f>
        <v>339.39893372740841</v>
      </c>
    </row>
    <row r="148" spans="1:3" x14ac:dyDescent="0.2">
      <c r="A148" s="41">
        <f t="shared" si="2"/>
        <v>138</v>
      </c>
      <c r="B148" s="41">
        <v>4841.5553565987757</v>
      </c>
      <c r="C148" s="41">
        <f>($F$22+B148)*$F$23/Main!$K$3</f>
        <v>279.86157629596016</v>
      </c>
    </row>
    <row r="149" spans="1:3" x14ac:dyDescent="0.2">
      <c r="A149" s="41">
        <f t="shared" si="2"/>
        <v>139</v>
      </c>
      <c r="B149" s="41">
        <v>17500.689197417374</v>
      </c>
      <c r="C149" s="41">
        <f>($F$22+B149)*$F$23/Main!$K$3</f>
        <v>389.64602568284016</v>
      </c>
    </row>
    <row r="150" spans="1:3" x14ac:dyDescent="0.2">
      <c r="A150" s="41">
        <f t="shared" si="2"/>
        <v>140</v>
      </c>
      <c r="B150" s="41">
        <v>12667.525971106523</v>
      </c>
      <c r="C150" s="41">
        <f>($F$22+B150)*$F$23/Main!$K$3</f>
        <v>347.73113875064371</v>
      </c>
    </row>
    <row r="151" spans="1:3" x14ac:dyDescent="0.2">
      <c r="A151" s="41">
        <f t="shared" si="2"/>
        <v>141</v>
      </c>
      <c r="B151" s="41">
        <v>13126.615194511778</v>
      </c>
      <c r="C151" s="41">
        <f>($F$22+B151)*$F$23/Main!$K$3</f>
        <v>351.71252154071118</v>
      </c>
    </row>
    <row r="152" spans="1:3" x14ac:dyDescent="0.2">
      <c r="A152" s="41">
        <f t="shared" si="2"/>
        <v>142</v>
      </c>
      <c r="B152" s="41">
        <v>19389.237151635756</v>
      </c>
      <c r="C152" s="41">
        <f>($F$22+B152)*$F$23/Main!$K$3</f>
        <v>406.02417602880217</v>
      </c>
    </row>
    <row r="153" spans="1:3" x14ac:dyDescent="0.2">
      <c r="A153" s="41">
        <f t="shared" si="2"/>
        <v>143</v>
      </c>
      <c r="B153" s="41">
        <v>8905.1875503245828</v>
      </c>
      <c r="C153" s="41">
        <f>($F$22+B153)*$F$23/Main!$K$3</f>
        <v>315.10282016846656</v>
      </c>
    </row>
    <row r="154" spans="1:3" x14ac:dyDescent="0.2">
      <c r="A154" s="41">
        <f t="shared" si="2"/>
        <v>144</v>
      </c>
      <c r="B154" s="41">
        <v>10216.96578264762</v>
      </c>
      <c r="C154" s="41">
        <f>($F$22+B154)*$F$23/Main!$K$3</f>
        <v>326.4790211601109</v>
      </c>
    </row>
    <row r="155" spans="1:3" x14ac:dyDescent="0.2">
      <c r="A155" s="41">
        <f t="shared" si="2"/>
        <v>145</v>
      </c>
      <c r="B155" s="41">
        <v>10205.110076188515</v>
      </c>
      <c r="C155" s="41">
        <f>($F$22+B155)*$F$23/Main!$K$3</f>
        <v>326.37620431481395</v>
      </c>
    </row>
    <row r="156" spans="1:3" x14ac:dyDescent="0.2">
      <c r="A156" s="41">
        <f t="shared" si="2"/>
        <v>146</v>
      </c>
      <c r="B156" s="41">
        <v>5361.9472110000252</v>
      </c>
      <c r="C156" s="41">
        <f>($F$22+B156)*$F$23/Main!$K$3</f>
        <v>284.37459700648014</v>
      </c>
    </row>
    <row r="157" spans="1:3" x14ac:dyDescent="0.2">
      <c r="A157" s="41">
        <f t="shared" si="2"/>
        <v>147</v>
      </c>
      <c r="B157" s="41">
        <v>14903.707796779048</v>
      </c>
      <c r="C157" s="41">
        <f>($F$22+B157)*$F$23/Main!$K$3</f>
        <v>367.12409197693893</v>
      </c>
    </row>
    <row r="158" spans="1:3" x14ac:dyDescent="0.2">
      <c r="A158" s="41">
        <f t="shared" si="2"/>
        <v>148</v>
      </c>
      <c r="B158" s="41">
        <v>10926.121041215645</v>
      </c>
      <c r="C158" s="41">
        <f>($F$22+B158)*$F$23/Main!$K$3</f>
        <v>332.62906432820387</v>
      </c>
    </row>
    <row r="159" spans="1:3" x14ac:dyDescent="0.2">
      <c r="A159" s="41">
        <f t="shared" si="2"/>
        <v>149</v>
      </c>
      <c r="B159" s="41">
        <v>9955.0764484246738</v>
      </c>
      <c r="C159" s="41">
        <f>($F$22+B159)*$F$23/Main!$K$3</f>
        <v>324.20782498512023</v>
      </c>
    </row>
    <row r="160" spans="1:3" x14ac:dyDescent="0.2">
      <c r="A160" s="41">
        <f t="shared" si="2"/>
        <v>150</v>
      </c>
      <c r="B160" s="41">
        <v>12642.57272658711</v>
      </c>
      <c r="C160" s="41">
        <f>($F$22+B160)*$F$23/Main!$K$3</f>
        <v>347.51473546077978</v>
      </c>
    </row>
    <row r="161" spans="1:3" x14ac:dyDescent="0.2">
      <c r="A161" s="41">
        <f t="shared" si="2"/>
        <v>151</v>
      </c>
      <c r="B161" s="41">
        <v>9055.6215776281224</v>
      </c>
      <c r="C161" s="41">
        <f>($F$22+B161)*$F$23/Main!$K$3</f>
        <v>316.40743682425364</v>
      </c>
    </row>
    <row r="162" spans="1:3" x14ac:dyDescent="0.2">
      <c r="A162" s="41">
        <f t="shared" si="2"/>
        <v>152</v>
      </c>
      <c r="B162" s="41">
        <v>8039.8948694316996</v>
      </c>
      <c r="C162" s="41">
        <f>($F$22+B162)*$F$23/Main!$K$3</f>
        <v>307.59869850225789</v>
      </c>
    </row>
    <row r="163" spans="1:3" x14ac:dyDescent="0.2">
      <c r="A163" s="41">
        <f t="shared" si="2"/>
        <v>153</v>
      </c>
      <c r="B163" s="41">
        <v>5374.6569194547501</v>
      </c>
      <c r="C163" s="41">
        <f>($F$22+B163)*$F$23/Main!$K$3</f>
        <v>284.48482005665994</v>
      </c>
    </row>
    <row r="164" spans="1:3" x14ac:dyDescent="0.2">
      <c r="A164" s="41">
        <f t="shared" si="2"/>
        <v>154</v>
      </c>
      <c r="B164" s="41">
        <v>13046.349333185492</v>
      </c>
      <c r="C164" s="41">
        <f>($F$22+B164)*$F$23/Main!$K$3</f>
        <v>351.01642783469026</v>
      </c>
    </row>
    <row r="165" spans="1:3" x14ac:dyDescent="0.2">
      <c r="A165" s="41">
        <f t="shared" si="2"/>
        <v>155</v>
      </c>
      <c r="B165" s="41">
        <v>11113.664374594606</v>
      </c>
      <c r="C165" s="41">
        <f>($F$22+B165)*$F$23/Main!$K$3</f>
        <v>334.25550590391424</v>
      </c>
    </row>
    <row r="166" spans="1:3" x14ac:dyDescent="0.2">
      <c r="A166" s="41">
        <f t="shared" si="2"/>
        <v>156</v>
      </c>
      <c r="B166" s="41">
        <v>6878.5913081677218</v>
      </c>
      <c r="C166" s="41">
        <f>($F$22+B166)*$F$23/Main!$K$3</f>
        <v>297.52746664330596</v>
      </c>
    </row>
    <row r="167" spans="1:3" x14ac:dyDescent="0.2">
      <c r="A167" s="41">
        <f t="shared" si="2"/>
        <v>157</v>
      </c>
      <c r="B167" s="41">
        <v>4417.4383347744515</v>
      </c>
      <c r="C167" s="41">
        <f>($F$22+B167)*$F$23/Main!$K$3</f>
        <v>276.18348470596112</v>
      </c>
    </row>
    <row r="168" spans="1:3" x14ac:dyDescent="0.2">
      <c r="A168" s="41">
        <f t="shared" si="2"/>
        <v>158</v>
      </c>
      <c r="B168" s="41">
        <v>25101.693464175405</v>
      </c>
      <c r="C168" s="41">
        <f>($F$22+B168)*$F$23/Main!$K$3</f>
        <v>455.56460105350652</v>
      </c>
    </row>
    <row r="169" spans="1:3" x14ac:dyDescent="0.2">
      <c r="A169" s="41">
        <f t="shared" si="2"/>
        <v>159</v>
      </c>
      <c r="B169" s="41">
        <v>4460.9058500205729</v>
      </c>
      <c r="C169" s="41">
        <f>($F$22+B169)*$F$23/Main!$K$3</f>
        <v>276.56045024621983</v>
      </c>
    </row>
    <row r="170" spans="1:3" x14ac:dyDescent="0.2">
      <c r="A170" s="41">
        <f t="shared" si="2"/>
        <v>160</v>
      </c>
      <c r="B170" s="41">
        <v>13700.133593852392</v>
      </c>
      <c r="C170" s="41">
        <f>($F$22+B170)*$F$23/Main!$K$3</f>
        <v>356.6862742852972</v>
      </c>
    </row>
    <row r="171" spans="1:3" x14ac:dyDescent="0.2">
      <c r="A171" s="41">
        <f t="shared" si="2"/>
        <v>161</v>
      </c>
      <c r="B171" s="41">
        <v>7229.6605437775243</v>
      </c>
      <c r="C171" s="41">
        <f>($F$22+B171)*$F$23/Main!$K$3</f>
        <v>300.57206220669423</v>
      </c>
    </row>
    <row r="172" spans="1:3" x14ac:dyDescent="0.2">
      <c r="A172" s="41">
        <f t="shared" si="2"/>
        <v>162</v>
      </c>
      <c r="B172" s="41">
        <v>11604.389022773208</v>
      </c>
      <c r="C172" s="41">
        <f>($F$22+B172)*$F$23/Main!$K$3</f>
        <v>338.51124219506119</v>
      </c>
    </row>
    <row r="173" spans="1:3" x14ac:dyDescent="0.2">
      <c r="A173" s="41">
        <f t="shared" si="2"/>
        <v>163</v>
      </c>
      <c r="B173" s="41">
        <v>16294.719763254045</v>
      </c>
      <c r="C173" s="41">
        <f>($F$22+B173)*$F$23/Main!$K$3</f>
        <v>379.18743570568677</v>
      </c>
    </row>
    <row r="174" spans="1:3" x14ac:dyDescent="0.2">
      <c r="A174" s="41">
        <f t="shared" si="2"/>
        <v>164</v>
      </c>
      <c r="B174" s="41">
        <v>9369.1734079994003</v>
      </c>
      <c r="C174" s="41">
        <f>($F$22+B174)*$F$23/Main!$K$3</f>
        <v>319.12666828861842</v>
      </c>
    </row>
    <row r="175" spans="1:3" x14ac:dyDescent="0.2">
      <c r="A175" s="41">
        <f t="shared" si="2"/>
        <v>165</v>
      </c>
      <c r="B175" s="41">
        <v>7305.3685060700227</v>
      </c>
      <c r="C175" s="41">
        <f>($F$22+B175)*$F$23/Main!$K$3</f>
        <v>301.2286282134209</v>
      </c>
    </row>
    <row r="176" spans="1:3" x14ac:dyDescent="0.2">
      <c r="A176" s="41">
        <f t="shared" si="2"/>
        <v>166</v>
      </c>
      <c r="B176" s="41">
        <v>5580.2187736344531</v>
      </c>
      <c r="C176" s="41">
        <f>($F$22+B176)*$F$23/Main!$K$3</f>
        <v>286.26752456550219</v>
      </c>
    </row>
    <row r="177" spans="1:3" x14ac:dyDescent="0.2">
      <c r="A177" s="41">
        <f t="shared" si="2"/>
        <v>167</v>
      </c>
      <c r="B177" s="41">
        <v>10968.239309534718</v>
      </c>
      <c r="C177" s="41">
        <f>($F$22+B177)*$F$23/Main!$K$3</f>
        <v>332.99432872580661</v>
      </c>
    </row>
    <row r="178" spans="1:3" x14ac:dyDescent="0.2">
      <c r="A178" s="41">
        <f t="shared" si="2"/>
        <v>168</v>
      </c>
      <c r="B178" s="41">
        <v>3272.3409816106719</v>
      </c>
      <c r="C178" s="41">
        <f>($F$22+B178)*$F$23/Main!$K$3</f>
        <v>266.25279876865773</v>
      </c>
    </row>
    <row r="179" spans="1:3" x14ac:dyDescent="0.2">
      <c r="A179" s="41">
        <f t="shared" si="2"/>
        <v>169</v>
      </c>
      <c r="B179" s="41">
        <v>5821.6561980915858</v>
      </c>
      <c r="C179" s="41">
        <f>($F$22+B179)*$F$23/Main!$K$3</f>
        <v>288.36135460464322</v>
      </c>
    </row>
    <row r="180" spans="1:3" x14ac:dyDescent="0.2">
      <c r="A180" s="41">
        <f t="shared" si="2"/>
        <v>170</v>
      </c>
      <c r="B180" s="41">
        <v>5350.1701790129136</v>
      </c>
      <c r="C180" s="41">
        <f>($F$22+B180)*$F$23/Main!$K$3</f>
        <v>284.27246245380263</v>
      </c>
    </row>
    <row r="181" spans="1:3" x14ac:dyDescent="0.2">
      <c r="A181" s="41">
        <f t="shared" si="2"/>
        <v>171</v>
      </c>
      <c r="B181" s="41">
        <v>3126.3868297329191</v>
      </c>
      <c r="C181" s="41">
        <f>($F$22+B181)*$F$23/Main!$K$3</f>
        <v>264.98703316406625</v>
      </c>
    </row>
    <row r="182" spans="1:3" x14ac:dyDescent="0.2">
      <c r="A182" s="41">
        <f t="shared" si="2"/>
        <v>172</v>
      </c>
      <c r="B182" s="41">
        <v>3657.9254482379479</v>
      </c>
      <c r="C182" s="41">
        <f>($F$22+B182)*$F$23/Main!$K$3</f>
        <v>269.59672252308673</v>
      </c>
    </row>
    <row r="183" spans="1:3" x14ac:dyDescent="0.2">
      <c r="A183" s="41">
        <f t="shared" si="2"/>
        <v>173</v>
      </c>
      <c r="B183" s="41">
        <v>4123.7766363839</v>
      </c>
      <c r="C183" s="41">
        <f>($F$22+B183)*$F$23/Main!$K$3</f>
        <v>273.63674744342677</v>
      </c>
    </row>
    <row r="184" spans="1:3" x14ac:dyDescent="0.2">
      <c r="A184" s="41">
        <f t="shared" si="2"/>
        <v>174</v>
      </c>
      <c r="B184" s="41">
        <v>5399.6982680166902</v>
      </c>
      <c r="C184" s="41">
        <f>($F$22+B184)*$F$23/Main!$K$3</f>
        <v>284.7019874156868</v>
      </c>
    </row>
    <row r="185" spans="1:3" x14ac:dyDescent="0.2">
      <c r="A185" s="41">
        <f t="shared" si="2"/>
        <v>175</v>
      </c>
      <c r="B185" s="41">
        <v>5458.4691212565904</v>
      </c>
      <c r="C185" s="41">
        <f>($F$22+B185)*$F$23/Main!$K$3</f>
        <v>285.2116688713117</v>
      </c>
    </row>
    <row r="186" spans="1:3" x14ac:dyDescent="0.2">
      <c r="A186" s="41">
        <f t="shared" si="2"/>
        <v>176</v>
      </c>
      <c r="B186" s="41">
        <v>10960.170966770378</v>
      </c>
      <c r="C186" s="41">
        <f>($F$22+B186)*$F$23/Main!$K$3</f>
        <v>332.92435722704636</v>
      </c>
    </row>
    <row r="187" spans="1:3" x14ac:dyDescent="0.2">
      <c r="A187" s="41">
        <f t="shared" si="2"/>
        <v>177</v>
      </c>
      <c r="B187" s="41">
        <v>12462.33400790389</v>
      </c>
      <c r="C187" s="41">
        <f>($F$22+B187)*$F$23/Main!$K$3</f>
        <v>345.95164206610929</v>
      </c>
    </row>
    <row r="188" spans="1:3" x14ac:dyDescent="0.2">
      <c r="A188" s="41">
        <f t="shared" si="2"/>
        <v>178</v>
      </c>
      <c r="B188" s="41">
        <v>3859.0160548126778</v>
      </c>
      <c r="C188" s="41">
        <f>($F$22+B188)*$F$23/Main!$K$3</f>
        <v>271.34065080422204</v>
      </c>
    </row>
    <row r="189" spans="1:3" x14ac:dyDescent="0.2">
      <c r="A189" s="41">
        <f t="shared" si="2"/>
        <v>179</v>
      </c>
      <c r="B189" s="41">
        <v>4054.9072645783335</v>
      </c>
      <c r="C189" s="41">
        <f>($F$22+B189)*$F$23/Main!$K$3</f>
        <v>273.03948809232367</v>
      </c>
    </row>
    <row r="190" spans="1:3" x14ac:dyDescent="0.2">
      <c r="A190" s="41">
        <f t="shared" si="2"/>
        <v>180</v>
      </c>
      <c r="B190" s="41">
        <v>7617.9024571206764</v>
      </c>
      <c r="C190" s="41">
        <f>($F$22+B190)*$F$23/Main!$K$3</f>
        <v>303.93903227125361</v>
      </c>
    </row>
    <row r="191" spans="1:3" x14ac:dyDescent="0.2">
      <c r="A191" s="41">
        <f t="shared" si="2"/>
        <v>181</v>
      </c>
      <c r="B191" s="41">
        <v>1993.4176483257897</v>
      </c>
      <c r="C191" s="41">
        <f>($F$22+B191)*$F$23/Main!$K$3</f>
        <v>255.1615269866987</v>
      </c>
    </row>
    <row r="192" spans="1:3" x14ac:dyDescent="0.2">
      <c r="A192" s="41">
        <f t="shared" si="2"/>
        <v>182</v>
      </c>
      <c r="B192" s="41">
        <v>15091.34029199738</v>
      </c>
      <c r="C192" s="41">
        <f>($F$22+B192)*$F$23/Main!$K$3</f>
        <v>368.75130679539751</v>
      </c>
    </row>
    <row r="193" spans="1:3" x14ac:dyDescent="0.2">
      <c r="A193" s="41">
        <f t="shared" si="2"/>
        <v>183</v>
      </c>
      <c r="B193" s="41">
        <v>5152.3116534244764</v>
      </c>
      <c r="C193" s="41">
        <f>($F$22+B193)*$F$23/Main!$K$3</f>
        <v>282.55656391276773</v>
      </c>
    </row>
    <row r="194" spans="1:3" x14ac:dyDescent="0.2">
      <c r="A194" s="41">
        <f t="shared" si="2"/>
        <v>184</v>
      </c>
      <c r="B194" s="41">
        <v>5574.9875310277685</v>
      </c>
      <c r="C194" s="41">
        <f>($F$22+B194)*$F$23/Main!$K$3</f>
        <v>286.22215739454049</v>
      </c>
    </row>
    <row r="195" spans="1:3" x14ac:dyDescent="0.2">
      <c r="A195" s="41">
        <f t="shared" si="2"/>
        <v>185</v>
      </c>
      <c r="B195" s="41">
        <v>4394.2561221988399</v>
      </c>
      <c r="C195" s="41">
        <f>($F$22+B195)*$F$23/Main!$K$3</f>
        <v>275.98244042637731</v>
      </c>
    </row>
    <row r="196" spans="1:3" x14ac:dyDescent="0.2">
      <c r="A196" s="41">
        <f t="shared" si="2"/>
        <v>186</v>
      </c>
      <c r="B196" s="41">
        <v>7907.9692925839272</v>
      </c>
      <c r="C196" s="41">
        <f>($F$22+B196)*$F$23/Main!$K$3</f>
        <v>306.4545936214343</v>
      </c>
    </row>
    <row r="197" spans="1:3" x14ac:dyDescent="0.2">
      <c r="A197" s="41">
        <f t="shared" si="2"/>
        <v>187</v>
      </c>
      <c r="B197" s="41">
        <v>9472.9792128687041</v>
      </c>
      <c r="C197" s="41">
        <f>($F$22+B197)*$F$23/Main!$K$3</f>
        <v>320.02690864266162</v>
      </c>
    </row>
    <row r="198" spans="1:3" x14ac:dyDescent="0.2">
      <c r="A198" s="41">
        <f t="shared" si="2"/>
        <v>188</v>
      </c>
      <c r="B198" s="41">
        <v>12242.036796061566</v>
      </c>
      <c r="C198" s="41">
        <f>($F$22+B198)*$F$23/Main!$K$3</f>
        <v>344.04114736657533</v>
      </c>
    </row>
    <row r="199" spans="1:3" x14ac:dyDescent="0.2">
      <c r="A199" s="41">
        <f t="shared" si="2"/>
        <v>189</v>
      </c>
      <c r="B199" s="41">
        <v>9649.7609692722872</v>
      </c>
      <c r="C199" s="41">
        <f>($F$22+B199)*$F$23/Main!$K$3</f>
        <v>321.56002204776939</v>
      </c>
    </row>
    <row r="200" spans="1:3" x14ac:dyDescent="0.2">
      <c r="A200" s="41">
        <f t="shared" si="2"/>
        <v>190</v>
      </c>
      <c r="B200" s="41">
        <v>4723.9711851315951</v>
      </c>
      <c r="C200" s="41">
        <f>($F$22+B200)*$F$23/Main!$K$3</f>
        <v>278.8418451134433</v>
      </c>
    </row>
    <row r="201" spans="1:3" x14ac:dyDescent="0.2">
      <c r="A201" s="41">
        <f t="shared" si="2"/>
        <v>191</v>
      </c>
      <c r="B201" s="41">
        <v>17301.211790140802</v>
      </c>
      <c r="C201" s="41">
        <f>($F$22+B201)*$F$23/Main!$K$3</f>
        <v>387.91608763191545</v>
      </c>
    </row>
    <row r="202" spans="1:3" x14ac:dyDescent="0.2">
      <c r="A202" s="41">
        <f t="shared" si="2"/>
        <v>192</v>
      </c>
      <c r="B202" s="41">
        <v>6976.3435818856342</v>
      </c>
      <c r="C202" s="41">
        <f>($F$22+B202)*$F$23/Main!$K$3</f>
        <v>298.37520865167568</v>
      </c>
    </row>
    <row r="203" spans="1:3" x14ac:dyDescent="0.2">
      <c r="A203" s="41">
        <f t="shared" si="2"/>
        <v>193</v>
      </c>
      <c r="B203" s="41">
        <v>11094.65916397888</v>
      </c>
      <c r="C203" s="41">
        <f>($F$22+B203)*$F$23/Main!$K$3</f>
        <v>334.09068605058422</v>
      </c>
    </row>
    <row r="204" spans="1:3" x14ac:dyDescent="0.2">
      <c r="A204" s="41">
        <f t="shared" si="2"/>
        <v>194</v>
      </c>
      <c r="B204" s="41">
        <v>18063.260244600326</v>
      </c>
      <c r="C204" s="41">
        <f>($F$22+B204)*$F$23/Main!$K$3</f>
        <v>394.5248391492745</v>
      </c>
    </row>
    <row r="205" spans="1:3" x14ac:dyDescent="0.2">
      <c r="A205" s="41">
        <f t="shared" ref="A205:A211" si="3">A204+1</f>
        <v>195</v>
      </c>
      <c r="B205" s="41">
        <v>7373.323520488042</v>
      </c>
      <c r="C205" s="41">
        <f>($F$22+B205)*$F$23/Main!$K$3</f>
        <v>301.8179579365102</v>
      </c>
    </row>
    <row r="206" spans="1:3" x14ac:dyDescent="0.2">
      <c r="A206" s="41">
        <f t="shared" si="3"/>
        <v>196</v>
      </c>
      <c r="B206" s="41">
        <v>5903.2433279542847</v>
      </c>
      <c r="C206" s="41">
        <f>($F$22+B206)*$F$23/Main!$K$3</f>
        <v>289.06890681490194</v>
      </c>
    </row>
    <row r="207" spans="1:3" x14ac:dyDescent="0.2">
      <c r="A207" s="41">
        <f t="shared" si="3"/>
        <v>197</v>
      </c>
      <c r="B207" s="41">
        <v>11534.054491851935</v>
      </c>
      <c r="C207" s="41">
        <f>($F$22+B207)*$F$23/Main!$K$3</f>
        <v>337.90127647014106</v>
      </c>
    </row>
    <row r="208" spans="1:3" x14ac:dyDescent="0.2">
      <c r="A208" s="41">
        <f t="shared" si="3"/>
        <v>198</v>
      </c>
      <c r="B208" s="41">
        <v>6280.7379565092779</v>
      </c>
      <c r="C208" s="41">
        <f>($F$22+B208)*$F$23/Main!$K$3</f>
        <v>292.34267265571992</v>
      </c>
    </row>
    <row r="209" spans="1:3" x14ac:dyDescent="0.2">
      <c r="A209" s="41">
        <f t="shared" si="3"/>
        <v>199</v>
      </c>
      <c r="B209" s="41">
        <v>7043.4147091345385</v>
      </c>
      <c r="C209" s="41">
        <f>($F$22+B209)*$F$23/Main!$K$3</f>
        <v>298.95687299517408</v>
      </c>
    </row>
    <row r="210" spans="1:3" x14ac:dyDescent="0.2">
      <c r="A210" s="41">
        <f t="shared" si="3"/>
        <v>200</v>
      </c>
      <c r="B210" s="41">
        <v>11829.749886554471</v>
      </c>
      <c r="C210" s="41">
        <f>($F$22+B210)*$F$23/Main!$K$3</f>
        <v>340.46565066049675</v>
      </c>
    </row>
    <row r="211" spans="1:3" x14ac:dyDescent="0.2">
      <c r="A211" s="41">
        <f t="shared" si="3"/>
        <v>201</v>
      </c>
      <c r="B211" s="41">
        <v>21173.912229413418</v>
      </c>
      <c r="C211" s="41">
        <f>($F$22+B211)*$F$23/Main!$K$3</f>
        <v>421.50150435252561</v>
      </c>
    </row>
    <row r="212" spans="1:3" x14ac:dyDescent="0.2">
      <c r="A212" s="41">
        <f t="shared" ref="A212:A275" si="4">A211+1</f>
        <v>202</v>
      </c>
      <c r="B212" s="41">
        <v>5191.9474687156735</v>
      </c>
      <c r="C212" s="41">
        <f>($F$22+B212)*$F$23/Main!$K$3</f>
        <v>282.90029960688867</v>
      </c>
    </row>
    <row r="213" spans="1:3" x14ac:dyDescent="0.2">
      <c r="A213" s="41">
        <f t="shared" si="4"/>
        <v>203</v>
      </c>
      <c r="B213" s="41">
        <v>11036.534436558506</v>
      </c>
      <c r="C213" s="41">
        <f>($F$22+B213)*$F$23/Main!$K$3</f>
        <v>333.58660802472173</v>
      </c>
    </row>
    <row r="214" spans="1:3" x14ac:dyDescent="0.2">
      <c r="A214" s="41">
        <f t="shared" si="4"/>
        <v>204</v>
      </c>
      <c r="B214" s="41">
        <v>11006.890210594906</v>
      </c>
      <c r="C214" s="41">
        <f>($F$22+B214)*$F$23/Main!$K$3</f>
        <v>333.32952289821651</v>
      </c>
    </row>
    <row r="215" spans="1:3" x14ac:dyDescent="0.2">
      <c r="A215" s="41">
        <f t="shared" si="4"/>
        <v>205</v>
      </c>
      <c r="B215" s="41">
        <v>1086.7194536073619</v>
      </c>
      <c r="C215" s="41">
        <f>($F$22+B215)*$F$23/Main!$K$3</f>
        <v>247.2983221798836</v>
      </c>
    </row>
    <row r="216" spans="1:3" x14ac:dyDescent="0.2">
      <c r="A216" s="41">
        <f t="shared" si="4"/>
        <v>206</v>
      </c>
      <c r="B216" s="41">
        <v>2148.80722063649</v>
      </c>
      <c r="C216" s="41">
        <f>($F$22+B216)*$F$23/Main!$K$3</f>
        <v>256.50911986715198</v>
      </c>
    </row>
    <row r="217" spans="1:3" x14ac:dyDescent="0.2">
      <c r="A217" s="41">
        <f t="shared" si="4"/>
        <v>207</v>
      </c>
      <c r="B217" s="41">
        <v>11101.654341059011</v>
      </c>
      <c r="C217" s="41">
        <f>($F$22+B217)*$F$23/Main!$K$3</f>
        <v>334.15135068007322</v>
      </c>
    </row>
    <row r="218" spans="1:3" x14ac:dyDescent="0.2">
      <c r="A218" s="41">
        <f t="shared" si="4"/>
        <v>208</v>
      </c>
      <c r="B218" s="41">
        <v>9577.185491569744</v>
      </c>
      <c r="C218" s="41">
        <f>($F$22+B218)*$F$23/Main!$K$3</f>
        <v>320.93062204625653</v>
      </c>
    </row>
    <row r="219" spans="1:3" x14ac:dyDescent="0.2">
      <c r="A219" s="41">
        <f t="shared" si="4"/>
        <v>209</v>
      </c>
      <c r="B219" s="41">
        <v>5133.9017006394706</v>
      </c>
      <c r="C219" s="41">
        <f>($F$22+B219)*$F$23/Main!$K$3</f>
        <v>282.39690634415717</v>
      </c>
    </row>
    <row r="220" spans="1:3" x14ac:dyDescent="0.2">
      <c r="A220" s="41">
        <f t="shared" si="4"/>
        <v>210</v>
      </c>
      <c r="B220" s="41">
        <v>5091.3991517776922</v>
      </c>
      <c r="C220" s="41">
        <f>($F$22+B220)*$F$23/Main!$K$3</f>
        <v>282.02830933088575</v>
      </c>
    </row>
    <row r="221" spans="1:3" x14ac:dyDescent="0.2">
      <c r="A221" s="41">
        <f t="shared" si="4"/>
        <v>211</v>
      </c>
      <c r="B221" s="41">
        <v>11899.389380166234</v>
      </c>
      <c r="C221" s="41">
        <f>($F$22+B221)*$F$23/Main!$K$3</f>
        <v>341.06958877805556</v>
      </c>
    </row>
    <row r="222" spans="1:3" x14ac:dyDescent="0.2">
      <c r="A222" s="41">
        <f t="shared" si="4"/>
        <v>212</v>
      </c>
      <c r="B222" s="41">
        <v>14406.100703919805</v>
      </c>
      <c r="C222" s="41">
        <f>($F$22+B222)*$F$23/Main!$K$3</f>
        <v>362.8086687112168</v>
      </c>
    </row>
    <row r="223" spans="1:3" x14ac:dyDescent="0.2">
      <c r="A223" s="41">
        <f t="shared" si="4"/>
        <v>213</v>
      </c>
      <c r="B223" s="41">
        <v>5182.3237240424914</v>
      </c>
      <c r="C223" s="41">
        <f>($F$22+B223)*$F$23/Main!$K$3</f>
        <v>282.81683911715294</v>
      </c>
    </row>
    <row r="224" spans="1:3" x14ac:dyDescent="0.2">
      <c r="A224" s="41">
        <f t="shared" si="4"/>
        <v>214</v>
      </c>
      <c r="B224" s="41">
        <v>5294.4983150319376</v>
      </c>
      <c r="C224" s="41">
        <f>($F$22+B224)*$F$23/Main!$K$3</f>
        <v>283.78965652013079</v>
      </c>
    </row>
    <row r="225" spans="1:3" x14ac:dyDescent="0.2">
      <c r="A225" s="41">
        <f t="shared" si="4"/>
        <v>215</v>
      </c>
      <c r="B225" s="41">
        <v>10487.468095250109</v>
      </c>
      <c r="C225" s="41">
        <f>($F$22+B225)*$F$23/Main!$K$3</f>
        <v>328.82491210497045</v>
      </c>
    </row>
    <row r="226" spans="1:3" x14ac:dyDescent="0.2">
      <c r="A226" s="41">
        <f t="shared" si="4"/>
        <v>216</v>
      </c>
      <c r="B226" s="41">
        <v>13119.683776674754</v>
      </c>
      <c r="C226" s="41">
        <f>($F$22+B226)*$F$23/Main!$K$3</f>
        <v>351.65240985374453</v>
      </c>
    </row>
    <row r="227" spans="1:3" x14ac:dyDescent="0.2">
      <c r="A227" s="41">
        <f t="shared" si="4"/>
        <v>217</v>
      </c>
      <c r="B227" s="41">
        <v>1498.4748809349524</v>
      </c>
      <c r="C227" s="41">
        <f>($F$22+B227)*$F$23/Main!$K$3</f>
        <v>250.86920968606194</v>
      </c>
    </row>
    <row r="228" spans="1:3" x14ac:dyDescent="0.2">
      <c r="A228" s="41">
        <f t="shared" si="4"/>
        <v>218</v>
      </c>
      <c r="B228" s="41">
        <v>9617.1367552390002</v>
      </c>
      <c r="C228" s="41">
        <f>($F$22+B228)*$F$23/Main!$K$3</f>
        <v>321.27709341936867</v>
      </c>
    </row>
    <row r="229" spans="1:3" x14ac:dyDescent="0.2">
      <c r="A229" s="41">
        <f t="shared" si="4"/>
        <v>219</v>
      </c>
      <c r="B229" s="41">
        <v>7834.7065079285148</v>
      </c>
      <c r="C229" s="41">
        <f>($F$22+B229)*$F$23/Main!$K$3</f>
        <v>305.81923305292452</v>
      </c>
    </row>
    <row r="230" spans="1:3" x14ac:dyDescent="0.2">
      <c r="A230" s="41">
        <f t="shared" si="4"/>
        <v>220</v>
      </c>
      <c r="B230" s="41">
        <v>14700.743296620964</v>
      </c>
      <c r="C230" s="41">
        <f>($F$22+B230)*$F$23/Main!$K$3</f>
        <v>365.36391263330239</v>
      </c>
    </row>
    <row r="231" spans="1:3" x14ac:dyDescent="0.2">
      <c r="A231" s="41">
        <f t="shared" si="4"/>
        <v>221</v>
      </c>
      <c r="B231" s="41">
        <v>5843.8590070520522</v>
      </c>
      <c r="C231" s="41">
        <f>($F$22+B231)*$F$23/Main!$K$3</f>
        <v>288.55390515250991</v>
      </c>
    </row>
    <row r="232" spans="1:3" x14ac:dyDescent="0.2">
      <c r="A232" s="41">
        <f t="shared" si="4"/>
        <v>222</v>
      </c>
      <c r="B232" s="41">
        <v>2739.977841843554</v>
      </c>
      <c r="C232" s="41">
        <f>($F$22+B232)*$F$23/Main!$K$3</f>
        <v>261.63595887201717</v>
      </c>
    </row>
    <row r="233" spans="1:3" x14ac:dyDescent="0.2">
      <c r="A233" s="41">
        <f t="shared" si="4"/>
        <v>223</v>
      </c>
      <c r="B233" s="41">
        <v>7424.4910585180824</v>
      </c>
      <c r="C233" s="41">
        <f>($F$22+B233)*$F$23/Main!$K$3</f>
        <v>302.26170077545521</v>
      </c>
    </row>
    <row r="234" spans="1:3" x14ac:dyDescent="0.2">
      <c r="A234" s="41">
        <f t="shared" si="4"/>
        <v>224</v>
      </c>
      <c r="B234" s="41">
        <v>8882.1182378725607</v>
      </c>
      <c r="C234" s="41">
        <f>($F$22+B234)*$F$23/Main!$K$3</f>
        <v>314.90275499835889</v>
      </c>
    </row>
    <row r="235" spans="1:3" x14ac:dyDescent="0.2">
      <c r="A235" s="41">
        <f t="shared" si="4"/>
        <v>225</v>
      </c>
      <c r="B235" s="41">
        <v>23630.923143181066</v>
      </c>
      <c r="C235" s="41">
        <f>($F$22+B235)*$F$23/Main!$K$3</f>
        <v>442.80956489579683</v>
      </c>
    </row>
    <row r="236" spans="1:3" x14ac:dyDescent="0.2">
      <c r="A236" s="41">
        <f t="shared" si="4"/>
        <v>226</v>
      </c>
      <c r="B236" s="41">
        <v>4698.5486790664499</v>
      </c>
      <c r="C236" s="41">
        <f>($F$22+B236)*$F$23/Main!$K$3</f>
        <v>278.62137222284184</v>
      </c>
    </row>
    <row r="237" spans="1:3" x14ac:dyDescent="0.2">
      <c r="A237" s="41">
        <f t="shared" si="4"/>
        <v>227</v>
      </c>
      <c r="B237" s="41">
        <v>2535.8996363965739</v>
      </c>
      <c r="C237" s="41">
        <f>($F$22+B237)*$F$23/Main!$K$3</f>
        <v>259.86612108543682</v>
      </c>
    </row>
    <row r="238" spans="1:3" x14ac:dyDescent="0.2">
      <c r="A238" s="41">
        <f t="shared" si="4"/>
        <v>228</v>
      </c>
      <c r="B238" s="41">
        <v>13615.380508913287</v>
      </c>
      <c r="C238" s="41">
        <f>($F$22+B238)*$F$23/Main!$K$3</f>
        <v>355.95126580202509</v>
      </c>
    </row>
    <row r="239" spans="1:3" x14ac:dyDescent="0.2">
      <c r="A239" s="41">
        <f t="shared" si="4"/>
        <v>229</v>
      </c>
      <c r="B239" s="41">
        <v>19153.289347339658</v>
      </c>
      <c r="C239" s="41">
        <f>($F$22+B239)*$F$23/Main!$K$3</f>
        <v>403.9779539014109</v>
      </c>
    </row>
    <row r="240" spans="1:3" x14ac:dyDescent="0.2">
      <c r="A240" s="41">
        <f t="shared" si="4"/>
        <v>230</v>
      </c>
      <c r="B240" s="41">
        <v>11954.131553620879</v>
      </c>
      <c r="C240" s="41">
        <f>($F$22+B240)*$F$23/Main!$K$3</f>
        <v>341.54433210935525</v>
      </c>
    </row>
    <row r="241" spans="1:3" x14ac:dyDescent="0.2">
      <c r="A241" s="41">
        <f t="shared" si="4"/>
        <v>231</v>
      </c>
      <c r="B241" s="41">
        <v>15462.767630253948</v>
      </c>
      <c r="C241" s="41">
        <f>($F$22+B241)*$F$23/Main!$K$3</f>
        <v>371.97245496639232</v>
      </c>
    </row>
    <row r="242" spans="1:3" x14ac:dyDescent="0.2">
      <c r="A242" s="41">
        <f t="shared" si="4"/>
        <v>232</v>
      </c>
      <c r="B242" s="41">
        <v>13559.42920025238</v>
      </c>
      <c r="C242" s="41">
        <f>($F$22+B242)*$F$23/Main!$K$3</f>
        <v>355.46603642606203</v>
      </c>
    </row>
    <row r="243" spans="1:3" x14ac:dyDescent="0.2">
      <c r="A243" s="41">
        <f t="shared" si="4"/>
        <v>233</v>
      </c>
      <c r="B243" s="41">
        <v>3132.9985765753518</v>
      </c>
      <c r="C243" s="41">
        <f>($F$22+B243)*$F$23/Main!$K$3</f>
        <v>265.04437255202987</v>
      </c>
    </row>
    <row r="244" spans="1:3" x14ac:dyDescent="0.2">
      <c r="A244" s="41">
        <f t="shared" si="4"/>
        <v>234</v>
      </c>
      <c r="B244" s="41">
        <v>2972.7601057065344</v>
      </c>
      <c r="C244" s="41">
        <f>($F$22+B244)*$F$23/Main!$K$3</f>
        <v>263.65472832232706</v>
      </c>
    </row>
    <row r="245" spans="1:3" x14ac:dyDescent="0.2">
      <c r="A245" s="41">
        <f t="shared" si="4"/>
        <v>235</v>
      </c>
      <c r="B245" s="41">
        <v>3548.5741102632751</v>
      </c>
      <c r="C245" s="41">
        <f>($F$22+B245)*$F$23/Main!$K$3</f>
        <v>268.64838936062671</v>
      </c>
    </row>
    <row r="246" spans="1:3" x14ac:dyDescent="0.2">
      <c r="A246" s="41">
        <f t="shared" si="4"/>
        <v>236</v>
      </c>
      <c r="B246" s="41">
        <v>16127.491793363986</v>
      </c>
      <c r="C246" s="41">
        <f>($F$22+B246)*$F$23/Main!$K$3</f>
        <v>377.73717608861341</v>
      </c>
    </row>
    <row r="247" spans="1:3" x14ac:dyDescent="0.2">
      <c r="A247" s="41">
        <f t="shared" si="4"/>
        <v>237</v>
      </c>
      <c r="B247" s="41">
        <v>5327.8482547353333</v>
      </c>
      <c r="C247" s="41">
        <f>($F$22+B247)*$F$23/Main!$K$3</f>
        <v>284.0788788961213</v>
      </c>
    </row>
    <row r="248" spans="1:3" x14ac:dyDescent="0.2">
      <c r="A248" s="41">
        <f t="shared" si="4"/>
        <v>238</v>
      </c>
      <c r="B248" s="41">
        <v>8104.7212264945201</v>
      </c>
      <c r="C248" s="41">
        <f>($F$22+B248)*$F$23/Main!$K$3</f>
        <v>308.16089541125575</v>
      </c>
    </row>
    <row r="249" spans="1:3" x14ac:dyDescent="0.2">
      <c r="A249" s="41">
        <f t="shared" si="4"/>
        <v>239</v>
      </c>
      <c r="B249" s="41">
        <v>6629.3208681844853</v>
      </c>
      <c r="C249" s="41">
        <f>($F$22+B249)*$F$23/Main!$K$3</f>
        <v>295.36570594576557</v>
      </c>
    </row>
    <row r="250" spans="1:3" x14ac:dyDescent="0.2">
      <c r="A250" s="41">
        <f t="shared" si="4"/>
        <v>240</v>
      </c>
      <c r="B250" s="41">
        <v>11311.173760111018</v>
      </c>
      <c r="C250" s="41">
        <f>($F$22+B250)*$F$23/Main!$K$3</f>
        <v>335.9683765797692</v>
      </c>
    </row>
    <row r="251" spans="1:3" x14ac:dyDescent="0.2">
      <c r="A251" s="41">
        <f t="shared" si="4"/>
        <v>241</v>
      </c>
      <c r="B251" s="41">
        <v>6974.8905871762754</v>
      </c>
      <c r="C251" s="41">
        <f>($F$22+B251)*$F$23/Main!$K$3</f>
        <v>298.3626077718576</v>
      </c>
    </row>
    <row r="252" spans="1:3" x14ac:dyDescent="0.2">
      <c r="A252" s="41">
        <f t="shared" si="4"/>
        <v>242</v>
      </c>
      <c r="B252" s="41">
        <v>5391.6078195866357</v>
      </c>
      <c r="C252" s="41">
        <f>($F$22+B252)*$F$23/Main!$K$3</f>
        <v>284.63182420883902</v>
      </c>
    </row>
    <row r="253" spans="1:3" x14ac:dyDescent="0.2">
      <c r="A253" s="41">
        <f t="shared" si="4"/>
        <v>243</v>
      </c>
      <c r="B253" s="41">
        <v>16907.738881796351</v>
      </c>
      <c r="C253" s="41">
        <f>($F$22+B253)*$F$23/Main!$K$3</f>
        <v>384.50375254371505</v>
      </c>
    </row>
    <row r="254" spans="1:3" x14ac:dyDescent="0.2">
      <c r="A254" s="41">
        <f t="shared" si="4"/>
        <v>244</v>
      </c>
      <c r="B254" s="41">
        <v>6045.3392619298083</v>
      </c>
      <c r="C254" s="41">
        <f>($F$22+B254)*$F$23/Main!$K$3</f>
        <v>290.30121260041443</v>
      </c>
    </row>
    <row r="255" spans="1:3" x14ac:dyDescent="0.2">
      <c r="A255" s="41">
        <f t="shared" si="4"/>
        <v>245</v>
      </c>
      <c r="B255" s="41">
        <v>5292.3840369969248</v>
      </c>
      <c r="C255" s="41">
        <f>($F$22+B255)*$F$23/Main!$K$3</f>
        <v>283.77132075933997</v>
      </c>
    </row>
    <row r="256" spans="1:3" x14ac:dyDescent="0.2">
      <c r="A256" s="41">
        <f t="shared" si="4"/>
        <v>246</v>
      </c>
      <c r="B256" s="41">
        <v>12698.707040143221</v>
      </c>
      <c r="C256" s="41">
        <f>($F$22+B256)*$F$23/Main!$K$3</f>
        <v>348.00155191939064</v>
      </c>
    </row>
    <row r="257" spans="1:3" x14ac:dyDescent="0.2">
      <c r="A257" s="41">
        <f t="shared" si="4"/>
        <v>247</v>
      </c>
      <c r="B257" s="41">
        <v>12383.176335476399</v>
      </c>
      <c r="C257" s="41">
        <f>($F$22+B257)*$F$23/Main!$K$3</f>
        <v>345.26515896296218</v>
      </c>
    </row>
    <row r="258" spans="1:3" x14ac:dyDescent="0.2">
      <c r="A258" s="41">
        <f t="shared" si="4"/>
        <v>248</v>
      </c>
      <c r="B258" s="41">
        <v>8820.7412428955995</v>
      </c>
      <c r="C258" s="41">
        <f>($F$22+B258)*$F$23/Main!$K$3</f>
        <v>314.37047216737722</v>
      </c>
    </row>
    <row r="259" spans="1:3" x14ac:dyDescent="0.2">
      <c r="A259" s="41">
        <f t="shared" si="4"/>
        <v>249</v>
      </c>
      <c r="B259" s="41">
        <v>15556.893674101915</v>
      </c>
      <c r="C259" s="41">
        <f>($F$22+B259)*$F$23/Main!$K$3</f>
        <v>372.78874903727848</v>
      </c>
    </row>
    <row r="260" spans="1:3" x14ac:dyDescent="0.2">
      <c r="A260" s="41">
        <f t="shared" si="4"/>
        <v>250</v>
      </c>
      <c r="B260" s="41">
        <v>9295.0288775206827</v>
      </c>
      <c r="C260" s="41">
        <f>($F$22+B260)*$F$23/Main!$K$3</f>
        <v>318.48366091101985</v>
      </c>
    </row>
    <row r="261" spans="1:3" x14ac:dyDescent="0.2">
      <c r="A261" s="41">
        <f t="shared" si="4"/>
        <v>251</v>
      </c>
      <c r="B261" s="41">
        <v>5077.8358200752518</v>
      </c>
      <c r="C261" s="41">
        <f>($F$22+B261)*$F$23/Main!$K$3</f>
        <v>281.91068336045777</v>
      </c>
    </row>
    <row r="262" spans="1:3" x14ac:dyDescent="0.2">
      <c r="A262" s="41">
        <f t="shared" si="4"/>
        <v>252</v>
      </c>
      <c r="B262" s="41">
        <v>6550.0818792223326</v>
      </c>
      <c r="C262" s="41">
        <f>($F$22+B262)*$F$23/Main!$K$3</f>
        <v>294.67851763710473</v>
      </c>
    </row>
    <row r="263" spans="1:3" x14ac:dyDescent="0.2">
      <c r="A263" s="41">
        <f t="shared" si="4"/>
        <v>253</v>
      </c>
      <c r="B263" s="41">
        <v>11181.162433505868</v>
      </c>
      <c r="C263" s="41">
        <f>($F$22+B263)*$F$23/Main!$K$3</f>
        <v>334.84087274855273</v>
      </c>
    </row>
    <row r="264" spans="1:3" x14ac:dyDescent="0.2">
      <c r="A264" s="41">
        <f t="shared" si="4"/>
        <v>254</v>
      </c>
      <c r="B264" s="41">
        <v>14616.510052034841</v>
      </c>
      <c r="C264" s="41">
        <f>($F$22+B264)*$F$23/Main!$K$3</f>
        <v>364.63341238792702</v>
      </c>
    </row>
    <row r="265" spans="1:3" x14ac:dyDescent="0.2">
      <c r="A265" s="41">
        <f t="shared" si="4"/>
        <v>255</v>
      </c>
      <c r="B265" s="41">
        <v>3384.3950374893698</v>
      </c>
      <c r="C265" s="41">
        <f>($F$22+B265)*$F$23/Main!$K$3</f>
        <v>267.22457084887247</v>
      </c>
    </row>
    <row r="266" spans="1:3" x14ac:dyDescent="0.2">
      <c r="A266" s="41">
        <f t="shared" si="4"/>
        <v>256</v>
      </c>
      <c r="B266" s="41">
        <v>7275.1047733123032</v>
      </c>
      <c r="C266" s="41">
        <f>($F$22+B266)*$F$23/Main!$K$3</f>
        <v>300.96617050667919</v>
      </c>
    </row>
    <row r="267" spans="1:3" x14ac:dyDescent="0.2">
      <c r="A267" s="41">
        <f t="shared" si="4"/>
        <v>257</v>
      </c>
      <c r="B267" s="41">
        <v>3547.0623369578716</v>
      </c>
      <c r="C267" s="41">
        <f>($F$22+B267)*$F$23/Main!$K$3</f>
        <v>268.63527873220471</v>
      </c>
    </row>
    <row r="268" spans="1:3" x14ac:dyDescent="0.2">
      <c r="A268" s="41">
        <f t="shared" si="4"/>
        <v>258</v>
      </c>
      <c r="B268" s="41">
        <v>5990.0903999463171</v>
      </c>
      <c r="C268" s="41">
        <f>($F$22+B268)*$F$23/Main!$K$3</f>
        <v>289.82207508845045</v>
      </c>
    </row>
    <row r="269" spans="1:3" x14ac:dyDescent="0.2">
      <c r="A269" s="41">
        <f t="shared" si="4"/>
        <v>259</v>
      </c>
      <c r="B269" s="41">
        <v>9231.7144927680893</v>
      </c>
      <c r="C269" s="41">
        <f>($F$22+B269)*$F$23/Main!$K$3</f>
        <v>317.93457635628363</v>
      </c>
    </row>
    <row r="270" spans="1:3" x14ac:dyDescent="0.2">
      <c r="A270" s="41">
        <f t="shared" si="4"/>
        <v>260</v>
      </c>
      <c r="B270" s="41">
        <v>3867.3803459799578</v>
      </c>
      <c r="C270" s="41">
        <f>($F$22+B270)*$F$23/Main!$K$3</f>
        <v>271.41318887134872</v>
      </c>
    </row>
    <row r="271" spans="1:3" x14ac:dyDescent="0.2">
      <c r="A271" s="41">
        <f t="shared" si="4"/>
        <v>261</v>
      </c>
      <c r="B271" s="41">
        <v>2047.7088104566194</v>
      </c>
      <c r="C271" s="41">
        <f>($F$22+B271)*$F$23/Main!$K$3</f>
        <v>255.63235898958726</v>
      </c>
    </row>
    <row r="272" spans="1:3" x14ac:dyDescent="0.2">
      <c r="A272" s="41">
        <f t="shared" si="4"/>
        <v>262</v>
      </c>
      <c r="B272" s="41">
        <v>9949.7913933957861</v>
      </c>
      <c r="C272" s="41">
        <f>($F$22+B272)*$F$23/Main!$K$3</f>
        <v>324.16199113395618</v>
      </c>
    </row>
    <row r="273" spans="1:3" x14ac:dyDescent="0.2">
      <c r="A273" s="41">
        <f t="shared" si="4"/>
        <v>263</v>
      </c>
      <c r="B273" s="41">
        <v>1628.7884630975645</v>
      </c>
      <c r="C273" s="41">
        <f>($F$22+B273)*$F$23/Main!$K$3</f>
        <v>251.99933478350144</v>
      </c>
    </row>
    <row r="274" spans="1:3" x14ac:dyDescent="0.2">
      <c r="A274" s="41">
        <f t="shared" si="4"/>
        <v>264</v>
      </c>
      <c r="B274" s="41">
        <v>10029.269882876915</v>
      </c>
      <c r="C274" s="41">
        <f>($F$22+B274)*$F$23/Main!$K$3</f>
        <v>324.85125647513235</v>
      </c>
    </row>
    <row r="275" spans="1:3" x14ac:dyDescent="0.2">
      <c r="A275" s="41">
        <f t="shared" si="4"/>
        <v>265</v>
      </c>
      <c r="B275" s="41">
        <v>11569.902227681761</v>
      </c>
      <c r="C275" s="41">
        <f>($F$22+B275)*$F$23/Main!$K$3</f>
        <v>338.21216061034613</v>
      </c>
    </row>
    <row r="276" spans="1:3" x14ac:dyDescent="0.2">
      <c r="A276" s="41">
        <f t="shared" ref="A276:A339" si="5">A275+1</f>
        <v>266</v>
      </c>
      <c r="B276" s="41">
        <v>13158.645096286567</v>
      </c>
      <c r="C276" s="41">
        <f>($F$22+B276)*$F$23/Main!$K$3</f>
        <v>351.99029608472631</v>
      </c>
    </row>
    <row r="277" spans="1:3" x14ac:dyDescent="0.2">
      <c r="A277" s="41">
        <f t="shared" si="5"/>
        <v>267</v>
      </c>
      <c r="B277" s="41">
        <v>6231.3583158563633</v>
      </c>
      <c r="C277" s="41">
        <f>($F$22+B277)*$F$23/Main!$K$3</f>
        <v>291.91443509000891</v>
      </c>
    </row>
    <row r="278" spans="1:3" x14ac:dyDescent="0.2">
      <c r="A278" s="41">
        <f t="shared" si="5"/>
        <v>268</v>
      </c>
      <c r="B278" s="41">
        <v>10762.295093472065</v>
      </c>
      <c r="C278" s="41">
        <f>($F$22+B278)*$F$23/Main!$K$3</f>
        <v>331.20830824058601</v>
      </c>
    </row>
    <row r="279" spans="1:3" x14ac:dyDescent="0.2">
      <c r="A279" s="41">
        <f t="shared" si="5"/>
        <v>269</v>
      </c>
      <c r="B279" s="41">
        <v>17472.651274227679</v>
      </c>
      <c r="C279" s="41">
        <f>($F$22+B279)*$F$23/Main!$K$3</f>
        <v>389.40287097746784</v>
      </c>
    </row>
    <row r="280" spans="1:3" x14ac:dyDescent="0.2">
      <c r="A280" s="41">
        <f t="shared" si="5"/>
        <v>270</v>
      </c>
      <c r="B280" s="41">
        <v>3173.9217173939987</v>
      </c>
      <c r="C280" s="41">
        <f>($F$22+B280)*$F$23/Main!$K$3</f>
        <v>265.39927238470801</v>
      </c>
    </row>
    <row r="281" spans="1:3" x14ac:dyDescent="0.2">
      <c r="A281" s="41">
        <f t="shared" si="5"/>
        <v>271</v>
      </c>
      <c r="B281" s="41">
        <v>7989.8096795637257</v>
      </c>
      <c r="C281" s="41">
        <f>($F$22+B281)*$F$23/Main!$K$3</f>
        <v>307.16434216625299</v>
      </c>
    </row>
    <row r="282" spans="1:3" x14ac:dyDescent="0.2">
      <c r="A282" s="41">
        <f t="shared" si="5"/>
        <v>272</v>
      </c>
      <c r="B282" s="41">
        <v>16183.521818147494</v>
      </c>
      <c r="C282" s="41">
        <f>($F$22+B282)*$F$23/Main!$K$3</f>
        <v>378.22308811840458</v>
      </c>
    </row>
    <row r="283" spans="1:3" x14ac:dyDescent="0.2">
      <c r="A283" s="41">
        <f t="shared" si="5"/>
        <v>273</v>
      </c>
      <c r="B283" s="41">
        <v>11643.296449541835</v>
      </c>
      <c r="C283" s="41">
        <f>($F$22+B283)*$F$23/Main!$K$3</f>
        <v>338.84866104840177</v>
      </c>
    </row>
    <row r="284" spans="1:3" x14ac:dyDescent="0.2">
      <c r="A284" s="41">
        <f t="shared" si="5"/>
        <v>274</v>
      </c>
      <c r="B284" s="41">
        <v>5633.1692650038249</v>
      </c>
      <c r="C284" s="41">
        <f>($F$22+B284)*$F$23/Main!$K$3</f>
        <v>286.72672980125117</v>
      </c>
    </row>
    <row r="285" spans="1:3" x14ac:dyDescent="0.2">
      <c r="A285" s="41">
        <f t="shared" si="5"/>
        <v>275</v>
      </c>
      <c r="B285" s="41">
        <v>8752.0913685102823</v>
      </c>
      <c r="C285" s="41">
        <f>($F$22+B285)*$F$23/Main!$K$3</f>
        <v>313.77511637490045</v>
      </c>
    </row>
    <row r="286" spans="1:3" x14ac:dyDescent="0.2">
      <c r="A286" s="41">
        <f t="shared" si="5"/>
        <v>276</v>
      </c>
      <c r="B286" s="41">
        <v>2845.4185540461153</v>
      </c>
      <c r="C286" s="41">
        <f>($F$22+B286)*$F$23/Main!$K$3</f>
        <v>262.55037771596631</v>
      </c>
    </row>
    <row r="287" spans="1:3" x14ac:dyDescent="0.2">
      <c r="A287" s="41">
        <f t="shared" si="5"/>
        <v>277</v>
      </c>
      <c r="B287" s="41">
        <v>5276.9247773136831</v>
      </c>
      <c r="C287" s="41">
        <f>($F$22+B287)*$F$23/Main!$K$3</f>
        <v>283.63725263638662</v>
      </c>
    </row>
    <row r="288" spans="1:3" x14ac:dyDescent="0.2">
      <c r="A288" s="41">
        <f t="shared" si="5"/>
        <v>278</v>
      </c>
      <c r="B288" s="41">
        <v>6039.5972470921779</v>
      </c>
      <c r="C288" s="41">
        <f>($F$22+B288)*$F$23/Main!$K$3</f>
        <v>290.25141583349125</v>
      </c>
    </row>
    <row r="289" spans="1:3" x14ac:dyDescent="0.2">
      <c r="A289" s="41">
        <f t="shared" si="5"/>
        <v>279</v>
      </c>
      <c r="B289" s="41">
        <v>2087.7275112291704</v>
      </c>
      <c r="C289" s="41">
        <f>($F$22+B289)*$F$23/Main!$K$3</f>
        <v>255.97941520091561</v>
      </c>
    </row>
    <row r="290" spans="1:3" x14ac:dyDescent="0.2">
      <c r="A290" s="41">
        <f t="shared" si="5"/>
        <v>280</v>
      </c>
      <c r="B290" s="41">
        <v>12830.600371063781</v>
      </c>
      <c r="C290" s="41">
        <f>($F$22+B290)*$F$23/Main!$K$3</f>
        <v>349.14537715222184</v>
      </c>
    </row>
    <row r="291" spans="1:3" x14ac:dyDescent="0.2">
      <c r="A291" s="41">
        <f t="shared" si="5"/>
        <v>281</v>
      </c>
      <c r="B291" s="41">
        <v>5471.7678647095627</v>
      </c>
      <c r="C291" s="41">
        <f>($F$22+B291)*$F$23/Main!$K$3</f>
        <v>285.32700023962491</v>
      </c>
    </row>
    <row r="292" spans="1:3" x14ac:dyDescent="0.2">
      <c r="A292" s="41">
        <f t="shared" si="5"/>
        <v>282</v>
      </c>
      <c r="B292" s="41">
        <v>4928.1059434835024</v>
      </c>
      <c r="C292" s="41">
        <f>($F$22+B292)*$F$23/Main!$K$3</f>
        <v>280.61217334665355</v>
      </c>
    </row>
    <row r="293" spans="1:3" x14ac:dyDescent="0.2">
      <c r="A293" s="41">
        <f t="shared" si="5"/>
        <v>283</v>
      </c>
      <c r="B293" s="41">
        <v>10682.333363578182</v>
      </c>
      <c r="C293" s="41">
        <f>($F$22+B293)*$F$23/Main!$K$3</f>
        <v>330.51485206903374</v>
      </c>
    </row>
    <row r="294" spans="1:3" x14ac:dyDescent="0.2">
      <c r="A294" s="41">
        <f t="shared" si="5"/>
        <v>284</v>
      </c>
      <c r="B294" s="41">
        <v>11151.913255675823</v>
      </c>
      <c r="C294" s="41">
        <f>($F$22+B294)*$F$23/Main!$K$3</f>
        <v>334.58721361804123</v>
      </c>
    </row>
    <row r="295" spans="1:3" x14ac:dyDescent="0.2">
      <c r="A295" s="41">
        <f t="shared" si="5"/>
        <v>285</v>
      </c>
      <c r="B295" s="41">
        <v>7573.0734157003844</v>
      </c>
      <c r="C295" s="41">
        <f>($F$22+B295)*$F$23/Main!$K$3</f>
        <v>303.55025909840037</v>
      </c>
    </row>
    <row r="296" spans="1:3" x14ac:dyDescent="0.2">
      <c r="A296" s="41">
        <f t="shared" si="5"/>
        <v>286</v>
      </c>
      <c r="B296" s="41">
        <v>6571.002475548672</v>
      </c>
      <c r="C296" s="41">
        <f>($F$22+B296)*$F$23/Main!$K$3</f>
        <v>294.85994838721871</v>
      </c>
    </row>
    <row r="297" spans="1:3" x14ac:dyDescent="0.2">
      <c r="A297" s="41">
        <f t="shared" si="5"/>
        <v>287</v>
      </c>
      <c r="B297" s="41">
        <v>7562.6214823879945</v>
      </c>
      <c r="C297" s="41">
        <f>($F$22+B297)*$F$23/Main!$K$3</f>
        <v>303.45961626626371</v>
      </c>
    </row>
    <row r="298" spans="1:3" x14ac:dyDescent="0.2">
      <c r="A298" s="41">
        <f t="shared" si="5"/>
        <v>288</v>
      </c>
      <c r="B298" s="41">
        <v>10757.017795123238</v>
      </c>
      <c r="C298" s="41">
        <f>($F$22+B298)*$F$23/Main!$K$3</f>
        <v>331.16254165807243</v>
      </c>
    </row>
    <row r="299" spans="1:3" x14ac:dyDescent="0.2">
      <c r="A299" s="41">
        <f t="shared" si="5"/>
        <v>289</v>
      </c>
      <c r="B299" s="41">
        <v>7224.2831615732057</v>
      </c>
      <c r="C299" s="41">
        <f>($F$22+B299)*$F$23/Main!$K$3</f>
        <v>300.52542766187725</v>
      </c>
    </row>
    <row r="300" spans="1:3" x14ac:dyDescent="0.2">
      <c r="A300" s="41">
        <f t="shared" si="5"/>
        <v>290</v>
      </c>
      <c r="B300" s="41">
        <v>8269.28099497109</v>
      </c>
      <c r="C300" s="41">
        <f>($F$22+B300)*$F$23/Main!$K$3</f>
        <v>309.58801544968844</v>
      </c>
    </row>
    <row r="301" spans="1:3" x14ac:dyDescent="0.2">
      <c r="A301" s="41">
        <f t="shared" si="5"/>
        <v>291</v>
      </c>
      <c r="B301" s="41">
        <v>12322.572243803483</v>
      </c>
      <c r="C301" s="41">
        <f>($F$22+B301)*$F$23/Main!$K$3</f>
        <v>344.73957902056128</v>
      </c>
    </row>
    <row r="302" spans="1:3" x14ac:dyDescent="0.2">
      <c r="A302" s="41">
        <f t="shared" si="5"/>
        <v>292</v>
      </c>
      <c r="B302" s="41">
        <v>8748.820990593329</v>
      </c>
      <c r="C302" s="41">
        <f>($F$22+B302)*$F$23/Main!$K$3</f>
        <v>313.74675451038314</v>
      </c>
    </row>
    <row r="303" spans="1:3" x14ac:dyDescent="0.2">
      <c r="A303" s="41">
        <f t="shared" si="5"/>
        <v>293</v>
      </c>
      <c r="B303" s="41">
        <v>10793.180375960634</v>
      </c>
      <c r="C303" s="41">
        <f>($F$22+B303)*$F$23/Main!$K$3</f>
        <v>331.47615624462816</v>
      </c>
    </row>
    <row r="304" spans="1:3" x14ac:dyDescent="0.2">
      <c r="A304" s="41">
        <f t="shared" si="5"/>
        <v>294</v>
      </c>
      <c r="B304" s="41">
        <v>5712.1963384477294</v>
      </c>
      <c r="C304" s="41">
        <f>($F$22+B304)*$F$23/Main!$K$3</f>
        <v>287.41208030419955</v>
      </c>
    </row>
    <row r="305" spans="1:3" x14ac:dyDescent="0.2">
      <c r="A305" s="41">
        <f t="shared" si="5"/>
        <v>295</v>
      </c>
      <c r="B305" s="41">
        <v>6379.9017338732347</v>
      </c>
      <c r="C305" s="41">
        <f>($F$22+B305)*$F$23/Main!$K$3</f>
        <v>293.20265571885199</v>
      </c>
    </row>
    <row r="306" spans="1:3" x14ac:dyDescent="0.2">
      <c r="A306" s="41">
        <f t="shared" si="5"/>
        <v>296</v>
      </c>
      <c r="B306" s="41">
        <v>6608.0173960097218</v>
      </c>
      <c r="C306" s="41">
        <f>($F$22+B306)*$F$23/Main!$K$3</f>
        <v>295.18095476198442</v>
      </c>
    </row>
    <row r="307" spans="1:3" x14ac:dyDescent="0.2">
      <c r="A307" s="41">
        <f t="shared" si="5"/>
        <v>297</v>
      </c>
      <c r="B307" s="41">
        <v>6261.4173965877326</v>
      </c>
      <c r="C307" s="41">
        <f>($F$22+B307)*$F$23/Main!$K$3</f>
        <v>292.17511798258789</v>
      </c>
    </row>
    <row r="308" spans="1:3" x14ac:dyDescent="0.2">
      <c r="A308" s="41">
        <f t="shared" si="5"/>
        <v>298</v>
      </c>
      <c r="B308" s="41">
        <v>7693.4761059929906</v>
      </c>
      <c r="C308" s="41">
        <f>($F$22+B308)*$F$23/Main!$K$3</f>
        <v>304.59443346488439</v>
      </c>
    </row>
    <row r="309" spans="1:3" x14ac:dyDescent="0.2">
      <c r="A309" s="41">
        <f t="shared" si="5"/>
        <v>299</v>
      </c>
      <c r="B309" s="41">
        <v>17146.501645101529</v>
      </c>
      <c r="C309" s="41">
        <f>($F$22+B309)*$F$23/Main!$K$3</f>
        <v>386.57438698309733</v>
      </c>
    </row>
    <row r="310" spans="1:3" x14ac:dyDescent="0.2">
      <c r="A310" s="41">
        <f t="shared" si="5"/>
        <v>300</v>
      </c>
      <c r="B310" s="41">
        <v>20069.867951160271</v>
      </c>
      <c r="C310" s="41">
        <f>($F$22+B310)*$F$23/Main!$K$3</f>
        <v>411.92684508192582</v>
      </c>
    </row>
    <row r="311" spans="1:3" x14ac:dyDescent="0.2">
      <c r="A311" s="41">
        <f t="shared" si="5"/>
        <v>301</v>
      </c>
      <c r="B311" s="41">
        <v>7957.9235987662514</v>
      </c>
      <c r="C311" s="41">
        <f>($F$22+B311)*$F$23/Main!$K$3</f>
        <v>306.88781488820428</v>
      </c>
    </row>
    <row r="312" spans="1:3" x14ac:dyDescent="0.2">
      <c r="A312" s="41">
        <f t="shared" si="5"/>
        <v>302</v>
      </c>
      <c r="B312" s="41">
        <v>2502.9463791774028</v>
      </c>
      <c r="C312" s="41">
        <f>($F$22+B312)*$F$23/Main!$K$3</f>
        <v>259.58033887910244</v>
      </c>
    </row>
    <row r="313" spans="1:3" x14ac:dyDescent="0.2">
      <c r="A313" s="41">
        <f t="shared" si="5"/>
        <v>303</v>
      </c>
      <c r="B313" s="41">
        <v>4378.2987456204801</v>
      </c>
      <c r="C313" s="41">
        <f>($F$22+B313)*$F$23/Main!$K$3</f>
        <v>275.8440524589742</v>
      </c>
    </row>
    <row r="314" spans="1:3" x14ac:dyDescent="0.2">
      <c r="A314" s="41">
        <f t="shared" si="5"/>
        <v>304</v>
      </c>
      <c r="B314" s="41">
        <v>11438.758815227344</v>
      </c>
      <c r="C314" s="41">
        <f>($F$22+B314)*$F$23/Main!$K$3</f>
        <v>337.07483893351855</v>
      </c>
    </row>
    <row r="315" spans="1:3" x14ac:dyDescent="0.2">
      <c r="A315" s="41">
        <f t="shared" si="5"/>
        <v>305</v>
      </c>
      <c r="B315" s="41">
        <v>7340.146847656003</v>
      </c>
      <c r="C315" s="41">
        <f>($F$22+B315)*$F$23/Main!$K$3</f>
        <v>301.5302381916087</v>
      </c>
    </row>
    <row r="316" spans="1:3" x14ac:dyDescent="0.2">
      <c r="A316" s="41">
        <f t="shared" si="5"/>
        <v>306</v>
      </c>
      <c r="B316" s="41">
        <v>2858.2885028812098</v>
      </c>
      <c r="C316" s="41">
        <f>($F$22+B316)*$F$23/Main!$K$3</f>
        <v>262.66199042693569</v>
      </c>
    </row>
    <row r="317" spans="1:3" x14ac:dyDescent="0.2">
      <c r="A317" s="41">
        <f t="shared" si="5"/>
        <v>307</v>
      </c>
      <c r="B317" s="41">
        <v>11725.07339708667</v>
      </c>
      <c r="C317" s="41">
        <f>($F$22+B317)*$F$23/Main!$K$3</f>
        <v>339.55785942418652</v>
      </c>
    </row>
    <row r="318" spans="1:3" x14ac:dyDescent="0.2">
      <c r="A318" s="41">
        <f t="shared" si="5"/>
        <v>308</v>
      </c>
      <c r="B318" s="41">
        <v>6106.9589418945043</v>
      </c>
      <c r="C318" s="41">
        <f>($F$22+B318)*$F$23/Main!$K$3</f>
        <v>290.83560008074159</v>
      </c>
    </row>
    <row r="319" spans="1:3" x14ac:dyDescent="0.2">
      <c r="A319" s="41">
        <f t="shared" si="5"/>
        <v>309</v>
      </c>
      <c r="B319" s="41">
        <v>5065.1684600680701</v>
      </c>
      <c r="C319" s="41">
        <f>($F$22+B319)*$F$23/Main!$K$3</f>
        <v>281.80082757087052</v>
      </c>
    </row>
    <row r="320" spans="1:3" x14ac:dyDescent="0.2">
      <c r="A320" s="41">
        <f t="shared" si="5"/>
        <v>310</v>
      </c>
      <c r="B320" s="41">
        <v>19701.021369866561</v>
      </c>
      <c r="C320" s="41">
        <f>($F$22+B320)*$F$23/Main!$K$3</f>
        <v>408.72807814062111</v>
      </c>
    </row>
    <row r="321" spans="1:3" x14ac:dyDescent="0.2">
      <c r="A321" s="41">
        <f t="shared" si="5"/>
        <v>311</v>
      </c>
      <c r="B321" s="41">
        <v>4026.0866181758693</v>
      </c>
      <c r="C321" s="41">
        <f>($F$22+B321)*$F$23/Main!$K$3</f>
        <v>272.78954533667741</v>
      </c>
    </row>
    <row r="322" spans="1:3" x14ac:dyDescent="0.2">
      <c r="A322" s="41">
        <f t="shared" si="5"/>
        <v>312</v>
      </c>
      <c r="B322" s="41">
        <v>5663.6208771393931</v>
      </c>
      <c r="C322" s="41">
        <f>($F$22+B322)*$F$23/Main!$K$3</f>
        <v>286.99081686386421</v>
      </c>
    </row>
    <row r="323" spans="1:3" x14ac:dyDescent="0.2">
      <c r="A323" s="41">
        <f t="shared" si="5"/>
        <v>313</v>
      </c>
      <c r="B323" s="41">
        <v>11117.462224226707</v>
      </c>
      <c r="C323" s="41">
        <f>($F$22+B323)*$F$23/Main!$K$3</f>
        <v>334.28844218817801</v>
      </c>
    </row>
    <row r="324" spans="1:3" x14ac:dyDescent="0.2">
      <c r="A324" s="41">
        <f t="shared" si="5"/>
        <v>314</v>
      </c>
      <c r="B324" s="41">
        <v>12163.853723152111</v>
      </c>
      <c r="C324" s="41">
        <f>($F$22+B324)*$F$23/Main!$K$3</f>
        <v>343.36311633233015</v>
      </c>
    </row>
    <row r="325" spans="1:3" x14ac:dyDescent="0.2">
      <c r="A325" s="41">
        <f t="shared" si="5"/>
        <v>315</v>
      </c>
      <c r="B325" s="41">
        <v>3625.3449168289881</v>
      </c>
      <c r="C325" s="41">
        <f>($F$22+B325)*$F$23/Main!$K$3</f>
        <v>269.31417272572764</v>
      </c>
    </row>
    <row r="326" spans="1:3" x14ac:dyDescent="0.2">
      <c r="A326" s="41">
        <f t="shared" si="5"/>
        <v>316</v>
      </c>
      <c r="B326" s="41">
        <v>7872.8578404084537</v>
      </c>
      <c r="C326" s="41">
        <f>($F$22+B326)*$F$23/Main!$K$3</f>
        <v>306.15009479136199</v>
      </c>
    </row>
    <row r="327" spans="1:3" x14ac:dyDescent="0.2">
      <c r="A327" s="41">
        <f t="shared" si="5"/>
        <v>317</v>
      </c>
      <c r="B327" s="41">
        <v>12026.398862789925</v>
      </c>
      <c r="C327" s="41">
        <f>($F$22+B327)*$F$23/Main!$K$3</f>
        <v>342.17105956524273</v>
      </c>
    </row>
    <row r="328" spans="1:3" x14ac:dyDescent="0.2">
      <c r="A328" s="41">
        <f t="shared" si="5"/>
        <v>318</v>
      </c>
      <c r="B328" s="41">
        <v>20281.128399310877</v>
      </c>
      <c r="C328" s="41">
        <f>($F$22+B328)*$F$23/Main!$K$3</f>
        <v>413.75896979670335</v>
      </c>
    </row>
    <row r="329" spans="1:3" x14ac:dyDescent="0.2">
      <c r="A329" s="41">
        <f t="shared" si="5"/>
        <v>319</v>
      </c>
      <c r="B329" s="41">
        <v>1088.968870963711</v>
      </c>
      <c r="C329" s="41">
        <f>($F$22+B329)*$F$23/Main!$K$3</f>
        <v>247.3178299162748</v>
      </c>
    </row>
    <row r="330" spans="1:3" x14ac:dyDescent="0.2">
      <c r="A330" s="41">
        <f t="shared" si="5"/>
        <v>320</v>
      </c>
      <c r="B330" s="41">
        <v>15709.520872480609</v>
      </c>
      <c r="C330" s="41">
        <f>($F$22+B330)*$F$23/Main!$K$3</f>
        <v>374.11238564197555</v>
      </c>
    </row>
    <row r="331" spans="1:3" x14ac:dyDescent="0.2">
      <c r="A331" s="41">
        <f t="shared" si="5"/>
        <v>321</v>
      </c>
      <c r="B331" s="41">
        <v>14368.891402504127</v>
      </c>
      <c r="C331" s="41">
        <f>($F$22+B331)*$F$23/Main!$K$3</f>
        <v>362.48597659662533</v>
      </c>
    </row>
    <row r="332" spans="1:3" x14ac:dyDescent="0.2">
      <c r="A332" s="41">
        <f t="shared" si="5"/>
        <v>322</v>
      </c>
      <c r="B332" s="41">
        <v>9933.4554710725843</v>
      </c>
      <c r="C332" s="41">
        <f>($F$22+B332)*$F$23/Main!$K$3</f>
        <v>324.02032028506312</v>
      </c>
    </row>
    <row r="333" spans="1:3" x14ac:dyDescent="0.2">
      <c r="A333" s="41">
        <f t="shared" si="5"/>
        <v>323</v>
      </c>
      <c r="B333" s="41">
        <v>9720.265827719928</v>
      </c>
      <c r="C333" s="41">
        <f>($F$22+B333)*$F$23/Main!$K$3</f>
        <v>322.17146491274781</v>
      </c>
    </row>
    <row r="334" spans="1:3" x14ac:dyDescent="0.2">
      <c r="A334" s="41">
        <f t="shared" si="5"/>
        <v>324</v>
      </c>
      <c r="B334" s="41">
        <v>7698.9287120711224</v>
      </c>
      <c r="C334" s="41">
        <f>($F$22+B334)*$F$23/Main!$K$3</f>
        <v>304.64172037752303</v>
      </c>
    </row>
    <row r="335" spans="1:3" x14ac:dyDescent="0.2">
      <c r="A335" s="41">
        <f t="shared" si="5"/>
        <v>325</v>
      </c>
      <c r="B335" s="41">
        <v>12815.65916958882</v>
      </c>
      <c r="C335" s="41">
        <f>($F$22+B335)*$F$23/Main!$K$3</f>
        <v>349.01580181178122</v>
      </c>
    </row>
    <row r="336" spans="1:3" x14ac:dyDescent="0.2">
      <c r="A336" s="41">
        <f t="shared" si="5"/>
        <v>326</v>
      </c>
      <c r="B336" s="41">
        <v>16112.998921067181</v>
      </c>
      <c r="C336" s="41">
        <f>($F$22+B336)*$F$23/Main!$K$3</f>
        <v>377.61148881607591</v>
      </c>
    </row>
    <row r="337" spans="1:3" x14ac:dyDescent="0.2">
      <c r="A337" s="41">
        <f t="shared" si="5"/>
        <v>327</v>
      </c>
      <c r="B337" s="41">
        <v>9361.3860806216107</v>
      </c>
      <c r="C337" s="41">
        <f>($F$22+B337)*$F$23/Main!$K$3</f>
        <v>319.05913385386833</v>
      </c>
    </row>
    <row r="338" spans="1:3" x14ac:dyDescent="0.2">
      <c r="A338" s="41">
        <f t="shared" si="5"/>
        <v>328</v>
      </c>
      <c r="B338" s="41">
        <v>9395.0416806500325</v>
      </c>
      <c r="C338" s="41">
        <f>($F$22+B338)*$F$23/Main!$K$3</f>
        <v>319.35100702342049</v>
      </c>
    </row>
    <row r="339" spans="1:3" x14ac:dyDescent="0.2">
      <c r="A339" s="41">
        <f t="shared" si="5"/>
        <v>329</v>
      </c>
      <c r="B339" s="41">
        <v>7711.2024162038151</v>
      </c>
      <c r="C339" s="41">
        <f>($F$22+B339)*$F$23/Main!$K$3</f>
        <v>304.74816224527547</v>
      </c>
    </row>
    <row r="340" spans="1:3" x14ac:dyDescent="0.2">
      <c r="A340" s="41">
        <f t="shared" ref="A340:A403" si="6">A339+1</f>
        <v>330</v>
      </c>
      <c r="B340" s="41">
        <v>11192.820153867302</v>
      </c>
      <c r="C340" s="41">
        <f>($F$22+B340)*$F$23/Main!$K$3</f>
        <v>334.94197258895883</v>
      </c>
    </row>
    <row r="341" spans="1:3" x14ac:dyDescent="0.2">
      <c r="A341" s="41">
        <f t="shared" si="6"/>
        <v>331</v>
      </c>
      <c r="B341" s="41">
        <v>8514.6786650551403</v>
      </c>
      <c r="C341" s="41">
        <f>($F$22+B341)*$F$23/Main!$K$3</f>
        <v>311.71619012812738</v>
      </c>
    </row>
    <row r="342" spans="1:3" x14ac:dyDescent="0.2">
      <c r="A342" s="41">
        <f t="shared" si="6"/>
        <v>332</v>
      </c>
      <c r="B342" s="41">
        <v>9477.09362578736</v>
      </c>
      <c r="C342" s="41">
        <f>($F$22+B342)*$F$23/Main!$K$3</f>
        <v>320.06259027479416</v>
      </c>
    </row>
    <row r="343" spans="1:3" x14ac:dyDescent="0.2">
      <c r="A343" s="41">
        <f t="shared" si="6"/>
        <v>333</v>
      </c>
      <c r="B343" s="41">
        <v>7213.9371964835609</v>
      </c>
      <c r="C343" s="41">
        <f>($F$22+B343)*$F$23/Main!$K$3</f>
        <v>300.43570382334099</v>
      </c>
    </row>
    <row r="344" spans="1:3" x14ac:dyDescent="0.2">
      <c r="A344" s="41">
        <f t="shared" si="6"/>
        <v>334</v>
      </c>
      <c r="B344" s="41">
        <v>4449.6907963376443</v>
      </c>
      <c r="C344" s="41">
        <f>($F$22+B344)*$F$23/Main!$K$3</f>
        <v>276.46318936653353</v>
      </c>
    </row>
    <row r="345" spans="1:3" x14ac:dyDescent="0.2">
      <c r="A345" s="41">
        <f t="shared" si="6"/>
        <v>335</v>
      </c>
      <c r="B345" s="41">
        <v>17533.071170883974</v>
      </c>
      <c r="C345" s="41">
        <f>($F$22+B345)*$F$23/Main!$K$3</f>
        <v>389.92685351607054</v>
      </c>
    </row>
    <row r="346" spans="1:3" x14ac:dyDescent="0.2">
      <c r="A346" s="41">
        <f t="shared" si="6"/>
        <v>336</v>
      </c>
      <c r="B346" s="41">
        <v>4680.3354033747855</v>
      </c>
      <c r="C346" s="41">
        <f>($F$22+B346)*$F$23/Main!$K$3</f>
        <v>278.46342030697747</v>
      </c>
    </row>
    <row r="347" spans="1:3" x14ac:dyDescent="0.2">
      <c r="A347" s="41">
        <f t="shared" si="6"/>
        <v>337</v>
      </c>
      <c r="B347" s="41">
        <v>8748.0593554461248</v>
      </c>
      <c r="C347" s="41">
        <f>($F$22+B347)*$F$23/Main!$K$3</f>
        <v>313.74014934321121</v>
      </c>
    </row>
    <row r="348" spans="1:3" x14ac:dyDescent="0.2">
      <c r="A348" s="41">
        <f t="shared" si="6"/>
        <v>338</v>
      </c>
      <c r="B348" s="41">
        <v>7390.1706249027138</v>
      </c>
      <c r="C348" s="41">
        <f>($F$22+B348)*$F$23/Main!$K$3</f>
        <v>301.9640619358189</v>
      </c>
    </row>
    <row r="349" spans="1:3" x14ac:dyDescent="0.2">
      <c r="A349" s="41">
        <f t="shared" si="6"/>
        <v>339</v>
      </c>
      <c r="B349" s="41">
        <v>12325.223105323306</v>
      </c>
      <c r="C349" s="41">
        <f>($F$22+B349)*$F$23/Main!$K$3</f>
        <v>344.76256822156142</v>
      </c>
    </row>
    <row r="350" spans="1:3" x14ac:dyDescent="0.2">
      <c r="A350" s="41">
        <f t="shared" si="6"/>
        <v>340</v>
      </c>
      <c r="B350" s="41">
        <v>6708.3648819457303</v>
      </c>
      <c r="C350" s="41">
        <f>($F$22+B350)*$F$23/Main!$K$3</f>
        <v>296.05120336108843</v>
      </c>
    </row>
    <row r="351" spans="1:3" x14ac:dyDescent="0.2">
      <c r="A351" s="41">
        <f t="shared" si="6"/>
        <v>341</v>
      </c>
      <c r="B351" s="41">
        <v>11661.51407047769</v>
      </c>
      <c r="C351" s="41">
        <f>($F$22+B351)*$F$23/Main!$K$3</f>
        <v>339.00665064774802</v>
      </c>
    </row>
    <row r="352" spans="1:3" x14ac:dyDescent="0.2">
      <c r="A352" s="41">
        <f t="shared" si="6"/>
        <v>342</v>
      </c>
      <c r="B352" s="41">
        <v>4434.8663730990611</v>
      </c>
      <c r="C352" s="41">
        <f>($F$22+B352)*$F$23/Main!$K$3</f>
        <v>276.33462676792362</v>
      </c>
    </row>
    <row r="353" spans="1:3" x14ac:dyDescent="0.2">
      <c r="A353" s="41">
        <f t="shared" si="6"/>
        <v>343</v>
      </c>
      <c r="B353" s="41">
        <v>11758.759076117596</v>
      </c>
      <c r="C353" s="41">
        <f>($F$22+B353)*$F$23/Main!$K$3</f>
        <v>339.84999344939985</v>
      </c>
    </row>
    <row r="354" spans="1:3" x14ac:dyDescent="0.2">
      <c r="A354" s="41">
        <f t="shared" si="6"/>
        <v>344</v>
      </c>
      <c r="B354" s="41">
        <v>3304.4964631057819</v>
      </c>
      <c r="C354" s="41">
        <f>($F$22+B354)*$F$23/Main!$K$3</f>
        <v>266.53166238405987</v>
      </c>
    </row>
    <row r="355" spans="1:3" x14ac:dyDescent="0.2">
      <c r="A355" s="41">
        <f t="shared" si="6"/>
        <v>345</v>
      </c>
      <c r="B355" s="41">
        <v>20877.855631835781</v>
      </c>
      <c r="C355" s="41">
        <f>($F$22+B355)*$F$23/Main!$K$3</f>
        <v>418.93399768413002</v>
      </c>
    </row>
    <row r="356" spans="1:3" x14ac:dyDescent="0.2">
      <c r="A356" s="41">
        <f t="shared" si="6"/>
        <v>346</v>
      </c>
      <c r="B356" s="41">
        <v>13661.286847090638</v>
      </c>
      <c r="C356" s="41">
        <f>($F$22+B356)*$F$23/Main!$K$3</f>
        <v>356.34938167026229</v>
      </c>
    </row>
    <row r="357" spans="1:3" x14ac:dyDescent="0.2">
      <c r="A357" s="41">
        <f t="shared" si="6"/>
        <v>347</v>
      </c>
      <c r="B357" s="41">
        <v>12697.428084776426</v>
      </c>
      <c r="C357" s="41">
        <f>($F$22+B357)*$F$23/Main!$K$3</f>
        <v>347.99046036980286</v>
      </c>
    </row>
    <row r="358" spans="1:3" x14ac:dyDescent="0.2">
      <c r="A358" s="41">
        <f t="shared" si="6"/>
        <v>348</v>
      </c>
      <c r="B358" s="41">
        <v>4520.3702032105793</v>
      </c>
      <c r="C358" s="41">
        <f>($F$22+B358)*$F$23/Main!$K$3</f>
        <v>277.07614597668612</v>
      </c>
    </row>
    <row r="359" spans="1:3" x14ac:dyDescent="0.2">
      <c r="A359" s="41">
        <f t="shared" si="6"/>
        <v>349</v>
      </c>
      <c r="B359" s="41">
        <v>18459.786197141282</v>
      </c>
      <c r="C359" s="41">
        <f>($F$22+B359)*$F$23/Main!$K$3</f>
        <v>397.96365130772949</v>
      </c>
    </row>
    <row r="360" spans="1:3" x14ac:dyDescent="0.2">
      <c r="A360" s="41">
        <f t="shared" si="6"/>
        <v>350</v>
      </c>
      <c r="B360" s="41">
        <v>6771.8100854331133</v>
      </c>
      <c r="C360" s="41">
        <f>($F$22+B360)*$F$23/Main!$K$3</f>
        <v>296.6014224217829</v>
      </c>
    </row>
    <row r="361" spans="1:3" x14ac:dyDescent="0.2">
      <c r="A361" s="41">
        <f t="shared" si="6"/>
        <v>351</v>
      </c>
      <c r="B361" s="41">
        <v>1555.1389481799959</v>
      </c>
      <c r="C361" s="41">
        <f>($F$22+B361)*$F$23/Main!$K$3</f>
        <v>251.36062035449646</v>
      </c>
    </row>
    <row r="362" spans="1:3" x14ac:dyDescent="0.2">
      <c r="A362" s="41">
        <f t="shared" si="6"/>
        <v>352</v>
      </c>
      <c r="B362" s="41">
        <v>11123.183267789329</v>
      </c>
      <c r="C362" s="41">
        <f>($F$22+B362)*$F$23/Main!$K$3</f>
        <v>334.33805708484778</v>
      </c>
    </row>
    <row r="363" spans="1:3" x14ac:dyDescent="0.2">
      <c r="A363" s="41">
        <f t="shared" si="6"/>
        <v>353</v>
      </c>
      <c r="B363" s="41">
        <v>15699.010140792489</v>
      </c>
      <c r="C363" s="41">
        <f>($F$22+B363)*$F$23/Main!$K$3</f>
        <v>374.02123288969858</v>
      </c>
    </row>
    <row r="364" spans="1:3" x14ac:dyDescent="0.2">
      <c r="A364" s="41">
        <f t="shared" si="6"/>
        <v>354</v>
      </c>
      <c r="B364" s="41">
        <v>12393.445272154013</v>
      </c>
      <c r="C364" s="41">
        <f>($F$22+B364)*$F$23/Main!$K$3</f>
        <v>345.35421478408836</v>
      </c>
    </row>
    <row r="365" spans="1:3" x14ac:dyDescent="0.2">
      <c r="A365" s="41">
        <f t="shared" si="6"/>
        <v>355</v>
      </c>
      <c r="B365" s="41">
        <v>5394.5141303886048</v>
      </c>
      <c r="C365" s="41">
        <f>($F$22+B365)*$F$23/Main!$K$3</f>
        <v>284.65702875562346</v>
      </c>
    </row>
    <row r="366" spans="1:3" x14ac:dyDescent="0.2">
      <c r="A366" s="41">
        <f t="shared" si="6"/>
        <v>356</v>
      </c>
      <c r="B366" s="41">
        <v>12668.025026546104</v>
      </c>
      <c r="C366" s="41">
        <f>($F$22+B366)*$F$23/Main!$K$3</f>
        <v>347.73546673448027</v>
      </c>
    </row>
    <row r="367" spans="1:3" x14ac:dyDescent="0.2">
      <c r="A367" s="41">
        <f t="shared" si="6"/>
        <v>357</v>
      </c>
      <c r="B367" s="41">
        <v>2050.0586457703425</v>
      </c>
      <c r="C367" s="41">
        <f>($F$22+B367)*$F$23/Main!$K$3</f>
        <v>255.65273758573062</v>
      </c>
    </row>
    <row r="368" spans="1:3" x14ac:dyDescent="0.2">
      <c r="A368" s="41">
        <f t="shared" si="6"/>
        <v>358</v>
      </c>
      <c r="B368" s="41">
        <v>7897.2293698869698</v>
      </c>
      <c r="C368" s="41">
        <f>($F$22+B368)*$F$23/Main!$K$3</f>
        <v>306.36145324433033</v>
      </c>
    </row>
    <row r="369" spans="1:3" x14ac:dyDescent="0.2">
      <c r="A369" s="41">
        <f t="shared" si="6"/>
        <v>359</v>
      </c>
      <c r="B369" s="41">
        <v>4917.8495592073659</v>
      </c>
      <c r="C369" s="41">
        <f>($F$22+B369)*$F$23/Main!$K$3</f>
        <v>280.52322638435618</v>
      </c>
    </row>
    <row r="370" spans="1:3" x14ac:dyDescent="0.2">
      <c r="A370" s="41">
        <f t="shared" si="6"/>
        <v>360</v>
      </c>
      <c r="B370" s="41">
        <v>13965.74587441823</v>
      </c>
      <c r="C370" s="41">
        <f>($F$22+B370)*$F$23/Main!$K$3</f>
        <v>358.98975715695229</v>
      </c>
    </row>
    <row r="371" spans="1:3" x14ac:dyDescent="0.2">
      <c r="A371" s="41">
        <f t="shared" si="6"/>
        <v>361</v>
      </c>
      <c r="B371" s="41">
        <v>9474.1515821767935</v>
      </c>
      <c r="C371" s="41">
        <f>($F$22+B371)*$F$23/Main!$K$3</f>
        <v>320.03707584055877</v>
      </c>
    </row>
    <row r="372" spans="1:3" x14ac:dyDescent="0.2">
      <c r="A372" s="41">
        <f t="shared" si="6"/>
        <v>362</v>
      </c>
      <c r="B372" s="41">
        <v>10888.187607658376</v>
      </c>
      <c r="C372" s="41">
        <f>($F$22+B372)*$F$23/Main!$K$3</f>
        <v>332.30009228566092</v>
      </c>
    </row>
    <row r="373" spans="1:3" x14ac:dyDescent="0.2">
      <c r="A373" s="41">
        <f t="shared" si="6"/>
        <v>363</v>
      </c>
      <c r="B373" s="41">
        <v>8671.1318584154233</v>
      </c>
      <c r="C373" s="41">
        <f>($F$22+B373)*$F$23/Main!$K$3</f>
        <v>313.07300710343213</v>
      </c>
    </row>
    <row r="374" spans="1:3" x14ac:dyDescent="0.2">
      <c r="A374" s="41">
        <f t="shared" si="6"/>
        <v>364</v>
      </c>
      <c r="B374" s="41">
        <v>12940.896005974664</v>
      </c>
      <c r="C374" s="41">
        <f>($F$22+B374)*$F$23/Main!$K$3</f>
        <v>350.10189958896422</v>
      </c>
    </row>
    <row r="375" spans="1:3" x14ac:dyDescent="0.2">
      <c r="A375" s="41">
        <f t="shared" si="6"/>
        <v>365</v>
      </c>
      <c r="B375" s="41">
        <v>8920.090084930338</v>
      </c>
      <c r="C375" s="41">
        <f>($F$22+B375)*$F$23/Main!$K$3</f>
        <v>315.23206017625336</v>
      </c>
    </row>
    <row r="376" spans="1:3" x14ac:dyDescent="0.2">
      <c r="A376" s="41">
        <f t="shared" si="6"/>
        <v>366</v>
      </c>
      <c r="B376" s="41">
        <v>1615.562998940909</v>
      </c>
      <c r="C376" s="41">
        <f>($F$22+B376)*$F$23/Main!$K$3</f>
        <v>251.88463891895162</v>
      </c>
    </row>
    <row r="377" spans="1:3" x14ac:dyDescent="0.2">
      <c r="A377" s="41">
        <f t="shared" si="6"/>
        <v>367</v>
      </c>
      <c r="B377" s="41">
        <v>9417.8497912863386</v>
      </c>
      <c r="C377" s="41">
        <f>($F$22+B377)*$F$23/Main!$K$3</f>
        <v>319.54880695975487</v>
      </c>
    </row>
    <row r="378" spans="1:3" x14ac:dyDescent="0.2">
      <c r="A378" s="41">
        <f t="shared" si="6"/>
        <v>368</v>
      </c>
      <c r="B378" s="41">
        <v>11710.210638900018</v>
      </c>
      <c r="C378" s="41">
        <f>($F$22+B378)*$F$23/Main!$K$3</f>
        <v>339.42896437145941</v>
      </c>
    </row>
    <row r="379" spans="1:3" x14ac:dyDescent="0.2">
      <c r="A379" s="41">
        <f t="shared" si="6"/>
        <v>369</v>
      </c>
      <c r="B379" s="41">
        <v>8937.8793353710353</v>
      </c>
      <c r="C379" s="41">
        <f>($F$22+B379)*$F$23/Main!$K$3</f>
        <v>315.3863347963968</v>
      </c>
    </row>
    <row r="380" spans="1:3" x14ac:dyDescent="0.2">
      <c r="A380" s="41">
        <f t="shared" si="6"/>
        <v>370</v>
      </c>
      <c r="B380" s="41">
        <v>5732.9766831418401</v>
      </c>
      <c r="C380" s="41">
        <f>($F$22+B380)*$F$23/Main!$K$3</f>
        <v>287.59229474295967</v>
      </c>
    </row>
    <row r="381" spans="1:3" x14ac:dyDescent="0.2">
      <c r="A381" s="41">
        <f t="shared" si="6"/>
        <v>371</v>
      </c>
      <c r="B381" s="41">
        <v>4782.1109340735356</v>
      </c>
      <c r="C381" s="41">
        <f>($F$22+B381)*$F$23/Main!$K$3</f>
        <v>279.34605341121016</v>
      </c>
    </row>
    <row r="382" spans="1:3" x14ac:dyDescent="0.2">
      <c r="A382" s="41">
        <f t="shared" si="6"/>
        <v>372</v>
      </c>
      <c r="B382" s="41">
        <v>4854.7581924101842</v>
      </c>
      <c r="C382" s="41">
        <f>($F$22+B382)*$F$23/Main!$K$3</f>
        <v>279.97607591956211</v>
      </c>
    </row>
    <row r="383" spans="1:3" x14ac:dyDescent="0.2">
      <c r="A383" s="41">
        <f t="shared" si="6"/>
        <v>373</v>
      </c>
      <c r="B383" s="41">
        <v>4568.6680986317197</v>
      </c>
      <c r="C383" s="41">
        <f>($F$22+B383)*$F$23/Main!$K$3</f>
        <v>277.49500226827996</v>
      </c>
    </row>
    <row r="384" spans="1:3" x14ac:dyDescent="0.2">
      <c r="A384" s="41">
        <f t="shared" si="6"/>
        <v>374</v>
      </c>
      <c r="B384" s="41">
        <v>9312.4211415834197</v>
      </c>
      <c r="C384" s="41">
        <f>($F$22+B384)*$F$23/Main!$K$3</f>
        <v>318.63449272603407</v>
      </c>
    </row>
    <row r="385" spans="1:3" x14ac:dyDescent="0.2">
      <c r="A385" s="41">
        <f t="shared" si="6"/>
        <v>375</v>
      </c>
      <c r="B385" s="41">
        <v>1816.7711671845273</v>
      </c>
      <c r="C385" s="41">
        <f>($F$22+B385)*$F$23/Main!$K$3</f>
        <v>253.62958673611919</v>
      </c>
    </row>
    <row r="386" spans="1:3" x14ac:dyDescent="0.2">
      <c r="A386" s="41">
        <f t="shared" si="6"/>
        <v>376</v>
      </c>
      <c r="B386" s="41">
        <v>38546.770700646914</v>
      </c>
      <c r="C386" s="41">
        <f>($F$22+B386)*$F$23/Main!$K$3</f>
        <v>572.16502726992201</v>
      </c>
    </row>
    <row r="387" spans="1:3" x14ac:dyDescent="0.2">
      <c r="A387" s="41">
        <f t="shared" si="6"/>
        <v>377</v>
      </c>
      <c r="B387" s="41">
        <v>5845.9579981184934</v>
      </c>
      <c r="C387" s="41">
        <f>($F$22+B387)*$F$23/Main!$K$3</f>
        <v>288.57210833934676</v>
      </c>
    </row>
    <row r="388" spans="1:3" x14ac:dyDescent="0.2">
      <c r="A388" s="41">
        <f t="shared" si="6"/>
        <v>378</v>
      </c>
      <c r="B388" s="41">
        <v>3041.3502091192399</v>
      </c>
      <c r="C388" s="41">
        <f>($F$22+B388)*$F$23/Main!$K$3</f>
        <v>264.24956575996225</v>
      </c>
    </row>
    <row r="389" spans="1:3" x14ac:dyDescent="0.2">
      <c r="A389" s="41">
        <f t="shared" si="6"/>
        <v>379</v>
      </c>
      <c r="B389" s="41">
        <v>7813.9789620334914</v>
      </c>
      <c r="C389" s="41">
        <f>($F$22+B389)*$F$23/Main!$K$3</f>
        <v>305.63947650387144</v>
      </c>
    </row>
    <row r="390" spans="1:3" x14ac:dyDescent="0.2">
      <c r="A390" s="41">
        <f t="shared" si="6"/>
        <v>380</v>
      </c>
      <c r="B390" s="41">
        <v>12665.988205680829</v>
      </c>
      <c r="C390" s="41">
        <f>($F$22+B390)*$F$23/Main!$K$3</f>
        <v>347.71780270943668</v>
      </c>
    </row>
    <row r="391" spans="1:3" x14ac:dyDescent="0.2">
      <c r="A391" s="41">
        <f t="shared" si="6"/>
        <v>381</v>
      </c>
      <c r="B391" s="41">
        <v>9163.0642055670232</v>
      </c>
      <c r="C391" s="41">
        <f>($F$22+B391)*$F$23/Main!$K$3</f>
        <v>317.33921698372376</v>
      </c>
    </row>
    <row r="392" spans="1:3" x14ac:dyDescent="0.2">
      <c r="A392" s="41">
        <f t="shared" si="6"/>
        <v>382</v>
      </c>
      <c r="B392" s="41">
        <v>6791.797653025752</v>
      </c>
      <c r="C392" s="41">
        <f>($F$22+B392)*$F$23/Main!$K$3</f>
        <v>296.77476161941945</v>
      </c>
    </row>
    <row r="393" spans="1:3" x14ac:dyDescent="0.2">
      <c r="A393" s="41">
        <f t="shared" si="6"/>
        <v>383</v>
      </c>
      <c r="B393" s="41">
        <v>12997.500909593422</v>
      </c>
      <c r="C393" s="41">
        <f>($F$22+B393)*$F$23/Main!$K$3</f>
        <v>350.59279716967745</v>
      </c>
    </row>
    <row r="394" spans="1:3" x14ac:dyDescent="0.2">
      <c r="A394" s="41">
        <f t="shared" si="6"/>
        <v>384</v>
      </c>
      <c r="B394" s="41">
        <v>1988.939371566305</v>
      </c>
      <c r="C394" s="41">
        <f>($F$22+B394)*$F$23/Main!$K$3</f>
        <v>255.12268979969807</v>
      </c>
    </row>
    <row r="395" spans="1:3" x14ac:dyDescent="0.2">
      <c r="A395" s="41">
        <f t="shared" si="6"/>
        <v>385</v>
      </c>
      <c r="B395" s="41">
        <v>12488.299655268742</v>
      </c>
      <c r="C395" s="41">
        <f>($F$22+B395)*$F$23/Main!$K$3</f>
        <v>346.17682526859124</v>
      </c>
    </row>
    <row r="396" spans="1:3" x14ac:dyDescent="0.2">
      <c r="A396" s="41">
        <f t="shared" si="6"/>
        <v>386</v>
      </c>
      <c r="B396" s="41">
        <v>3135.0801901574109</v>
      </c>
      <c r="C396" s="41">
        <f>($F$22+B396)*$F$23/Main!$K$3</f>
        <v>265.06242503522628</v>
      </c>
    </row>
    <row r="397" spans="1:3" x14ac:dyDescent="0.2">
      <c r="A397" s="41">
        <f t="shared" si="6"/>
        <v>387</v>
      </c>
      <c r="B397" s="41">
        <v>6935.7771102074121</v>
      </c>
      <c r="C397" s="41">
        <f>($F$22+B397)*$F$23/Main!$K$3</f>
        <v>298.02340197889987</v>
      </c>
    </row>
    <row r="398" spans="1:3" x14ac:dyDescent="0.2">
      <c r="A398" s="41">
        <f t="shared" si="6"/>
        <v>388</v>
      </c>
      <c r="B398" s="41">
        <v>10935.594316317143</v>
      </c>
      <c r="C398" s="41">
        <f>($F$22+B398)*$F$23/Main!$K$3</f>
        <v>332.7112198930306</v>
      </c>
    </row>
    <row r="399" spans="1:3" x14ac:dyDescent="0.2">
      <c r="A399" s="41">
        <f t="shared" si="6"/>
        <v>389</v>
      </c>
      <c r="B399" s="41">
        <v>12233.703435838539</v>
      </c>
      <c r="C399" s="41">
        <f>($F$22+B399)*$F$23/Main!$K$3</f>
        <v>343.96887754344755</v>
      </c>
    </row>
    <row r="400" spans="1:3" x14ac:dyDescent="0.2">
      <c r="A400" s="41">
        <f t="shared" si="6"/>
        <v>390</v>
      </c>
      <c r="B400" s="41">
        <v>5574.8351562872449</v>
      </c>
      <c r="C400" s="41">
        <f>($F$22+B400)*$F$23/Main!$K$3</f>
        <v>286.2208359473388</v>
      </c>
    </row>
    <row r="401" spans="1:3" x14ac:dyDescent="0.2">
      <c r="A401" s="41">
        <f t="shared" si="6"/>
        <v>391</v>
      </c>
      <c r="B401" s="41">
        <v>10247.199381466478</v>
      </c>
      <c r="C401" s="41">
        <f>($F$22+B401)*$F$23/Main!$K$3</f>
        <v>326.74121753476408</v>
      </c>
    </row>
    <row r="402" spans="1:3" x14ac:dyDescent="0.2">
      <c r="A402" s="41">
        <f t="shared" si="6"/>
        <v>392</v>
      </c>
      <c r="B402" s="41">
        <v>2943.0834684567631</v>
      </c>
      <c r="C402" s="41">
        <f>($F$22+B402)*$F$23/Main!$K$3</f>
        <v>263.39736211377851</v>
      </c>
    </row>
    <row r="403" spans="1:3" x14ac:dyDescent="0.2">
      <c r="A403" s="41">
        <f t="shared" si="6"/>
        <v>393</v>
      </c>
      <c r="B403" s="41">
        <v>5985.228761668116</v>
      </c>
      <c r="C403" s="41">
        <f>($F$22+B403)*$F$23/Main!$K$3</f>
        <v>289.77991325587936</v>
      </c>
    </row>
    <row r="404" spans="1:3" x14ac:dyDescent="0.2">
      <c r="A404" s="41">
        <f t="shared" ref="A404:A467" si="7">A403+1</f>
        <v>394</v>
      </c>
      <c r="B404" s="41">
        <v>25237.984340394163</v>
      </c>
      <c r="C404" s="41">
        <f>($F$22+B404)*$F$23/Main!$K$3</f>
        <v>456.74656334178621</v>
      </c>
    </row>
    <row r="405" spans="1:3" x14ac:dyDescent="0.2">
      <c r="A405" s="41">
        <f t="shared" si="7"/>
        <v>395</v>
      </c>
      <c r="B405" s="41">
        <v>11952.595656352709</v>
      </c>
      <c r="C405" s="41">
        <f>($F$22+B405)*$F$23/Main!$K$3</f>
        <v>341.53101226946563</v>
      </c>
    </row>
    <row r="406" spans="1:3" x14ac:dyDescent="0.2">
      <c r="A406" s="41">
        <f t="shared" si="7"/>
        <v>396</v>
      </c>
      <c r="B406" s="41">
        <v>9771.7992681451506</v>
      </c>
      <c r="C406" s="41">
        <f>($F$22+B406)*$F$23/Main!$K$3</f>
        <v>322.61838098561935</v>
      </c>
    </row>
    <row r="407" spans="1:3" x14ac:dyDescent="0.2">
      <c r="A407" s="41">
        <f t="shared" si="7"/>
        <v>397</v>
      </c>
      <c r="B407" s="41">
        <v>7594.5289097251725</v>
      </c>
      <c r="C407" s="41">
        <f>($F$22+B407)*$F$23/Main!$K$3</f>
        <v>303.736328668993</v>
      </c>
    </row>
    <row r="408" spans="1:3" x14ac:dyDescent="0.2">
      <c r="A408" s="41">
        <f t="shared" si="7"/>
        <v>398</v>
      </c>
      <c r="B408" s="41">
        <v>4291.8677389593504</v>
      </c>
      <c r="C408" s="41">
        <f>($F$22+B408)*$F$23/Main!$K$3</f>
        <v>275.0944924499276</v>
      </c>
    </row>
    <row r="409" spans="1:3" x14ac:dyDescent="0.2">
      <c r="A409" s="41">
        <f t="shared" si="7"/>
        <v>399</v>
      </c>
      <c r="B409" s="41">
        <v>5216.7179602192691</v>
      </c>
      <c r="C409" s="41">
        <f>($F$22+B409)*$F$23/Main!$K$3</f>
        <v>283.11511799849114</v>
      </c>
    </row>
    <row r="410" spans="1:3" x14ac:dyDescent="0.2">
      <c r="A410" s="41">
        <f t="shared" si="7"/>
        <v>400</v>
      </c>
      <c r="B410" s="41">
        <v>4034.8918992894992</v>
      </c>
      <c r="C410" s="41">
        <f>($F$22+B410)*$F$23/Main!$K$3</f>
        <v>272.8659078233145</v>
      </c>
    </row>
    <row r="411" spans="1:3" x14ac:dyDescent="0.2">
      <c r="A411" s="41">
        <f t="shared" si="7"/>
        <v>401</v>
      </c>
      <c r="B411" s="41">
        <v>8538.267277933508</v>
      </c>
      <c r="C411" s="41">
        <f>($F$22+B411)*$F$23/Main!$K$3</f>
        <v>311.92075885369866</v>
      </c>
    </row>
    <row r="412" spans="1:3" x14ac:dyDescent="0.2">
      <c r="A412" s="41">
        <f t="shared" si="7"/>
        <v>402</v>
      </c>
      <c r="B412" s="41">
        <v>9836.3700265938642</v>
      </c>
      <c r="C412" s="41">
        <f>($F$22+B412)*$F$23/Main!$K$3</f>
        <v>323.17836125377386</v>
      </c>
    </row>
    <row r="413" spans="1:3" x14ac:dyDescent="0.2">
      <c r="A413" s="41">
        <f t="shared" si="7"/>
        <v>403</v>
      </c>
      <c r="B413" s="41">
        <v>2802.0481916620261</v>
      </c>
      <c r="C413" s="41">
        <f>($F$22+B413)*$F$23/Main!$K$3</f>
        <v>262.1742547194076</v>
      </c>
    </row>
    <row r="414" spans="1:3" x14ac:dyDescent="0.2">
      <c r="A414" s="41">
        <f t="shared" si="7"/>
        <v>404</v>
      </c>
      <c r="B414" s="41">
        <v>9392.9695701980054</v>
      </c>
      <c r="C414" s="41">
        <f>($F$22+B414)*$F$23/Main!$K$3</f>
        <v>319.33303695470136</v>
      </c>
    </row>
    <row r="415" spans="1:3" x14ac:dyDescent="0.2">
      <c r="A415" s="41">
        <f t="shared" si="7"/>
        <v>405</v>
      </c>
      <c r="B415" s="41">
        <v>4124.8380767520985</v>
      </c>
      <c r="C415" s="41">
        <f>($F$22+B415)*$F$23/Main!$K$3</f>
        <v>273.64595262664426</v>
      </c>
    </row>
    <row r="416" spans="1:3" x14ac:dyDescent="0.2">
      <c r="A416" s="41">
        <f t="shared" si="7"/>
        <v>406</v>
      </c>
      <c r="B416" s="41">
        <v>13764.180175914025</v>
      </c>
      <c r="C416" s="41">
        <f>($F$22+B416)*$F$23/Main!$K$3</f>
        <v>357.24170871194616</v>
      </c>
    </row>
    <row r="417" spans="1:3" x14ac:dyDescent="0.2">
      <c r="A417" s="41">
        <f t="shared" si="7"/>
        <v>407</v>
      </c>
      <c r="B417" s="41">
        <v>13982.079833917163</v>
      </c>
      <c r="C417" s="41">
        <f>($F$22+B417)*$F$23/Main!$K$3</f>
        <v>359.1314109835447</v>
      </c>
    </row>
    <row r="418" spans="1:3" x14ac:dyDescent="0.2">
      <c r="A418" s="41">
        <f t="shared" si="7"/>
        <v>408</v>
      </c>
      <c r="B418" s="41">
        <v>7749.6297142635376</v>
      </c>
      <c r="C418" s="41">
        <f>($F$22+B418)*$F$23/Main!$K$3</f>
        <v>305.08141725402726</v>
      </c>
    </row>
    <row r="419" spans="1:3" x14ac:dyDescent="0.2">
      <c r="A419" s="41">
        <f t="shared" si="7"/>
        <v>409</v>
      </c>
      <c r="B419" s="41">
        <v>8198.1070403075482</v>
      </c>
      <c r="C419" s="41">
        <f>($F$22+B419)*$F$23/Main!$K$3</f>
        <v>308.97076994761238</v>
      </c>
    </row>
    <row r="420" spans="1:3" x14ac:dyDescent="0.2">
      <c r="A420" s="41">
        <f t="shared" si="7"/>
        <v>410</v>
      </c>
      <c r="B420" s="41">
        <v>6026.9294795989308</v>
      </c>
      <c r="C420" s="41">
        <f>($F$22+B420)*$F$23/Main!$K$3</f>
        <v>290.14155651004194</v>
      </c>
    </row>
    <row r="421" spans="1:3" x14ac:dyDescent="0.2">
      <c r="A421" s="41">
        <f t="shared" si="7"/>
        <v>411</v>
      </c>
      <c r="B421" s="41">
        <v>3694.7806922103773</v>
      </c>
      <c r="C421" s="41">
        <f>($F$22+B421)*$F$23/Main!$K$3</f>
        <v>269.91634412732998</v>
      </c>
    </row>
    <row r="422" spans="1:3" x14ac:dyDescent="0.2">
      <c r="A422" s="41">
        <f t="shared" si="7"/>
        <v>412</v>
      </c>
      <c r="B422" s="41">
        <v>8664.1036397604203</v>
      </c>
      <c r="C422" s="41">
        <f>($F$22+B422)*$F$23/Main!$K$3</f>
        <v>313.0120559258151</v>
      </c>
    </row>
    <row r="423" spans="1:3" x14ac:dyDescent="0.2">
      <c r="A423" s="41">
        <f t="shared" si="7"/>
        <v>413</v>
      </c>
      <c r="B423" s="41">
        <v>1995.2724767433153</v>
      </c>
      <c r="C423" s="41">
        <f>($F$22+B423)*$F$23/Main!$K$3</f>
        <v>255.17761270939391</v>
      </c>
    </row>
    <row r="424" spans="1:3" x14ac:dyDescent="0.2">
      <c r="A424" s="41">
        <f t="shared" si="7"/>
        <v>414</v>
      </c>
      <c r="B424" s="41">
        <v>10732.749744451317</v>
      </c>
      <c r="C424" s="41">
        <f>($F$22+B424)*$F$23/Main!$K$3</f>
        <v>330.95208060961431</v>
      </c>
    </row>
    <row r="425" spans="1:3" x14ac:dyDescent="0.2">
      <c r="A425" s="41">
        <f t="shared" si="7"/>
        <v>415</v>
      </c>
      <c r="B425" s="41">
        <v>10806.965324883924</v>
      </c>
      <c r="C425" s="41">
        <f>($F$22+B425)*$F$23/Main!$K$3</f>
        <v>331.59570415733685</v>
      </c>
    </row>
    <row r="426" spans="1:3" x14ac:dyDescent="0.2">
      <c r="A426" s="41">
        <f t="shared" si="7"/>
        <v>416</v>
      </c>
      <c r="B426" s="41">
        <v>7022.7595515420953</v>
      </c>
      <c r="C426" s="41">
        <f>($F$22+B426)*$F$23/Main!$K$3</f>
        <v>298.77774422287422</v>
      </c>
    </row>
    <row r="427" spans="1:3" x14ac:dyDescent="0.2">
      <c r="A427" s="41">
        <f t="shared" si="7"/>
        <v>417</v>
      </c>
      <c r="B427" s="41">
        <v>4951.6530338207249</v>
      </c>
      <c r="C427" s="41">
        <f>($F$22+B427)*$F$23/Main!$K$3</f>
        <v>280.81638197418215</v>
      </c>
    </row>
    <row r="428" spans="1:3" x14ac:dyDescent="0.2">
      <c r="A428" s="41">
        <f t="shared" si="7"/>
        <v>418</v>
      </c>
      <c r="B428" s="41">
        <v>5265.2066520500994</v>
      </c>
      <c r="C428" s="41">
        <f>($F$22+B428)*$F$23/Main!$K$3</f>
        <v>283.53562894347954</v>
      </c>
    </row>
    <row r="429" spans="1:3" x14ac:dyDescent="0.2">
      <c r="A429" s="41">
        <f t="shared" si="7"/>
        <v>419</v>
      </c>
      <c r="B429" s="41">
        <v>4235.6769451679411</v>
      </c>
      <c r="C429" s="41">
        <f>($F$22+B429)*$F$23/Main!$K$3</f>
        <v>274.60718617490352</v>
      </c>
    </row>
    <row r="430" spans="1:3" x14ac:dyDescent="0.2">
      <c r="A430" s="41">
        <f t="shared" si="7"/>
        <v>420</v>
      </c>
      <c r="B430" s="41">
        <v>16164.006953214375</v>
      </c>
      <c r="C430" s="41">
        <f>($F$22+B430)*$F$23/Main!$K$3</f>
        <v>378.05384836405159</v>
      </c>
    </row>
    <row r="431" spans="1:3" x14ac:dyDescent="0.2">
      <c r="A431" s="41">
        <f t="shared" si="7"/>
        <v>421</v>
      </c>
      <c r="B431" s="41">
        <v>5875.85942916147</v>
      </c>
      <c r="C431" s="41">
        <f>($F$22+B431)*$F$23/Main!$K$3</f>
        <v>288.83142403852582</v>
      </c>
    </row>
    <row r="432" spans="1:3" x14ac:dyDescent="0.2">
      <c r="A432" s="41">
        <f t="shared" si="7"/>
        <v>422</v>
      </c>
      <c r="B432" s="41">
        <v>12307.379216458639</v>
      </c>
      <c r="C432" s="41">
        <f>($F$22+B432)*$F$23/Main!$K$3</f>
        <v>344.60781975783863</v>
      </c>
    </row>
    <row r="433" spans="1:3" x14ac:dyDescent="0.2">
      <c r="A433" s="41">
        <f t="shared" si="7"/>
        <v>423</v>
      </c>
      <c r="B433" s="41">
        <v>3537.41178868417</v>
      </c>
      <c r="C433" s="41">
        <f>($F$22+B433)*$F$23/Main!$K$3</f>
        <v>268.55158579224275</v>
      </c>
    </row>
    <row r="434" spans="1:3" x14ac:dyDescent="0.2">
      <c r="A434" s="41">
        <f t="shared" si="7"/>
        <v>424</v>
      </c>
      <c r="B434" s="41">
        <v>8563.6268404379589</v>
      </c>
      <c r="C434" s="41">
        <f>($F$22+B434)*$F$23/Main!$K$3</f>
        <v>312.14068587566175</v>
      </c>
    </row>
    <row r="435" spans="1:3" x14ac:dyDescent="0.2">
      <c r="A435" s="41">
        <f t="shared" si="7"/>
        <v>425</v>
      </c>
      <c r="B435" s="41">
        <v>10311.351713865302</v>
      </c>
      <c r="C435" s="41">
        <f>($F$22+B435)*$F$23/Main!$K$3</f>
        <v>327.29756906543361</v>
      </c>
    </row>
    <row r="436" spans="1:3" x14ac:dyDescent="0.2">
      <c r="A436" s="41">
        <f t="shared" si="7"/>
        <v>426</v>
      </c>
      <c r="B436" s="41">
        <v>8677.417705462818</v>
      </c>
      <c r="C436" s="41">
        <f>($F$22+B436)*$F$23/Main!$K$3</f>
        <v>313.12752017405023</v>
      </c>
    </row>
    <row r="437" spans="1:3" x14ac:dyDescent="0.2">
      <c r="A437" s="41">
        <f t="shared" si="7"/>
        <v>427</v>
      </c>
      <c r="B437" s="41">
        <v>2619.847453131646</v>
      </c>
      <c r="C437" s="41">
        <f>($F$22+B437)*$F$23/Main!$K$3</f>
        <v>260.59414600036212</v>
      </c>
    </row>
    <row r="438" spans="1:3" x14ac:dyDescent="0.2">
      <c r="A438" s="41">
        <f t="shared" si="7"/>
        <v>428</v>
      </c>
      <c r="B438" s="41">
        <v>8448.1777530886502</v>
      </c>
      <c r="C438" s="41">
        <f>($F$22+B438)*$F$23/Main!$K$3</f>
        <v>311.13947089158484</v>
      </c>
    </row>
    <row r="439" spans="1:3" x14ac:dyDescent="0.2">
      <c r="A439" s="41">
        <f t="shared" si="7"/>
        <v>429</v>
      </c>
      <c r="B439" s="41">
        <v>8851.5882515927606</v>
      </c>
      <c r="C439" s="41">
        <f>($F$22+B439)*$F$23/Main!$K$3</f>
        <v>314.63798824767412</v>
      </c>
    </row>
    <row r="440" spans="1:3" x14ac:dyDescent="0.2">
      <c r="A440" s="41">
        <f t="shared" si="7"/>
        <v>430</v>
      </c>
      <c r="B440" s="41">
        <v>4829.1969108994899</v>
      </c>
      <c r="C440" s="41">
        <f>($F$22+B440)*$F$23/Main!$K$3</f>
        <v>279.75439951961556</v>
      </c>
    </row>
    <row r="441" spans="1:3" x14ac:dyDescent="0.2">
      <c r="A441" s="41">
        <f t="shared" si="7"/>
        <v>431</v>
      </c>
      <c r="B441" s="41">
        <v>11931.813324119317</v>
      </c>
      <c r="C441" s="41">
        <f>($F$22+B441)*$F$23/Main!$K$3</f>
        <v>341.35078059406766</v>
      </c>
    </row>
    <row r="442" spans="1:3" x14ac:dyDescent="0.2">
      <c r="A442" s="41">
        <f t="shared" si="7"/>
        <v>432</v>
      </c>
      <c r="B442" s="41">
        <v>4012.9273452398375</v>
      </c>
      <c r="C442" s="41">
        <f>($F$22+B442)*$F$23/Main!$K$3</f>
        <v>272.67542350561223</v>
      </c>
    </row>
    <row r="443" spans="1:3" x14ac:dyDescent="0.2">
      <c r="A443" s="41">
        <f t="shared" si="7"/>
        <v>433</v>
      </c>
      <c r="B443" s="41">
        <v>12176.093170761484</v>
      </c>
      <c r="C443" s="41">
        <f>($F$22+B443)*$F$23/Main!$K$3</f>
        <v>343.46926111549544</v>
      </c>
    </row>
    <row r="444" spans="1:3" x14ac:dyDescent="0.2">
      <c r="A444" s="41">
        <f t="shared" si="7"/>
        <v>434</v>
      </c>
      <c r="B444" s="41">
        <v>13476.145324523141</v>
      </c>
      <c r="C444" s="41">
        <f>($F$22+B444)*$F$23/Main!$K$3</f>
        <v>354.74376944044423</v>
      </c>
    </row>
    <row r="445" spans="1:3" x14ac:dyDescent="0.2">
      <c r="A445" s="41">
        <f t="shared" si="7"/>
        <v>435</v>
      </c>
      <c r="B445" s="41">
        <v>10895.781250011936</v>
      </c>
      <c r="C445" s="41">
        <f>($F$22+B445)*$F$23/Main!$K$3</f>
        <v>332.36594701593788</v>
      </c>
    </row>
    <row r="446" spans="1:3" x14ac:dyDescent="0.2">
      <c r="A446" s="41">
        <f t="shared" si="7"/>
        <v>436</v>
      </c>
      <c r="B446" s="41">
        <v>9478.8630244823416</v>
      </c>
      <c r="C446" s="41">
        <f>($F$22+B446)*$F$23/Main!$K$3</f>
        <v>320.07793512096742</v>
      </c>
    </row>
    <row r="447" spans="1:3" x14ac:dyDescent="0.2">
      <c r="A447" s="41">
        <f t="shared" si="7"/>
        <v>437</v>
      </c>
      <c r="B447" s="41">
        <v>15442.902136298908</v>
      </c>
      <c r="C447" s="41">
        <f>($F$22+B447)*$F$23/Main!$K$3</f>
        <v>371.80017443416352</v>
      </c>
    </row>
    <row r="448" spans="1:3" x14ac:dyDescent="0.2">
      <c r="A448" s="41">
        <f t="shared" si="7"/>
        <v>438</v>
      </c>
      <c r="B448" s="41">
        <v>7696.9720450307877</v>
      </c>
      <c r="C448" s="41">
        <f>($F$22+B448)*$F$23/Main!$K$3</f>
        <v>304.62475147456661</v>
      </c>
    </row>
    <row r="449" spans="1:3" x14ac:dyDescent="0.2">
      <c r="A449" s="41">
        <f t="shared" si="7"/>
        <v>439</v>
      </c>
      <c r="B449" s="41">
        <v>10794.001506689872</v>
      </c>
      <c r="C449" s="41">
        <f>($F$22+B449)*$F$23/Main!$K$3</f>
        <v>331.48327737835797</v>
      </c>
    </row>
    <row r="450" spans="1:3" x14ac:dyDescent="0.2">
      <c r="A450" s="41">
        <f t="shared" si="7"/>
        <v>440</v>
      </c>
      <c r="B450" s="41">
        <v>5566.0126665340867</v>
      </c>
      <c r="C450" s="41">
        <f>($F$22+B450)*$F$23/Main!$K$3</f>
        <v>286.14432422134314</v>
      </c>
    </row>
    <row r="451" spans="1:3" x14ac:dyDescent="0.2">
      <c r="A451" s="41">
        <f t="shared" si="7"/>
        <v>441</v>
      </c>
      <c r="B451" s="41">
        <v>2285.855701796655</v>
      </c>
      <c r="C451" s="41">
        <f>($F$22+B451)*$F$23/Main!$K$3</f>
        <v>257.69765237124506</v>
      </c>
    </row>
    <row r="452" spans="1:3" x14ac:dyDescent="0.2">
      <c r="A452" s="41">
        <f t="shared" si="7"/>
        <v>442</v>
      </c>
      <c r="B452" s="41">
        <v>7653.6295309340294</v>
      </c>
      <c r="C452" s="41">
        <f>($F$22+B452)*$F$23/Main!$K$3</f>
        <v>304.24886998812457</v>
      </c>
    </row>
    <row r="453" spans="1:3" x14ac:dyDescent="0.2">
      <c r="A453" s="41">
        <f t="shared" si="7"/>
        <v>443</v>
      </c>
      <c r="B453" s="41">
        <v>18795.66852356034</v>
      </c>
      <c r="C453" s="41">
        <f>($F$22+B453)*$F$23/Main!$K$3</f>
        <v>400.87654066717374</v>
      </c>
    </row>
    <row r="454" spans="1:3" x14ac:dyDescent="0.2">
      <c r="A454" s="41">
        <f t="shared" si="7"/>
        <v>444</v>
      </c>
      <c r="B454" s="41">
        <v>7818.7587682205904</v>
      </c>
      <c r="C454" s="41">
        <f>($F$22+B454)*$F$23/Main!$K$3</f>
        <v>305.68092865984238</v>
      </c>
    </row>
    <row r="455" spans="1:3" x14ac:dyDescent="0.2">
      <c r="A455" s="41">
        <f t="shared" si="7"/>
        <v>445</v>
      </c>
      <c r="B455" s="41">
        <v>6194.6373393820977</v>
      </c>
      <c r="C455" s="41">
        <f>($F$22+B455)*$F$23/Main!$K$3</f>
        <v>291.59597790060968</v>
      </c>
    </row>
    <row r="456" spans="1:3" x14ac:dyDescent="0.2">
      <c r="A456" s="41">
        <f t="shared" si="7"/>
        <v>446</v>
      </c>
      <c r="B456" s="41">
        <v>12036.775013326049</v>
      </c>
      <c r="C456" s="41">
        <f>($F$22+B456)*$F$23/Main!$K$3</f>
        <v>342.26104518255966</v>
      </c>
    </row>
    <row r="457" spans="1:3" x14ac:dyDescent="0.2">
      <c r="A457" s="41">
        <f t="shared" si="7"/>
        <v>447</v>
      </c>
      <c r="B457" s="41">
        <v>11569.557293992351</v>
      </c>
      <c r="C457" s="41">
        <f>($F$22+B457)*$F$23/Main!$K$3</f>
        <v>338.2091692243917</v>
      </c>
    </row>
    <row r="458" spans="1:3" x14ac:dyDescent="0.2">
      <c r="A458" s="41">
        <f t="shared" si="7"/>
        <v>448</v>
      </c>
      <c r="B458" s="41">
        <v>4907.2016381118556</v>
      </c>
      <c r="C458" s="41">
        <f>($F$22+B458)*$F$23/Main!$K$3</f>
        <v>280.43088387741341</v>
      </c>
    </row>
    <row r="459" spans="1:3" x14ac:dyDescent="0.2">
      <c r="A459" s="41">
        <f t="shared" si="7"/>
        <v>449</v>
      </c>
      <c r="B459" s="41">
        <v>10947.592130946688</v>
      </c>
      <c r="C459" s="41">
        <f>($F$22+B459)*$F$23/Main!$K$3</f>
        <v>332.81526915023193</v>
      </c>
    </row>
    <row r="460" spans="1:3" x14ac:dyDescent="0.2">
      <c r="A460" s="41">
        <f t="shared" si="7"/>
        <v>450</v>
      </c>
      <c r="B460" s="41">
        <v>9074.3619238955689</v>
      </c>
      <c r="C460" s="41">
        <f>($F$22+B460)*$F$23/Main!$K$3</f>
        <v>316.5699596810432</v>
      </c>
    </row>
    <row r="461" spans="1:3" x14ac:dyDescent="0.2">
      <c r="A461" s="41">
        <f t="shared" si="7"/>
        <v>451</v>
      </c>
      <c r="B461" s="41">
        <v>6044.6590476561669</v>
      </c>
      <c r="C461" s="41">
        <f>($F$22+B461)*$F$23/Main!$K$3</f>
        <v>290.2953135436199</v>
      </c>
    </row>
    <row r="462" spans="1:3" x14ac:dyDescent="0.2">
      <c r="A462" s="41">
        <f t="shared" si="7"/>
        <v>452</v>
      </c>
      <c r="B462" s="41">
        <v>8758.467558074326</v>
      </c>
      <c r="C462" s="41">
        <f>($F$22+B462)*$F$23/Main!$K$3</f>
        <v>313.83041292751426</v>
      </c>
    </row>
    <row r="463" spans="1:3" x14ac:dyDescent="0.2">
      <c r="A463" s="41">
        <f t="shared" si="7"/>
        <v>453</v>
      </c>
      <c r="B463" s="41">
        <v>6419.0374744480741</v>
      </c>
      <c r="C463" s="41">
        <f>($F$22+B463)*$F$23/Main!$K$3</f>
        <v>293.54205458961059</v>
      </c>
    </row>
    <row r="464" spans="1:3" x14ac:dyDescent="0.2">
      <c r="A464" s="41">
        <f t="shared" si="7"/>
        <v>454</v>
      </c>
      <c r="B464" s="41">
        <v>4838.1745260418356</v>
      </c>
      <c r="C464" s="41">
        <f>($F$22+B464)*$F$23/Main!$K$3</f>
        <v>279.83225654740301</v>
      </c>
    </row>
    <row r="465" spans="1:3" x14ac:dyDescent="0.2">
      <c r="A465" s="41">
        <f t="shared" si="7"/>
        <v>455</v>
      </c>
      <c r="B465" s="41">
        <v>12992.431182772223</v>
      </c>
      <c r="C465" s="41">
        <f>($F$22+B465)*$F$23/Main!$K$3</f>
        <v>350.54883072026587</v>
      </c>
    </row>
    <row r="466" spans="1:3" x14ac:dyDescent="0.2">
      <c r="A466" s="41">
        <f t="shared" si="7"/>
        <v>456</v>
      </c>
      <c r="B466" s="41">
        <v>2163.2871365305132</v>
      </c>
      <c r="C466" s="41">
        <f>($F$22+B466)*$F$23/Main!$K$3</f>
        <v>256.63469477721958</v>
      </c>
    </row>
    <row r="467" spans="1:3" x14ac:dyDescent="0.2">
      <c r="A467" s="41">
        <f t="shared" si="7"/>
        <v>457</v>
      </c>
      <c r="B467" s="41">
        <v>16445.557373701897</v>
      </c>
      <c r="C467" s="41">
        <f>($F$22+B467)*$F$23/Main!$K$3</f>
        <v>380.49555237607495</v>
      </c>
    </row>
    <row r="468" spans="1:3" x14ac:dyDescent="0.2">
      <c r="A468" s="41">
        <f t="shared" ref="A468:A531" si="8">A467+1</f>
        <v>458</v>
      </c>
      <c r="B468" s="41">
        <v>9189.6091312811077</v>
      </c>
      <c r="C468" s="41">
        <f>($F$22+B468)*$F$23/Main!$K$3</f>
        <v>317.56942389125635</v>
      </c>
    </row>
    <row r="469" spans="1:3" x14ac:dyDescent="0.2">
      <c r="A469" s="41">
        <f t="shared" si="8"/>
        <v>459</v>
      </c>
      <c r="B469" s="41">
        <v>11954.420235387974</v>
      </c>
      <c r="C469" s="41">
        <f>($F$22+B469)*$F$23/Main!$K$3</f>
        <v>341.54683565890667</v>
      </c>
    </row>
    <row r="470" spans="1:3" x14ac:dyDescent="0.2">
      <c r="A470" s="41">
        <f t="shared" si="8"/>
        <v>460</v>
      </c>
      <c r="B470" s="41">
        <v>5539.2834210067103</v>
      </c>
      <c r="C470" s="41">
        <f>($F$22+B470)*$F$23/Main!$K$3</f>
        <v>285.91251882773173</v>
      </c>
    </row>
    <row r="471" spans="1:3" x14ac:dyDescent="0.2">
      <c r="A471" s="41">
        <f t="shared" si="8"/>
        <v>461</v>
      </c>
      <c r="B471" s="41">
        <v>4141.1630421984219</v>
      </c>
      <c r="C471" s="41">
        <f>($F$22+B471)*$F$23/Main!$K$3</f>
        <v>273.78752845365744</v>
      </c>
    </row>
    <row r="472" spans="1:3" x14ac:dyDescent="0.2">
      <c r="A472" s="41">
        <f t="shared" si="8"/>
        <v>462</v>
      </c>
      <c r="B472" s="41">
        <v>6072.1957719685215</v>
      </c>
      <c r="C472" s="41">
        <f>($F$22+B472)*$F$23/Main!$K$3</f>
        <v>290.5341216765114</v>
      </c>
    </row>
    <row r="473" spans="1:3" x14ac:dyDescent="0.2">
      <c r="A473" s="41">
        <f t="shared" si="8"/>
        <v>463</v>
      </c>
      <c r="B473" s="41">
        <v>8281.2071854786172</v>
      </c>
      <c r="C473" s="41">
        <f>($F$22+B473)*$F$23/Main!$K$3</f>
        <v>309.69144355737853</v>
      </c>
    </row>
    <row r="474" spans="1:3" x14ac:dyDescent="0.2">
      <c r="A474" s="41">
        <f t="shared" si="8"/>
        <v>464</v>
      </c>
      <c r="B474" s="41">
        <v>8137.5034231183563</v>
      </c>
      <c r="C474" s="41">
        <f>($F$22+B474)*$F$23/Main!$K$3</f>
        <v>308.44519412010072</v>
      </c>
    </row>
    <row r="475" spans="1:3" x14ac:dyDescent="0.2">
      <c r="A475" s="41">
        <f t="shared" si="8"/>
        <v>465</v>
      </c>
      <c r="B475" s="41">
        <v>6430.1892980178245</v>
      </c>
      <c r="C475" s="41">
        <f>($F$22+B475)*$F$23/Main!$K$3</f>
        <v>293.63876711557475</v>
      </c>
    </row>
    <row r="476" spans="1:3" x14ac:dyDescent="0.2">
      <c r="A476" s="41">
        <f t="shared" si="8"/>
        <v>466</v>
      </c>
      <c r="B476" s="41">
        <v>11120.120509243006</v>
      </c>
      <c r="C476" s="41">
        <f>($F$22+B476)*$F$23/Main!$K$3</f>
        <v>334.31149576834366</v>
      </c>
    </row>
    <row r="477" spans="1:3" x14ac:dyDescent="0.2">
      <c r="A477" s="41">
        <f t="shared" si="8"/>
        <v>467</v>
      </c>
      <c r="B477" s="41">
        <v>6952.9685571102927</v>
      </c>
      <c r="C477" s="41">
        <f>($F$22+B477)*$F$23/Main!$K$3</f>
        <v>298.1724922370588</v>
      </c>
    </row>
    <row r="478" spans="1:3" x14ac:dyDescent="0.2">
      <c r="A478" s="41">
        <f t="shared" si="8"/>
        <v>468</v>
      </c>
      <c r="B478" s="41">
        <v>9418.0009379746989</v>
      </c>
      <c r="C478" s="41">
        <f>($F$22+B478)*$F$23/Main!$K$3</f>
        <v>319.55011775685733</v>
      </c>
    </row>
    <row r="479" spans="1:3" x14ac:dyDescent="0.2">
      <c r="A479" s="41">
        <f t="shared" si="8"/>
        <v>469</v>
      </c>
      <c r="B479" s="41">
        <v>10574.660536029711</v>
      </c>
      <c r="C479" s="41">
        <f>($F$22+B479)*$F$23/Main!$K$3</f>
        <v>329.58107553779723</v>
      </c>
    </row>
    <row r="480" spans="1:3" x14ac:dyDescent="0.2">
      <c r="A480" s="41">
        <f t="shared" si="8"/>
        <v>470</v>
      </c>
      <c r="B480" s="41">
        <v>13039.726994062665</v>
      </c>
      <c r="C480" s="41">
        <f>($F$22+B480)*$F$23/Main!$K$3</f>
        <v>350.9589965867554</v>
      </c>
    </row>
    <row r="481" spans="1:3" x14ac:dyDescent="0.2">
      <c r="A481" s="41">
        <f t="shared" si="8"/>
        <v>471</v>
      </c>
      <c r="B481" s="41">
        <v>12593.736496656122</v>
      </c>
      <c r="C481" s="41">
        <f>($F$22+B481)*$F$23/Main!$K$3</f>
        <v>347.09121054347332</v>
      </c>
    </row>
    <row r="482" spans="1:3" x14ac:dyDescent="0.2">
      <c r="A482" s="41">
        <f t="shared" si="8"/>
        <v>472</v>
      </c>
      <c r="B482" s="41">
        <v>4840.7190677627741</v>
      </c>
      <c r="C482" s="41">
        <f>($F$22+B482)*$F$23/Main!$K$3</f>
        <v>279.85432370581111</v>
      </c>
    </row>
    <row r="483" spans="1:3" x14ac:dyDescent="0.2">
      <c r="A483" s="41">
        <f t="shared" si="8"/>
        <v>473</v>
      </c>
      <c r="B483" s="41">
        <v>2157.6225263309575</v>
      </c>
      <c r="C483" s="41">
        <f>($F$22+B483)*$F$23/Main!$K$3</f>
        <v>256.58556929047069</v>
      </c>
    </row>
    <row r="484" spans="1:3" x14ac:dyDescent="0.2">
      <c r="A484" s="41">
        <f t="shared" si="8"/>
        <v>474</v>
      </c>
      <c r="B484" s="41">
        <v>1445.9754713175741</v>
      </c>
      <c r="C484" s="41">
        <f>($F$22+B484)*$F$23/Main!$K$3</f>
        <v>250.41391638950199</v>
      </c>
    </row>
    <row r="485" spans="1:3" x14ac:dyDescent="0.2">
      <c r="A485" s="41">
        <f t="shared" si="8"/>
        <v>475</v>
      </c>
      <c r="B485" s="41">
        <v>20342.453830281447</v>
      </c>
      <c r="C485" s="41">
        <f>($F$22+B485)*$F$23/Main!$K$3</f>
        <v>414.2908054465334</v>
      </c>
    </row>
    <row r="486" spans="1:3" x14ac:dyDescent="0.2">
      <c r="A486" s="41">
        <f t="shared" si="8"/>
        <v>476</v>
      </c>
      <c r="B486" s="41">
        <v>26572.802242098136</v>
      </c>
      <c r="C486" s="41">
        <f>($F$22+B486)*$F$23/Main!$K$3</f>
        <v>468.32257242842718</v>
      </c>
    </row>
    <row r="487" spans="1:3" x14ac:dyDescent="0.2">
      <c r="A487" s="41">
        <f t="shared" si="8"/>
        <v>477</v>
      </c>
      <c r="B487" s="41">
        <v>8906.2318722316413</v>
      </c>
      <c r="C487" s="41">
        <f>($F$22+B487)*$F$23/Main!$K$3</f>
        <v>315.11187689438401</v>
      </c>
    </row>
    <row r="488" spans="1:3" x14ac:dyDescent="0.2">
      <c r="A488" s="41">
        <f t="shared" si="8"/>
        <v>478</v>
      </c>
      <c r="B488" s="41">
        <v>17807.000894518824</v>
      </c>
      <c r="C488" s="41">
        <f>($F$22+B488)*$F$23/Main!$K$3</f>
        <v>392.30246817171019</v>
      </c>
    </row>
    <row r="489" spans="1:3" x14ac:dyDescent="0.2">
      <c r="A489" s="41">
        <f t="shared" si="8"/>
        <v>479</v>
      </c>
      <c r="B489" s="41">
        <v>13171.169436712904</v>
      </c>
      <c r="C489" s="41">
        <f>($F$22+B489)*$F$23/Main!$K$3</f>
        <v>352.09891155833844</v>
      </c>
    </row>
    <row r="490" spans="1:3" x14ac:dyDescent="0.2">
      <c r="A490" s="41">
        <f t="shared" si="8"/>
        <v>480</v>
      </c>
      <c r="B490" s="41">
        <v>3959.4503336311127</v>
      </c>
      <c r="C490" s="41">
        <f>($F$22+B490)*$F$23/Main!$K$3</f>
        <v>272.21165210164861</v>
      </c>
    </row>
    <row r="491" spans="1:3" x14ac:dyDescent="0.2">
      <c r="A491" s="41">
        <f t="shared" si="8"/>
        <v>481</v>
      </c>
      <c r="B491" s="41">
        <v>9800.3649356442293</v>
      </c>
      <c r="C491" s="41">
        <f>($F$22+B491)*$F$23/Main!$K$3</f>
        <v>322.86611247477094</v>
      </c>
    </row>
    <row r="492" spans="1:3" x14ac:dyDescent="0.2">
      <c r="A492" s="41">
        <f t="shared" si="8"/>
        <v>482</v>
      </c>
      <c r="B492" s="41">
        <v>11387.579840682038</v>
      </c>
      <c r="C492" s="41">
        <f>($F$22+B492)*$F$23/Main!$K$3</f>
        <v>336.63099691310123</v>
      </c>
    </row>
    <row r="493" spans="1:3" x14ac:dyDescent="0.2">
      <c r="A493" s="41">
        <f t="shared" si="8"/>
        <v>483</v>
      </c>
      <c r="B493" s="41">
        <v>9755.329155277781</v>
      </c>
      <c r="C493" s="41">
        <f>($F$22+B493)*$F$23/Main!$K$3</f>
        <v>322.47554638925436</v>
      </c>
    </row>
    <row r="494" spans="1:3" x14ac:dyDescent="0.2">
      <c r="A494" s="41">
        <f t="shared" si="8"/>
        <v>484</v>
      </c>
      <c r="B494" s="41">
        <v>5469.6512489714014</v>
      </c>
      <c r="C494" s="41">
        <f>($F$22+B494)*$F$23/Main!$K$3</f>
        <v>285.30864420545231</v>
      </c>
    </row>
    <row r="495" spans="1:3" x14ac:dyDescent="0.2">
      <c r="A495" s="41">
        <f t="shared" si="8"/>
        <v>485</v>
      </c>
      <c r="B495" s="41">
        <v>6993.8006033340953</v>
      </c>
      <c r="C495" s="41">
        <f>($F$22+B495)*$F$23/Main!$K$3</f>
        <v>298.52660206545522</v>
      </c>
    </row>
    <row r="496" spans="1:3" x14ac:dyDescent="0.2">
      <c r="A496" s="41">
        <f t="shared" si="8"/>
        <v>486</v>
      </c>
      <c r="B496" s="41">
        <v>8566.9271985522992</v>
      </c>
      <c r="C496" s="41">
        <f>($F$22+B496)*$F$23/Main!$K$3</f>
        <v>312.16930773896758</v>
      </c>
    </row>
    <row r="497" spans="1:3" x14ac:dyDescent="0.2">
      <c r="A497" s="41">
        <f t="shared" si="8"/>
        <v>487</v>
      </c>
      <c r="B497" s="41">
        <v>9944.3902768459266</v>
      </c>
      <c r="C497" s="41">
        <f>($F$22+B497)*$F$23/Main!$K$3</f>
        <v>324.11515075656877</v>
      </c>
    </row>
    <row r="498" spans="1:3" x14ac:dyDescent="0.2">
      <c r="A498" s="41">
        <f t="shared" si="8"/>
        <v>488</v>
      </c>
      <c r="B498" s="41">
        <v>1617.0242552113373</v>
      </c>
      <c r="C498" s="41">
        <f>($F$22+B498)*$F$23/Main!$K$3</f>
        <v>251.89731144592537</v>
      </c>
    </row>
    <row r="499" spans="1:3" x14ac:dyDescent="0.2">
      <c r="A499" s="41">
        <f t="shared" si="8"/>
        <v>489</v>
      </c>
      <c r="B499" s="41">
        <v>6828.0433415200587</v>
      </c>
      <c r="C499" s="41">
        <f>($F$22+B499)*$F$23/Main!$K$3</f>
        <v>297.08909694472936</v>
      </c>
    </row>
    <row r="500" spans="1:3" x14ac:dyDescent="0.2">
      <c r="A500" s="41">
        <f t="shared" si="8"/>
        <v>490</v>
      </c>
      <c r="B500" s="41">
        <v>19954.601365410093</v>
      </c>
      <c r="C500" s="41">
        <f>($F$22+B500)*$F$23/Main!$K$3</f>
        <v>410.92721281573682</v>
      </c>
    </row>
    <row r="501" spans="1:3" x14ac:dyDescent="0.2">
      <c r="A501" s="41">
        <f t="shared" si="8"/>
        <v>491</v>
      </c>
      <c r="B501" s="41">
        <v>4573.5184822568299</v>
      </c>
      <c r="C501" s="41">
        <f>($F$22+B501)*$F$23/Main!$K$3</f>
        <v>277.53706649655129</v>
      </c>
    </row>
    <row r="502" spans="1:3" x14ac:dyDescent="0.2">
      <c r="A502" s="41">
        <f t="shared" si="8"/>
        <v>492</v>
      </c>
      <c r="B502" s="41">
        <v>16305.111360858793</v>
      </c>
      <c r="C502" s="41">
        <f>($F$22+B502)*$F$23/Main!$K$3</f>
        <v>379.27755528540149</v>
      </c>
    </row>
    <row r="503" spans="1:3" x14ac:dyDescent="0.2">
      <c r="A503" s="41">
        <f t="shared" si="8"/>
        <v>493</v>
      </c>
      <c r="B503" s="41">
        <v>3103.1795458854276</v>
      </c>
      <c r="C503" s="41">
        <f>($F$22+B503)*$F$23/Main!$K$3</f>
        <v>264.78577145761784</v>
      </c>
    </row>
    <row r="504" spans="1:3" x14ac:dyDescent="0.2">
      <c r="A504" s="41">
        <f t="shared" si="8"/>
        <v>494</v>
      </c>
      <c r="B504" s="41">
        <v>8676.0606953615425</v>
      </c>
      <c r="C504" s="41">
        <f>($F$22+B504)*$F$23/Main!$K$3</f>
        <v>313.11575170642408</v>
      </c>
    </row>
    <row r="505" spans="1:3" x14ac:dyDescent="0.2">
      <c r="A505" s="41">
        <f t="shared" si="8"/>
        <v>495</v>
      </c>
      <c r="B505" s="41">
        <v>7106.9901437751059</v>
      </c>
      <c r="C505" s="41">
        <f>($F$22+B505)*$F$23/Main!$K$3</f>
        <v>299.50822146611296</v>
      </c>
    </row>
    <row r="506" spans="1:3" x14ac:dyDescent="0.2">
      <c r="A506" s="41">
        <f t="shared" si="8"/>
        <v>496</v>
      </c>
      <c r="B506" s="41">
        <v>13911.326727278096</v>
      </c>
      <c r="C506" s="41">
        <f>($F$22+B506)*$F$23/Main!$K$3</f>
        <v>358.51781522316691</v>
      </c>
    </row>
    <row r="507" spans="1:3" x14ac:dyDescent="0.2">
      <c r="A507" s="41">
        <f t="shared" si="8"/>
        <v>497</v>
      </c>
      <c r="B507" s="41">
        <v>11433.318971515238</v>
      </c>
      <c r="C507" s="41">
        <f>($F$22+B507)*$F$23/Main!$K$3</f>
        <v>337.02766270059499</v>
      </c>
    </row>
    <row r="508" spans="1:3" x14ac:dyDescent="0.2">
      <c r="A508" s="41">
        <f t="shared" si="8"/>
        <v>498</v>
      </c>
      <c r="B508" s="41">
        <v>9314.5731656867702</v>
      </c>
      <c r="C508" s="41">
        <f>($F$22+B508)*$F$23/Main!$K$3</f>
        <v>318.65315583397057</v>
      </c>
    </row>
    <row r="509" spans="1:3" x14ac:dyDescent="0.2">
      <c r="A509" s="41">
        <f t="shared" si="8"/>
        <v>499</v>
      </c>
      <c r="B509" s="41">
        <v>4009.1341625918994</v>
      </c>
      <c r="C509" s="41">
        <f>($F$22+B509)*$F$23/Main!$K$3</f>
        <v>272.64252769507226</v>
      </c>
    </row>
    <row r="510" spans="1:3" x14ac:dyDescent="0.2">
      <c r="A510" s="41">
        <f t="shared" si="8"/>
        <v>500</v>
      </c>
      <c r="B510" s="41">
        <v>10741.147311291692</v>
      </c>
      <c r="C510" s="41">
        <f>($F$22+B510)*$F$23/Main!$K$3</f>
        <v>331.024907255051</v>
      </c>
    </row>
    <row r="511" spans="1:3" x14ac:dyDescent="0.2">
      <c r="A511" s="41">
        <f t="shared" si="8"/>
        <v>501</v>
      </c>
      <c r="B511" s="41">
        <v>12768.117006730208</v>
      </c>
      <c r="C511" s="41">
        <f>($F$22+B511)*$F$23/Main!$K$3</f>
        <v>348.60349949807437</v>
      </c>
    </row>
    <row r="512" spans="1:3" x14ac:dyDescent="0.2">
      <c r="A512" s="41">
        <f t="shared" si="8"/>
        <v>502</v>
      </c>
      <c r="B512" s="41">
        <v>5114.821069860428</v>
      </c>
      <c r="C512" s="41">
        <f>($F$22+B512)*$F$23/Main!$K$3</f>
        <v>282.23143242071404</v>
      </c>
    </row>
    <row r="513" spans="1:3" x14ac:dyDescent="0.2">
      <c r="A513" s="41">
        <f t="shared" si="8"/>
        <v>503</v>
      </c>
      <c r="B513" s="41">
        <v>9584.6145276212119</v>
      </c>
      <c r="C513" s="41">
        <f>($F$22+B513)*$F$23/Main!$K$3</f>
        <v>320.99504925293917</v>
      </c>
    </row>
    <row r="514" spans="1:3" x14ac:dyDescent="0.2">
      <c r="A514" s="41">
        <f t="shared" si="8"/>
        <v>504</v>
      </c>
      <c r="B514" s="41">
        <v>3641.4934428240572</v>
      </c>
      <c r="C514" s="41">
        <f>($F$22+B514)*$F$23/Main!$K$3</f>
        <v>269.45421840792602</v>
      </c>
    </row>
    <row r="515" spans="1:3" x14ac:dyDescent="0.2">
      <c r="A515" s="41">
        <f t="shared" si="8"/>
        <v>505</v>
      </c>
      <c r="B515" s="41">
        <v>12398.828928847837</v>
      </c>
      <c r="C515" s="41">
        <f>($F$22+B515)*$F$23/Main!$K$3</f>
        <v>345.40090374347949</v>
      </c>
    </row>
    <row r="516" spans="1:3" x14ac:dyDescent="0.2">
      <c r="A516" s="41">
        <f t="shared" si="8"/>
        <v>506</v>
      </c>
      <c r="B516" s="41">
        <v>9260.1290973473733</v>
      </c>
      <c r="C516" s="41">
        <f>($F$22+B516)*$F$23/Main!$K$3</f>
        <v>318.18099777480302</v>
      </c>
    </row>
    <row r="517" spans="1:3" x14ac:dyDescent="0.2">
      <c r="A517" s="41">
        <f t="shared" si="8"/>
        <v>507</v>
      </c>
      <c r="B517" s="41">
        <v>4593.8891202583591</v>
      </c>
      <c r="C517" s="41">
        <f>($F$22+B517)*$F$23/Main!$K$3</f>
        <v>277.71372781515163</v>
      </c>
    </row>
    <row r="518" spans="1:3" x14ac:dyDescent="0.2">
      <c r="A518" s="41">
        <f t="shared" si="8"/>
        <v>508</v>
      </c>
      <c r="B518" s="41">
        <v>8958.6463047544985</v>
      </c>
      <c r="C518" s="41">
        <f>($F$22+B518)*$F$23/Main!$K$3</f>
        <v>315.56643323977102</v>
      </c>
    </row>
    <row r="519" spans="1:3" x14ac:dyDescent="0.2">
      <c r="A519" s="41">
        <f t="shared" si="8"/>
        <v>509</v>
      </c>
      <c r="B519" s="41">
        <v>3212.1310064956706</v>
      </c>
      <c r="C519" s="41">
        <f>($F$22+B519)*$F$23/Main!$K$3</f>
        <v>265.73063674329984</v>
      </c>
    </row>
    <row r="520" spans="1:3" x14ac:dyDescent="0.2">
      <c r="A520" s="41">
        <f t="shared" si="8"/>
        <v>510</v>
      </c>
      <c r="B520" s="41">
        <v>1753.6923907799689</v>
      </c>
      <c r="C520" s="41">
        <f>($F$22+B520)*$F$23/Main!$K$3</f>
        <v>253.08254545962652</v>
      </c>
    </row>
    <row r="521" spans="1:3" x14ac:dyDescent="0.2">
      <c r="A521" s="41">
        <f t="shared" si="8"/>
        <v>511</v>
      </c>
      <c r="B521" s="41">
        <v>6539.7084154883896</v>
      </c>
      <c r="C521" s="41">
        <f>($F$22+B521)*$F$23/Main!$K$3</f>
        <v>294.58855532067884</v>
      </c>
    </row>
    <row r="522" spans="1:3" x14ac:dyDescent="0.2">
      <c r="A522" s="41">
        <f t="shared" si="8"/>
        <v>512</v>
      </c>
      <c r="B522" s="41">
        <v>5502.6039247754525</v>
      </c>
      <c r="C522" s="41">
        <f>($F$22+B522)*$F$23/Main!$K$3</f>
        <v>285.59442136955084</v>
      </c>
    </row>
    <row r="523" spans="1:3" x14ac:dyDescent="0.2">
      <c r="A523" s="41">
        <f t="shared" si="8"/>
        <v>513</v>
      </c>
      <c r="B523" s="41">
        <v>11689.303500998183</v>
      </c>
      <c r="C523" s="41">
        <f>($F$22+B523)*$F$23/Main!$K$3</f>
        <v>339.24765033752385</v>
      </c>
    </row>
    <row r="524" spans="1:3" x14ac:dyDescent="0.2">
      <c r="A524" s="41">
        <f t="shared" si="8"/>
        <v>514</v>
      </c>
      <c r="B524" s="41">
        <v>6422.6666916478707</v>
      </c>
      <c r="C524" s="41">
        <f>($F$22+B524)*$F$23/Main!$K$3</f>
        <v>293.57352843426656</v>
      </c>
    </row>
    <row r="525" spans="1:3" x14ac:dyDescent="0.2">
      <c r="A525" s="41">
        <f t="shared" si="8"/>
        <v>515</v>
      </c>
      <c r="B525" s="41">
        <v>3396.8422080084638</v>
      </c>
      <c r="C525" s="41">
        <f>($F$22+B525)*$F$23/Main!$K$3</f>
        <v>267.33251707797842</v>
      </c>
    </row>
    <row r="526" spans="1:3" x14ac:dyDescent="0.2">
      <c r="A526" s="41">
        <f t="shared" si="8"/>
        <v>516</v>
      </c>
      <c r="B526" s="41">
        <v>5604.3152168292299</v>
      </c>
      <c r="C526" s="41">
        <f>($F$22+B526)*$F$23/Main!$K$3</f>
        <v>286.47649737372001</v>
      </c>
    </row>
    <row r="527" spans="1:3" x14ac:dyDescent="0.2">
      <c r="A527" s="41">
        <f t="shared" si="8"/>
        <v>517</v>
      </c>
      <c r="B527" s="41">
        <v>5099.8077748862661</v>
      </c>
      <c r="C527" s="41">
        <f>($F$22+B527)*$F$23/Main!$K$3</f>
        <v>282.10123186015863</v>
      </c>
    </row>
    <row r="528" spans="1:3" x14ac:dyDescent="0.2">
      <c r="A528" s="41">
        <f t="shared" si="8"/>
        <v>518</v>
      </c>
      <c r="B528" s="41">
        <v>10413.358294346273</v>
      </c>
      <c r="C528" s="41">
        <f>($F$22+B528)*$F$23/Main!$K$3</f>
        <v>328.18220591442815</v>
      </c>
    </row>
    <row r="529" spans="1:3" x14ac:dyDescent="0.2">
      <c r="A529" s="41">
        <f t="shared" si="8"/>
        <v>519</v>
      </c>
      <c r="B529" s="41">
        <v>16518.520703431685</v>
      </c>
      <c r="C529" s="41">
        <f>($F$22+B529)*$F$23/Main!$K$3</f>
        <v>381.12831596642343</v>
      </c>
    </row>
    <row r="530" spans="1:3" x14ac:dyDescent="0.2">
      <c r="A530" s="41">
        <f t="shared" si="8"/>
        <v>520</v>
      </c>
      <c r="B530" s="41">
        <v>7372.6701330569776</v>
      </c>
      <c r="C530" s="41">
        <f>($F$22+B530)*$F$23/Main!$K$3</f>
        <v>301.81229153150508</v>
      </c>
    </row>
    <row r="531" spans="1:3" x14ac:dyDescent="0.2">
      <c r="A531" s="41">
        <f t="shared" si="8"/>
        <v>521</v>
      </c>
      <c r="B531" s="41">
        <v>9592.681331550315</v>
      </c>
      <c r="C531" s="41">
        <f>($F$22+B531)*$F$23/Main!$K$3</f>
        <v>321.06500740638035</v>
      </c>
    </row>
    <row r="532" spans="1:3" x14ac:dyDescent="0.2">
      <c r="A532" s="41">
        <f t="shared" ref="A532:A595" si="9">A531+1</f>
        <v>522</v>
      </c>
      <c r="B532" s="41">
        <v>8310.4562666311376</v>
      </c>
      <c r="C532" s="41">
        <f>($F$22+B532)*$F$23/Main!$K$3</f>
        <v>309.94510184946859</v>
      </c>
    </row>
    <row r="533" spans="1:3" x14ac:dyDescent="0.2">
      <c r="A533" s="41">
        <f t="shared" si="9"/>
        <v>523</v>
      </c>
      <c r="B533" s="41">
        <v>9337.8711024681743</v>
      </c>
      <c r="C533" s="41">
        <f>($F$22+B533)*$F$23/Main!$K$3</f>
        <v>318.85520371446211</v>
      </c>
    </row>
    <row r="534" spans="1:3" x14ac:dyDescent="0.2">
      <c r="A534" s="41">
        <f t="shared" si="9"/>
        <v>524</v>
      </c>
      <c r="B534" s="41">
        <v>9119.3375055426968</v>
      </c>
      <c r="C534" s="41">
        <f>($F$22+B534)*$F$23/Main!$K$3</f>
        <v>316.96000370214858</v>
      </c>
    </row>
    <row r="535" spans="1:3" x14ac:dyDescent="0.2">
      <c r="A535" s="41">
        <f t="shared" si="9"/>
        <v>525</v>
      </c>
      <c r="B535" s="41">
        <v>9325.2088447073638</v>
      </c>
      <c r="C535" s="41">
        <f>($F$22+B535)*$F$23/Main!$K$3</f>
        <v>318.74539217334524</v>
      </c>
    </row>
    <row r="536" spans="1:3" x14ac:dyDescent="0.2">
      <c r="A536" s="41">
        <f t="shared" si="9"/>
        <v>526</v>
      </c>
      <c r="B536" s="41">
        <v>6203.5909482316838</v>
      </c>
      <c r="C536" s="41">
        <f>($F$22+B536)*$F$23/Main!$K$3</f>
        <v>291.67362673740513</v>
      </c>
    </row>
    <row r="537" spans="1:3" x14ac:dyDescent="0.2">
      <c r="A537" s="41">
        <f t="shared" si="9"/>
        <v>527</v>
      </c>
      <c r="B537" s="41">
        <v>4931.8269966541611</v>
      </c>
      <c r="C537" s="41">
        <f>($F$22+B537)*$F$23/Main!$K$3</f>
        <v>280.64444362506413</v>
      </c>
    </row>
    <row r="538" spans="1:3" x14ac:dyDescent="0.2">
      <c r="A538" s="41">
        <f t="shared" si="9"/>
        <v>528</v>
      </c>
      <c r="B538" s="41">
        <v>14377.581019959744</v>
      </c>
      <c r="C538" s="41">
        <f>($F$22+B538)*$F$23/Main!$K$3</f>
        <v>362.5613360074463</v>
      </c>
    </row>
    <row r="539" spans="1:3" x14ac:dyDescent="0.2">
      <c r="A539" s="41">
        <f t="shared" si="9"/>
        <v>529</v>
      </c>
      <c r="B539" s="41">
        <v>6466.1688324659635</v>
      </c>
      <c r="C539" s="41">
        <f>($F$22+B539)*$F$23/Main!$K$3</f>
        <v>293.95079425963172</v>
      </c>
    </row>
    <row r="540" spans="1:3" x14ac:dyDescent="0.2">
      <c r="A540" s="41">
        <f t="shared" si="9"/>
        <v>530</v>
      </c>
      <c r="B540" s="41">
        <v>9603.7772487301791</v>
      </c>
      <c r="C540" s="41">
        <f>($F$22+B540)*$F$23/Main!$K$3</f>
        <v>321.16123509251997</v>
      </c>
    </row>
    <row r="541" spans="1:3" x14ac:dyDescent="0.2">
      <c r="A541" s="41">
        <f t="shared" si="9"/>
        <v>531</v>
      </c>
      <c r="B541" s="41">
        <v>13475.098976610832</v>
      </c>
      <c r="C541" s="41">
        <f>($F$22+B541)*$F$23/Main!$K$3</f>
        <v>354.73469514429854</v>
      </c>
    </row>
    <row r="542" spans="1:3" x14ac:dyDescent="0.2">
      <c r="A542" s="41">
        <f t="shared" si="9"/>
        <v>532</v>
      </c>
      <c r="B542" s="41">
        <v>7499.929059033022</v>
      </c>
      <c r="C542" s="41">
        <f>($F$22+B542)*$F$23/Main!$K$3</f>
        <v>302.91592557894654</v>
      </c>
    </row>
    <row r="543" spans="1:3" x14ac:dyDescent="0.2">
      <c r="A543" s="41">
        <f t="shared" si="9"/>
        <v>533</v>
      </c>
      <c r="B543" s="41">
        <v>10886.098712613319</v>
      </c>
      <c r="C543" s="41">
        <f>($F$22+B543)*$F$23/Main!$K$3</f>
        <v>332.28197665506315</v>
      </c>
    </row>
    <row r="544" spans="1:3" x14ac:dyDescent="0.2">
      <c r="A544" s="41">
        <f t="shared" si="9"/>
        <v>534</v>
      </c>
      <c r="B544" s="41">
        <v>7842.0689739935406</v>
      </c>
      <c r="C544" s="41">
        <f>($F$22+B544)*$F$23/Main!$K$3</f>
        <v>305.88308294133253</v>
      </c>
    </row>
    <row r="545" spans="1:3" x14ac:dyDescent="0.2">
      <c r="A545" s="41">
        <f t="shared" si="9"/>
        <v>535</v>
      </c>
      <c r="B545" s="41">
        <v>10550.991035112043</v>
      </c>
      <c r="C545" s="41">
        <f>($F$22+B545)*$F$23/Main!$K$3</f>
        <v>329.3758053227744</v>
      </c>
    </row>
    <row r="546" spans="1:3" x14ac:dyDescent="0.2">
      <c r="A546" s="41">
        <f t="shared" si="9"/>
        <v>536</v>
      </c>
      <c r="B546" s="41">
        <v>5151.7410874363632</v>
      </c>
      <c r="C546" s="41">
        <f>($F$22+B546)*$F$23/Main!$K$3</f>
        <v>282.55161576436893</v>
      </c>
    </row>
    <row r="547" spans="1:3" x14ac:dyDescent="0.2">
      <c r="A547" s="41">
        <f t="shared" si="9"/>
        <v>537</v>
      </c>
      <c r="B547" s="41">
        <v>7023.9239990645265</v>
      </c>
      <c r="C547" s="41">
        <f>($F$22+B547)*$F$23/Main!$K$3</f>
        <v>298.78784272026729</v>
      </c>
    </row>
    <row r="548" spans="1:3" x14ac:dyDescent="0.2">
      <c r="A548" s="41">
        <f t="shared" si="9"/>
        <v>538</v>
      </c>
      <c r="B548" s="41">
        <v>4375.9396171977669</v>
      </c>
      <c r="C548" s="41">
        <f>($F$22+B548)*$F$23/Main!$K$3</f>
        <v>275.82359326972971</v>
      </c>
    </row>
    <row r="549" spans="1:3" x14ac:dyDescent="0.2">
      <c r="A549" s="41">
        <f t="shared" si="9"/>
        <v>539</v>
      </c>
      <c r="B549" s="41">
        <v>8091.2757960836561</v>
      </c>
      <c r="C549" s="41">
        <f>($F$22+B549)*$F$23/Main!$K$3</f>
        <v>308.04429192218709</v>
      </c>
    </row>
    <row r="550" spans="1:3" x14ac:dyDescent="0.2">
      <c r="A550" s="41">
        <f t="shared" si="9"/>
        <v>540</v>
      </c>
      <c r="B550" s="41">
        <v>7516.2257178500313</v>
      </c>
      <c r="C550" s="41">
        <f>($F$22+B550)*$F$23/Main!$K$3</f>
        <v>303.05725592094058</v>
      </c>
    </row>
    <row r="551" spans="1:3" x14ac:dyDescent="0.2">
      <c r="A551" s="41">
        <f t="shared" si="9"/>
        <v>541</v>
      </c>
      <c r="B551" s="41">
        <v>5074.760422451428</v>
      </c>
      <c r="C551" s="41">
        <f>($F$22+B551)*$F$23/Main!$K$3</f>
        <v>281.88401243343992</v>
      </c>
    </row>
    <row r="552" spans="1:3" x14ac:dyDescent="0.2">
      <c r="A552" s="41">
        <f t="shared" si="9"/>
        <v>542</v>
      </c>
      <c r="B552" s="41">
        <v>5350.0605440668332</v>
      </c>
      <c r="C552" s="41">
        <f>($F$22+B552)*$F$23/Main!$K$3</f>
        <v>284.27151166109115</v>
      </c>
    </row>
    <row r="553" spans="1:3" x14ac:dyDescent="0.2">
      <c r="A553" s="41">
        <f t="shared" si="9"/>
        <v>543</v>
      </c>
      <c r="B553" s="41">
        <v>1248.6848107741916</v>
      </c>
      <c r="C553" s="41">
        <f>($F$22+B553)*$F$23/Main!$K$3</f>
        <v>248.70294257334012</v>
      </c>
    </row>
    <row r="554" spans="1:3" x14ac:dyDescent="0.2">
      <c r="A554" s="41">
        <f t="shared" si="9"/>
        <v>544</v>
      </c>
      <c r="B554" s="41">
        <v>6737.2500350240625</v>
      </c>
      <c r="C554" s="41">
        <f>($F$22+B554)*$F$23/Main!$K$3</f>
        <v>296.30170554125613</v>
      </c>
    </row>
    <row r="555" spans="1:3" x14ac:dyDescent="0.2">
      <c r="A555" s="41">
        <f t="shared" si="9"/>
        <v>545</v>
      </c>
      <c r="B555" s="41">
        <v>3436.5745862433018</v>
      </c>
      <c r="C555" s="41">
        <f>($F$22+B555)*$F$23/Main!$K$3</f>
        <v>267.67709019982016</v>
      </c>
    </row>
    <row r="556" spans="1:3" x14ac:dyDescent="0.2">
      <c r="A556" s="41">
        <f t="shared" si="9"/>
        <v>546</v>
      </c>
      <c r="B556" s="41">
        <v>10111.284153947396</v>
      </c>
      <c r="C556" s="41">
        <f>($F$22+B556)*$F$23/Main!$K$3</f>
        <v>325.5625130037825</v>
      </c>
    </row>
    <row r="557" spans="1:3" x14ac:dyDescent="0.2">
      <c r="A557" s="41">
        <f t="shared" si="9"/>
        <v>547</v>
      </c>
      <c r="B557" s="41">
        <v>4181.6863645520043</v>
      </c>
      <c r="C557" s="41">
        <f>($F$22+B557)*$F$23/Main!$K$3</f>
        <v>274.13896092035361</v>
      </c>
    </row>
    <row r="558" spans="1:3" x14ac:dyDescent="0.2">
      <c r="A558" s="41">
        <f t="shared" si="9"/>
        <v>548</v>
      </c>
      <c r="B558" s="41">
        <v>1429.1470233327195</v>
      </c>
      <c r="C558" s="41">
        <f>($F$22+B558)*$F$23/Main!$K$3</f>
        <v>250.26797418529716</v>
      </c>
    </row>
    <row r="559" spans="1:3" x14ac:dyDescent="0.2">
      <c r="A559" s="41">
        <f t="shared" si="9"/>
        <v>549</v>
      </c>
      <c r="B559" s="41">
        <v>13634.30629412226</v>
      </c>
      <c r="C559" s="41">
        <f>($F$22+B559)*$F$23/Main!$K$3</f>
        <v>356.11539685036598</v>
      </c>
    </row>
    <row r="560" spans="1:3" x14ac:dyDescent="0.2">
      <c r="A560" s="41">
        <f t="shared" si="9"/>
        <v>550</v>
      </c>
      <c r="B560" s="41">
        <v>17501.18616782756</v>
      </c>
      <c r="C560" s="41">
        <f>($F$22+B560)*$F$23/Main!$K$3</f>
        <v>389.65033558457037</v>
      </c>
    </row>
    <row r="561" spans="1:3" x14ac:dyDescent="0.2">
      <c r="A561" s="41">
        <f t="shared" si="9"/>
        <v>551</v>
      </c>
      <c r="B561" s="41">
        <v>6415.3201685009044</v>
      </c>
      <c r="C561" s="41">
        <f>($F$22+B561)*$F$23/Main!$K$3</f>
        <v>293.5098168084366</v>
      </c>
    </row>
    <row r="562" spans="1:3" x14ac:dyDescent="0.2">
      <c r="A562" s="41">
        <f t="shared" si="9"/>
        <v>552</v>
      </c>
      <c r="B562" s="41">
        <v>15087.870463261939</v>
      </c>
      <c r="C562" s="41">
        <f>($F$22+B562)*$F$23/Main!$K$3</f>
        <v>368.72121522341661</v>
      </c>
    </row>
    <row r="563" spans="1:3" x14ac:dyDescent="0.2">
      <c r="A563" s="41">
        <f t="shared" si="9"/>
        <v>553</v>
      </c>
      <c r="B563" s="41">
        <v>4883.4039282210497</v>
      </c>
      <c r="C563" s="41">
        <f>($F$22+B563)*$F$23/Main!$K$3</f>
        <v>280.22450178920087</v>
      </c>
    </row>
    <row r="564" spans="1:3" x14ac:dyDescent="0.2">
      <c r="A564" s="41">
        <f t="shared" si="9"/>
        <v>554</v>
      </c>
      <c r="B564" s="41">
        <v>2320.2128100565851</v>
      </c>
      <c r="C564" s="41">
        <f>($F$22+B564)*$F$23/Main!$K$3</f>
        <v>257.99560926626418</v>
      </c>
    </row>
    <row r="565" spans="1:3" x14ac:dyDescent="0.2">
      <c r="A565" s="41">
        <f t="shared" si="9"/>
        <v>555</v>
      </c>
      <c r="B565" s="41">
        <v>4004.1435793693872</v>
      </c>
      <c r="C565" s="41">
        <f>($F$22+B565)*$F$23/Main!$K$3</f>
        <v>272.5992476067114</v>
      </c>
    </row>
    <row r="566" spans="1:3" x14ac:dyDescent="0.2">
      <c r="A566" s="41">
        <f t="shared" si="9"/>
        <v>556</v>
      </c>
      <c r="B566" s="41">
        <v>6501.5588963647806</v>
      </c>
      <c r="C566" s="41">
        <f>($F$22+B566)*$F$23/Main!$K$3</f>
        <v>294.25770930830356</v>
      </c>
    </row>
    <row r="567" spans="1:3" x14ac:dyDescent="0.2">
      <c r="A567" s="41">
        <f t="shared" si="9"/>
        <v>557</v>
      </c>
      <c r="B567" s="41">
        <v>28610.871355755829</v>
      </c>
      <c r="C567" s="41">
        <f>($F$22+B567)*$F$23/Main!$K$3</f>
        <v>485.99742271983132</v>
      </c>
    </row>
    <row r="568" spans="1:3" x14ac:dyDescent="0.2">
      <c r="A568" s="41">
        <f t="shared" si="9"/>
        <v>558</v>
      </c>
      <c r="B568" s="41">
        <v>1464.8950211890419</v>
      </c>
      <c r="C568" s="41">
        <f>($F$22+B568)*$F$23/Main!$K$3</f>
        <v>250.57799336280871</v>
      </c>
    </row>
    <row r="569" spans="1:3" x14ac:dyDescent="0.2">
      <c r="A569" s="41">
        <f t="shared" si="9"/>
        <v>559</v>
      </c>
      <c r="B569" s="41">
        <v>4599.2767334120626</v>
      </c>
      <c r="C569" s="41">
        <f>($F$22+B569)*$F$23/Main!$K$3</f>
        <v>277.76045108635066</v>
      </c>
    </row>
    <row r="570" spans="1:3" x14ac:dyDescent="0.2">
      <c r="A570" s="41">
        <f t="shared" si="9"/>
        <v>560</v>
      </c>
      <c r="B570" s="41">
        <v>10728.904568691216</v>
      </c>
      <c r="C570" s="41">
        <f>($F$22+B570)*$F$23/Main!$K$3</f>
        <v>330.91873389656695</v>
      </c>
    </row>
    <row r="571" spans="1:3" x14ac:dyDescent="0.2">
      <c r="A571" s="41">
        <f t="shared" si="9"/>
        <v>561</v>
      </c>
      <c r="B571" s="41">
        <v>15930.580404096192</v>
      </c>
      <c r="C571" s="41">
        <f>($F$22+B571)*$F$23/Main!$K$3</f>
        <v>376.0294914459987</v>
      </c>
    </row>
    <row r="572" spans="1:3" x14ac:dyDescent="0.2">
      <c r="A572" s="41">
        <f t="shared" si="9"/>
        <v>562</v>
      </c>
      <c r="B572" s="41">
        <v>6801.0650250168192</v>
      </c>
      <c r="C572" s="41">
        <f>($F$22+B572)*$F$23/Main!$K$3</f>
        <v>296.85513152024333</v>
      </c>
    </row>
    <row r="573" spans="1:3" x14ac:dyDescent="0.2">
      <c r="A573" s="41">
        <f t="shared" si="9"/>
        <v>563</v>
      </c>
      <c r="B573" s="41">
        <v>7511.2266754543616</v>
      </c>
      <c r="C573" s="41">
        <f>($F$22+B573)*$F$23/Main!$K$3</f>
        <v>303.01390247166267</v>
      </c>
    </row>
    <row r="574" spans="1:3" x14ac:dyDescent="0.2">
      <c r="A574" s="41">
        <f t="shared" si="9"/>
        <v>564</v>
      </c>
      <c r="B574" s="41">
        <v>13156.146477110638</v>
      </c>
      <c r="C574" s="41">
        <f>($F$22+B574)*$F$23/Main!$K$3</f>
        <v>351.96862718273786</v>
      </c>
    </row>
    <row r="575" spans="1:3" x14ac:dyDescent="0.2">
      <c r="A575" s="41">
        <f t="shared" si="9"/>
        <v>565</v>
      </c>
      <c r="B575" s="41">
        <v>10532.977382078127</v>
      </c>
      <c r="C575" s="41">
        <f>($F$22+B575)*$F$23/Main!$K$3</f>
        <v>329.21958460462395</v>
      </c>
    </row>
    <row r="576" spans="1:3" x14ac:dyDescent="0.2">
      <c r="A576" s="41">
        <f t="shared" si="9"/>
        <v>566</v>
      </c>
      <c r="B576" s="41">
        <v>5635.1131144514793</v>
      </c>
      <c r="C576" s="41">
        <f>($F$22+B576)*$F$23/Main!$K$3</f>
        <v>286.74358754554754</v>
      </c>
    </row>
    <row r="577" spans="1:3" x14ac:dyDescent="0.2">
      <c r="A577" s="41">
        <f t="shared" si="9"/>
        <v>567</v>
      </c>
      <c r="B577" s="41">
        <v>8631.7866004522548</v>
      </c>
      <c r="C577" s="41">
        <f>($F$22+B577)*$F$23/Main!$K$3</f>
        <v>312.73179122438495</v>
      </c>
    </row>
    <row r="578" spans="1:3" x14ac:dyDescent="0.2">
      <c r="A578" s="41">
        <f t="shared" si="9"/>
        <v>568</v>
      </c>
      <c r="B578" s="41">
        <v>9607.4649287946559</v>
      </c>
      <c r="C578" s="41">
        <f>($F$22+B578)*$F$23/Main!$K$3</f>
        <v>321.19321594764671</v>
      </c>
    </row>
    <row r="579" spans="1:3" x14ac:dyDescent="0.2">
      <c r="A579" s="41">
        <f t="shared" si="9"/>
        <v>569</v>
      </c>
      <c r="B579" s="41">
        <v>13868.871930363553</v>
      </c>
      <c r="C579" s="41">
        <f>($F$22+B579)*$F$23/Main!$K$3</f>
        <v>358.14963233153287</v>
      </c>
    </row>
    <row r="580" spans="1:3" x14ac:dyDescent="0.2">
      <c r="A580" s="41">
        <f t="shared" si="9"/>
        <v>570</v>
      </c>
      <c r="B580" s="41">
        <v>5135.9521715895235</v>
      </c>
      <c r="C580" s="41">
        <f>($F$22+B580)*$F$23/Main!$K$3</f>
        <v>282.41468874752428</v>
      </c>
    </row>
    <row r="581" spans="1:3" x14ac:dyDescent="0.2">
      <c r="A581" s="41">
        <f t="shared" si="9"/>
        <v>571</v>
      </c>
      <c r="B581" s="41">
        <v>15658.737642767752</v>
      </c>
      <c r="C581" s="41">
        <f>($F$22+B581)*$F$23/Main!$K$3</f>
        <v>373.67197565956928</v>
      </c>
    </row>
    <row r="582" spans="1:3" x14ac:dyDescent="0.2">
      <c r="A582" s="41">
        <f t="shared" si="9"/>
        <v>572</v>
      </c>
      <c r="B582" s="41">
        <v>4607.1271087607547</v>
      </c>
      <c r="C582" s="41">
        <f>($F$22+B582)*$F$23/Main!$K$3</f>
        <v>277.82853229522118</v>
      </c>
    </row>
    <row r="583" spans="1:3" x14ac:dyDescent="0.2">
      <c r="A583" s="41">
        <f t="shared" si="9"/>
        <v>573</v>
      </c>
      <c r="B583" s="41">
        <v>15033.537667080904</v>
      </c>
      <c r="C583" s="41">
        <f>($F$22+B583)*$F$23/Main!$K$3</f>
        <v>368.25002215543975</v>
      </c>
    </row>
    <row r="584" spans="1:3" x14ac:dyDescent="0.2">
      <c r="A584" s="41">
        <f t="shared" si="9"/>
        <v>574</v>
      </c>
      <c r="B584" s="41">
        <v>10184.978900008342</v>
      </c>
      <c r="C584" s="41">
        <f>($F$22+B584)*$F$23/Main!$K$3</f>
        <v>326.2016196931296</v>
      </c>
    </row>
    <row r="585" spans="1:3" x14ac:dyDescent="0.2">
      <c r="A585" s="41">
        <f t="shared" si="9"/>
        <v>575</v>
      </c>
      <c r="B585" s="41">
        <v>8548.977335633459</v>
      </c>
      <c r="C585" s="41">
        <f>($F$22+B585)*$F$23/Main!$K$3</f>
        <v>312.0136402310722</v>
      </c>
    </row>
    <row r="586" spans="1:3" x14ac:dyDescent="0.2">
      <c r="A586" s="41">
        <f t="shared" si="9"/>
        <v>576</v>
      </c>
      <c r="B586" s="41">
        <v>10993.044425795411</v>
      </c>
      <c r="C586" s="41">
        <f>($F$22+B586)*$F$23/Main!$K$3</f>
        <v>333.20944739544865</v>
      </c>
    </row>
    <row r="587" spans="1:3" x14ac:dyDescent="0.2">
      <c r="A587" s="41">
        <f t="shared" si="9"/>
        <v>577</v>
      </c>
      <c r="B587" s="41">
        <v>6598.1432709309584</v>
      </c>
      <c r="C587" s="41">
        <f>($F$22+B587)*$F$23/Main!$K$3</f>
        <v>295.0953228855401</v>
      </c>
    </row>
    <row r="588" spans="1:3" x14ac:dyDescent="0.2">
      <c r="A588" s="41">
        <f t="shared" si="9"/>
        <v>578</v>
      </c>
      <c r="B588" s="41">
        <v>5176.1874384990942</v>
      </c>
      <c r="C588" s="41">
        <f>($F$22+B588)*$F$23/Main!$K$3</f>
        <v>282.76362309636244</v>
      </c>
    </row>
    <row r="589" spans="1:3" x14ac:dyDescent="0.2">
      <c r="A589" s="41">
        <f t="shared" si="9"/>
        <v>579</v>
      </c>
      <c r="B589" s="41">
        <v>11261.656636507862</v>
      </c>
      <c r="C589" s="41">
        <f>($F$22+B589)*$F$23/Main!$K$3</f>
        <v>335.53894671368573</v>
      </c>
    </row>
    <row r="590" spans="1:3" x14ac:dyDescent="0.2">
      <c r="A590" s="41">
        <f t="shared" si="9"/>
        <v>580</v>
      </c>
      <c r="B590" s="41">
        <v>2263.5323250709516</v>
      </c>
      <c r="C590" s="41">
        <f>($F$22+B590)*$F$23/Main!$K$3</f>
        <v>257.50405621742408</v>
      </c>
    </row>
    <row r="591" spans="1:3" x14ac:dyDescent="0.2">
      <c r="A591" s="41">
        <f t="shared" si="9"/>
        <v>581</v>
      </c>
      <c r="B591" s="41">
        <v>5144.4170734475993</v>
      </c>
      <c r="C591" s="41">
        <f>($F$22+B591)*$F$23/Main!$K$3</f>
        <v>282.48809934585495</v>
      </c>
    </row>
    <row r="592" spans="1:3" x14ac:dyDescent="0.2">
      <c r="A592" s="41">
        <f t="shared" si="9"/>
        <v>582</v>
      </c>
      <c r="B592" s="41">
        <v>9192.4364506514212</v>
      </c>
      <c r="C592" s="41">
        <f>($F$22+B592)*$F$23/Main!$K$3</f>
        <v>317.59394339663601</v>
      </c>
    </row>
    <row r="593" spans="1:3" x14ac:dyDescent="0.2">
      <c r="A593" s="41">
        <f t="shared" si="9"/>
        <v>583</v>
      </c>
      <c r="B593" s="41">
        <v>14355.085209040069</v>
      </c>
      <c r="C593" s="41">
        <f>($F$22+B593)*$F$23/Main!$K$3</f>
        <v>362.36624444380669</v>
      </c>
    </row>
    <row r="594" spans="1:3" x14ac:dyDescent="0.2">
      <c r="A594" s="41">
        <f t="shared" si="9"/>
        <v>584</v>
      </c>
      <c r="B594" s="41">
        <v>16022.255274460165</v>
      </c>
      <c r="C594" s="41">
        <f>($F$22+B594)*$F$23/Main!$K$3</f>
        <v>376.82452808058019</v>
      </c>
    </row>
    <row r="595" spans="1:3" x14ac:dyDescent="0.2">
      <c r="A595" s="41">
        <f t="shared" si="9"/>
        <v>585</v>
      </c>
      <c r="B595" s="41">
        <v>16628.079457113578</v>
      </c>
      <c r="C595" s="41">
        <f>($F$22+B595)*$F$23/Main!$K$3</f>
        <v>382.07844791065617</v>
      </c>
    </row>
    <row r="596" spans="1:3" x14ac:dyDescent="0.2">
      <c r="A596" s="41">
        <f t="shared" ref="A596:A659" si="10">A595+1</f>
        <v>586</v>
      </c>
      <c r="B596" s="41">
        <v>14866.795397870737</v>
      </c>
      <c r="C596" s="41">
        <f>($F$22+B596)*$F$23/Main!$K$3</f>
        <v>366.80397470504221</v>
      </c>
    </row>
    <row r="597" spans="1:3" x14ac:dyDescent="0.2">
      <c r="A597" s="41">
        <f t="shared" si="10"/>
        <v>587</v>
      </c>
      <c r="B597" s="41">
        <v>3786.426047572636</v>
      </c>
      <c r="C597" s="41">
        <f>($F$22+B597)*$F$23/Main!$K$3</f>
        <v>270.71112479746307</v>
      </c>
    </row>
    <row r="598" spans="1:3" x14ac:dyDescent="0.2">
      <c r="A598" s="41">
        <f t="shared" si="10"/>
        <v>588</v>
      </c>
      <c r="B598" s="41">
        <v>4482.5664561994081</v>
      </c>
      <c r="C598" s="41">
        <f>($F$22+B598)*$F$23/Main!$K$3</f>
        <v>276.74829862136392</v>
      </c>
    </row>
    <row r="599" spans="1:3" x14ac:dyDescent="0.2">
      <c r="A599" s="41">
        <f t="shared" si="10"/>
        <v>589</v>
      </c>
      <c r="B599" s="41">
        <v>7829.9468176460423</v>
      </c>
      <c r="C599" s="41">
        <f>($F$22+B599)*$F$23/Main!$K$3</f>
        <v>305.77795534913497</v>
      </c>
    </row>
    <row r="600" spans="1:3" x14ac:dyDescent="0.2">
      <c r="A600" s="41">
        <f t="shared" si="10"/>
        <v>590</v>
      </c>
      <c r="B600" s="41">
        <v>1051.8682615807061</v>
      </c>
      <c r="C600" s="41">
        <f>($F$22+B600)*$F$23/Main!$K$3</f>
        <v>246.99608041711892</v>
      </c>
    </row>
    <row r="601" spans="1:3" x14ac:dyDescent="0.2">
      <c r="A601" s="41">
        <f t="shared" si="10"/>
        <v>591</v>
      </c>
      <c r="B601" s="41">
        <v>6673.0903537663598</v>
      </c>
      <c r="C601" s="41">
        <f>($F$22+B601)*$F$23/Main!$K$3</f>
        <v>295.7452902787046</v>
      </c>
    </row>
    <row r="602" spans="1:3" x14ac:dyDescent="0.2">
      <c r="A602" s="41">
        <f t="shared" si="10"/>
        <v>592</v>
      </c>
      <c r="B602" s="41">
        <v>2296.7432903834929</v>
      </c>
      <c r="C602" s="41">
        <f>($F$22+B602)*$F$23/Main!$K$3</f>
        <v>257.79207335874599</v>
      </c>
    </row>
    <row r="603" spans="1:3" x14ac:dyDescent="0.2">
      <c r="A603" s="41">
        <f t="shared" si="10"/>
        <v>593</v>
      </c>
      <c r="B603" s="41">
        <v>12037.940192124466</v>
      </c>
      <c r="C603" s="41">
        <f>($F$22+B603)*$F$23/Main!$K$3</f>
        <v>342.27115002183456</v>
      </c>
    </row>
    <row r="604" spans="1:3" x14ac:dyDescent="0.2">
      <c r="A604" s="41">
        <f t="shared" si="10"/>
        <v>594</v>
      </c>
      <c r="B604" s="41">
        <v>16903.181989567762</v>
      </c>
      <c r="C604" s="41">
        <f>($F$22+B604)*$F$23/Main!$K$3</f>
        <v>384.46423357578868</v>
      </c>
    </row>
    <row r="605" spans="1:3" x14ac:dyDescent="0.2">
      <c r="A605" s="41">
        <f t="shared" si="10"/>
        <v>595</v>
      </c>
      <c r="B605" s="41">
        <v>9516.6597045131693</v>
      </c>
      <c r="C605" s="41">
        <f>($F$22+B605)*$F$23/Main!$K$3</f>
        <v>320.4057211889571</v>
      </c>
    </row>
    <row r="606" spans="1:3" x14ac:dyDescent="0.2">
      <c r="A606" s="41">
        <f t="shared" si="10"/>
        <v>596</v>
      </c>
      <c r="B606" s="41">
        <v>4310.8391969297991</v>
      </c>
      <c r="C606" s="41">
        <f>($F$22+B606)*$F$23/Main!$K$3</f>
        <v>275.25901958847766</v>
      </c>
    </row>
    <row r="607" spans="1:3" x14ac:dyDescent="0.2">
      <c r="A607" s="41">
        <f t="shared" si="10"/>
        <v>597</v>
      </c>
      <c r="B607" s="41">
        <v>3654.7172500342654</v>
      </c>
      <c r="C607" s="41">
        <f>($F$22+B607)*$F$23/Main!$K$3</f>
        <v>269.56889990285498</v>
      </c>
    </row>
    <row r="608" spans="1:3" x14ac:dyDescent="0.2">
      <c r="A608" s="41">
        <f t="shared" si="10"/>
        <v>598</v>
      </c>
      <c r="B608" s="41">
        <v>11610.33731982157</v>
      </c>
      <c r="C608" s="41">
        <f>($F$22+B608)*$F$23/Main!$K$3</f>
        <v>338.56282791367789</v>
      </c>
    </row>
    <row r="609" spans="1:3" x14ac:dyDescent="0.2">
      <c r="A609" s="41">
        <f t="shared" si="10"/>
        <v>599</v>
      </c>
      <c r="B609" s="41">
        <v>14759.914737075209</v>
      </c>
      <c r="C609" s="41">
        <f>($F$22+B609)*$F$23/Main!$K$3</f>
        <v>365.87706812177282</v>
      </c>
    </row>
    <row r="610" spans="1:3" x14ac:dyDescent="0.2">
      <c r="A610" s="41">
        <f t="shared" si="10"/>
        <v>600</v>
      </c>
      <c r="B610" s="41">
        <v>4264.2000528319932</v>
      </c>
      <c r="C610" s="41">
        <f>($F$22+B610)*$F$23/Main!$K$3</f>
        <v>274.85454857023603</v>
      </c>
    </row>
    <row r="611" spans="1:3" x14ac:dyDescent="0.2">
      <c r="A611" s="41">
        <f t="shared" si="10"/>
        <v>601</v>
      </c>
      <c r="B611" s="41">
        <v>3062.7466609170247</v>
      </c>
      <c r="C611" s="41">
        <f>($F$22+B611)*$F$23/Main!$K$3</f>
        <v>264.43512329565073</v>
      </c>
    </row>
    <row r="612" spans="1:3" x14ac:dyDescent="0.2">
      <c r="A612" s="41">
        <f t="shared" si="10"/>
        <v>602</v>
      </c>
      <c r="B612" s="41">
        <v>6711.5306968340119</v>
      </c>
      <c r="C612" s="41">
        <f>($F$22+B612)*$F$23/Main!$K$3</f>
        <v>296.07865841834126</v>
      </c>
    </row>
    <row r="613" spans="1:3" x14ac:dyDescent="0.2">
      <c r="A613" s="41">
        <f t="shared" si="10"/>
        <v>603</v>
      </c>
      <c r="B613" s="41">
        <v>6354.6893437827102</v>
      </c>
      <c r="C613" s="41">
        <f>($F$22+B613)*$F$23/Main!$K$3</f>
        <v>292.98400502768925</v>
      </c>
    </row>
    <row r="614" spans="1:3" x14ac:dyDescent="0.2">
      <c r="A614" s="41">
        <f t="shared" si="10"/>
        <v>604</v>
      </c>
      <c r="B614" s="41">
        <v>19936.927526123694</v>
      </c>
      <c r="C614" s="41">
        <f>($F$22+B614)*$F$23/Main!$K$3</f>
        <v>410.77393908160866</v>
      </c>
    </row>
    <row r="615" spans="1:3" x14ac:dyDescent="0.2">
      <c r="A615" s="41">
        <f t="shared" si="10"/>
        <v>605</v>
      </c>
      <c r="B615" s="41">
        <v>5596.9193928596505</v>
      </c>
      <c r="C615" s="41">
        <f>($F$22+B615)*$F$23/Main!$K$3</f>
        <v>286.41235819386202</v>
      </c>
    </row>
    <row r="616" spans="1:3" x14ac:dyDescent="0.2">
      <c r="A616" s="41">
        <f t="shared" si="10"/>
        <v>606</v>
      </c>
      <c r="B616" s="41">
        <v>14807.364443470537</v>
      </c>
      <c r="C616" s="41">
        <f>($F$22+B616)*$F$23/Main!$K$3</f>
        <v>366.28856862059706</v>
      </c>
    </row>
    <row r="617" spans="1:3" x14ac:dyDescent="0.2">
      <c r="A617" s="41">
        <f t="shared" si="10"/>
        <v>607</v>
      </c>
      <c r="B617" s="41">
        <v>14854.42612041979</v>
      </c>
      <c r="C617" s="41">
        <f>($F$22+B617)*$F$23/Main!$K$3</f>
        <v>366.69670399194752</v>
      </c>
    </row>
    <row r="618" spans="1:3" x14ac:dyDescent="0.2">
      <c r="A618" s="41">
        <f t="shared" si="10"/>
        <v>608</v>
      </c>
      <c r="B618" s="41">
        <v>8750.9494598609926</v>
      </c>
      <c r="C618" s="41">
        <f>($F$22+B618)*$F$23/Main!$K$3</f>
        <v>313.76521334252163</v>
      </c>
    </row>
    <row r="619" spans="1:3" x14ac:dyDescent="0.2">
      <c r="A619" s="41">
        <f t="shared" si="10"/>
        <v>609</v>
      </c>
      <c r="B619" s="41">
        <v>5688.1567195697717</v>
      </c>
      <c r="C619" s="41">
        <f>($F$22+B619)*$F$23/Main!$K$3</f>
        <v>287.20360029639073</v>
      </c>
    </row>
    <row r="620" spans="1:3" x14ac:dyDescent="0.2">
      <c r="A620" s="41">
        <f t="shared" si="10"/>
        <v>610</v>
      </c>
      <c r="B620" s="41">
        <v>15743.39511142421</v>
      </c>
      <c r="C620" s="41">
        <f>($F$22+B620)*$F$23/Main!$K$3</f>
        <v>374.40615492489695</v>
      </c>
    </row>
    <row r="621" spans="1:3" x14ac:dyDescent="0.2">
      <c r="A621" s="41">
        <f t="shared" si="10"/>
        <v>611</v>
      </c>
      <c r="B621" s="41">
        <v>11271.133515706717</v>
      </c>
      <c r="C621" s="41">
        <f>($F$22+B621)*$F$23/Main!$K$3</f>
        <v>335.62113353450894</v>
      </c>
    </row>
    <row r="622" spans="1:3" x14ac:dyDescent="0.2">
      <c r="A622" s="41">
        <f t="shared" si="10"/>
        <v>612</v>
      </c>
      <c r="B622" s="41">
        <v>7472.4176415304128</v>
      </c>
      <c r="C622" s="41">
        <f>($F$22+B622)*$F$23/Main!$K$3</f>
        <v>302.67733691558652</v>
      </c>
    </row>
    <row r="623" spans="1:3" x14ac:dyDescent="0.2">
      <c r="A623" s="41">
        <f t="shared" si="10"/>
        <v>613</v>
      </c>
      <c r="B623" s="41">
        <v>16461.69844310543</v>
      </c>
      <c r="C623" s="41">
        <f>($F$22+B623)*$F$23/Main!$K$3</f>
        <v>380.63553339209585</v>
      </c>
    </row>
    <row r="624" spans="1:3" x14ac:dyDescent="0.2">
      <c r="A624" s="41">
        <f t="shared" si="10"/>
        <v>614</v>
      </c>
      <c r="B624" s="41">
        <v>9811.9510401498119</v>
      </c>
      <c r="C624" s="41">
        <f>($F$22+B624)*$F$23/Main!$K$3</f>
        <v>322.96659123735282</v>
      </c>
    </row>
    <row r="625" spans="1:3" x14ac:dyDescent="0.2">
      <c r="A625" s="41">
        <f t="shared" si="10"/>
        <v>615</v>
      </c>
      <c r="B625" s="41">
        <v>2962.2929426643987</v>
      </c>
      <c r="C625" s="41">
        <f>($F$22+B625)*$F$23/Main!$K$3</f>
        <v>263.56395341263158</v>
      </c>
    </row>
    <row r="626" spans="1:3" x14ac:dyDescent="0.2">
      <c r="A626" s="41">
        <f t="shared" si="10"/>
        <v>616</v>
      </c>
      <c r="B626" s="41">
        <v>5040.6686537124851</v>
      </c>
      <c r="C626" s="41">
        <f>($F$22+B626)*$F$23/Main!$K$3</f>
        <v>281.58835665582569</v>
      </c>
    </row>
    <row r="627" spans="1:3" x14ac:dyDescent="0.2">
      <c r="A627" s="41">
        <f t="shared" si="10"/>
        <v>617</v>
      </c>
      <c r="B627" s="41">
        <v>2630.9248435233785</v>
      </c>
      <c r="C627" s="41">
        <f>($F$22+B627)*$F$23/Main!$K$3</f>
        <v>260.69021301569603</v>
      </c>
    </row>
    <row r="628" spans="1:3" x14ac:dyDescent="0.2">
      <c r="A628" s="41">
        <f t="shared" si="10"/>
        <v>618</v>
      </c>
      <c r="B628" s="41">
        <v>8480.6217473064989</v>
      </c>
      <c r="C628" s="41">
        <f>($F$22+B628)*$F$23/Main!$K$3</f>
        <v>311.42083659052651</v>
      </c>
    </row>
    <row r="629" spans="1:3" x14ac:dyDescent="0.2">
      <c r="A629" s="41">
        <f t="shared" si="10"/>
        <v>619</v>
      </c>
      <c r="B629" s="41">
        <v>8586.0598592051156</v>
      </c>
      <c r="C629" s="41">
        <f>($F$22+B629)*$F$23/Main!$K$3</f>
        <v>312.33523288372771</v>
      </c>
    </row>
    <row r="630" spans="1:3" x14ac:dyDescent="0.2">
      <c r="A630" s="41">
        <f t="shared" si="10"/>
        <v>620</v>
      </c>
      <c r="B630" s="41">
        <v>4167.1272433968506</v>
      </c>
      <c r="C630" s="41">
        <f>($F$22+B630)*$F$23/Main!$K$3</f>
        <v>274.01269911447696</v>
      </c>
    </row>
    <row r="631" spans="1:3" x14ac:dyDescent="0.2">
      <c r="A631" s="41">
        <f t="shared" si="10"/>
        <v>621</v>
      </c>
      <c r="B631" s="41">
        <v>7463.3696605660498</v>
      </c>
      <c r="C631" s="41">
        <f>($F$22+B631)*$F$23/Main!$K$3</f>
        <v>302.59886965070677</v>
      </c>
    </row>
    <row r="632" spans="1:3" x14ac:dyDescent="0.2">
      <c r="A632" s="41">
        <f t="shared" si="10"/>
        <v>622</v>
      </c>
      <c r="B632" s="41">
        <v>9298.4081160955666</v>
      </c>
      <c r="C632" s="41">
        <f>($F$22+B632)*$F$23/Main!$K$3</f>
        <v>318.51296685335012</v>
      </c>
    </row>
    <row r="633" spans="1:3" x14ac:dyDescent="0.2">
      <c r="A633" s="41">
        <f t="shared" si="10"/>
        <v>623</v>
      </c>
      <c r="B633" s="41">
        <v>7560.9384759147442</v>
      </c>
      <c r="C633" s="41">
        <f>($F$22+B633)*$F$23/Main!$K$3</f>
        <v>303.44502064374296</v>
      </c>
    </row>
    <row r="634" spans="1:3" x14ac:dyDescent="0.2">
      <c r="A634" s="41">
        <f t="shared" si="10"/>
        <v>624</v>
      </c>
      <c r="B634" s="41">
        <v>9868.07254369568</v>
      </c>
      <c r="C634" s="41">
        <f>($F$22+B634)*$F$23/Main!$K$3</f>
        <v>323.45329660306118</v>
      </c>
    </row>
    <row r="635" spans="1:3" x14ac:dyDescent="0.2">
      <c r="A635" s="41">
        <f t="shared" si="10"/>
        <v>625</v>
      </c>
      <c r="B635" s="41">
        <v>5892.9254876642153</v>
      </c>
      <c r="C635" s="41">
        <f>($F$22+B635)*$F$23/Main!$K$3</f>
        <v>288.97942688449359</v>
      </c>
    </row>
    <row r="636" spans="1:3" x14ac:dyDescent="0.2">
      <c r="A636" s="41">
        <f t="shared" si="10"/>
        <v>626</v>
      </c>
      <c r="B636" s="41">
        <v>3991.1805974198769</v>
      </c>
      <c r="C636" s="41">
        <f>($F$22+B636)*$F$23/Main!$K$3</f>
        <v>272.4868280799385</v>
      </c>
    </row>
    <row r="637" spans="1:3" x14ac:dyDescent="0.2">
      <c r="A637" s="41">
        <f t="shared" si="10"/>
        <v>627</v>
      </c>
      <c r="B637" s="41">
        <v>5769.0388869514591</v>
      </c>
      <c r="C637" s="41">
        <f>($F$22+B637)*$F$23/Main!$K$3</f>
        <v>287.9050388247191</v>
      </c>
    </row>
    <row r="638" spans="1:3" x14ac:dyDescent="0.2">
      <c r="A638" s="41">
        <f t="shared" si="10"/>
        <v>628</v>
      </c>
      <c r="B638" s="41">
        <v>14156.689831350714</v>
      </c>
      <c r="C638" s="41">
        <f>($F$22+B638)*$F$23/Main!$K$3</f>
        <v>360.64569013302929</v>
      </c>
    </row>
    <row r="639" spans="1:3" x14ac:dyDescent="0.2">
      <c r="A639" s="41">
        <f t="shared" si="10"/>
        <v>629</v>
      </c>
      <c r="B639" s="41">
        <v>3629.2915453784567</v>
      </c>
      <c r="C639" s="41">
        <f>($F$22+B639)*$F$23/Main!$K$3</f>
        <v>269.3483992729532</v>
      </c>
    </row>
    <row r="640" spans="1:3" x14ac:dyDescent="0.2">
      <c r="A640" s="41">
        <f t="shared" si="10"/>
        <v>630</v>
      </c>
      <c r="B640" s="41">
        <v>7566.1854791005635</v>
      </c>
      <c r="C640" s="41">
        <f>($F$22+B640)*$F$23/Main!$K$3</f>
        <v>303.49052449597559</v>
      </c>
    </row>
    <row r="641" spans="1:3" x14ac:dyDescent="0.2">
      <c r="A641" s="41">
        <f t="shared" si="10"/>
        <v>631</v>
      </c>
      <c r="B641" s="41">
        <v>8876.566705864303</v>
      </c>
      <c r="C641" s="41">
        <f>($F$22+B641)*$F$23/Main!$K$3</f>
        <v>314.8546101653518</v>
      </c>
    </row>
    <row r="642" spans="1:3" x14ac:dyDescent="0.2">
      <c r="A642" s="41">
        <f t="shared" si="10"/>
        <v>632</v>
      </c>
      <c r="B642" s="41">
        <v>12038.675305911343</v>
      </c>
      <c r="C642" s="41">
        <f>($F$22+B642)*$F$23/Main!$K$3</f>
        <v>342.27752518646616</v>
      </c>
    </row>
    <row r="643" spans="1:3" x14ac:dyDescent="0.2">
      <c r="A643" s="41">
        <f t="shared" si="10"/>
        <v>633</v>
      </c>
      <c r="B643" s="41">
        <v>8568.5966151348221</v>
      </c>
      <c r="C643" s="41">
        <f>($F$22+B643)*$F$23/Main!$K$3</f>
        <v>312.18378550518872</v>
      </c>
    </row>
    <row r="644" spans="1:3" x14ac:dyDescent="0.2">
      <c r="A644" s="41">
        <f t="shared" si="10"/>
        <v>634</v>
      </c>
      <c r="B644" s="41">
        <v>9878.7873421761087</v>
      </c>
      <c r="C644" s="41">
        <f>($F$22+B644)*$F$23/Main!$K$3</f>
        <v>323.54621909414607</v>
      </c>
    </row>
    <row r="645" spans="1:3" x14ac:dyDescent="0.2">
      <c r="A645" s="41">
        <f t="shared" si="10"/>
        <v>635</v>
      </c>
      <c r="B645" s="41">
        <v>10768.931591466702</v>
      </c>
      <c r="C645" s="41">
        <f>($F$22+B645)*$F$23/Main!$K$3</f>
        <v>331.26586227922405</v>
      </c>
    </row>
    <row r="646" spans="1:3" x14ac:dyDescent="0.2">
      <c r="A646" s="41">
        <f t="shared" si="10"/>
        <v>636</v>
      </c>
      <c r="B646" s="41">
        <v>4343.9341513033905</v>
      </c>
      <c r="C646" s="41">
        <f>($F$22+B646)*$F$23/Main!$K$3</f>
        <v>275.54603064224136</v>
      </c>
    </row>
    <row r="647" spans="1:3" x14ac:dyDescent="0.2">
      <c r="A647" s="41">
        <f t="shared" si="10"/>
        <v>637</v>
      </c>
      <c r="B647" s="41">
        <v>4948.5641018538809</v>
      </c>
      <c r="C647" s="41">
        <f>($F$22+B647)*$F$23/Main!$K$3</f>
        <v>280.78959367259398</v>
      </c>
    </row>
    <row r="648" spans="1:3" x14ac:dyDescent="0.2">
      <c r="A648" s="41">
        <f t="shared" si="10"/>
        <v>638</v>
      </c>
      <c r="B648" s="41">
        <v>8234.5796616313783</v>
      </c>
      <c r="C648" s="41">
        <f>($F$22+B648)*$F$23/Main!$K$3</f>
        <v>309.28707331402609</v>
      </c>
    </row>
    <row r="649" spans="1:3" x14ac:dyDescent="0.2">
      <c r="A649" s="41">
        <f t="shared" si="10"/>
        <v>639</v>
      </c>
      <c r="B649" s="41">
        <v>15244.415766272396</v>
      </c>
      <c r="C649" s="41">
        <f>($F$22+B649)*$F$23/Main!$K$3</f>
        <v>370.07883100591897</v>
      </c>
    </row>
    <row r="650" spans="1:3" x14ac:dyDescent="0.2">
      <c r="A650" s="41">
        <f t="shared" si="10"/>
        <v>640</v>
      </c>
      <c r="B650" s="41">
        <v>4297.7272710200232</v>
      </c>
      <c r="C650" s="41">
        <f>($F$22+B650)*$F$23/Main!$K$3</f>
        <v>275.14530836743307</v>
      </c>
    </row>
    <row r="651" spans="1:3" x14ac:dyDescent="0.2">
      <c r="A651" s="41">
        <f t="shared" si="10"/>
        <v>641</v>
      </c>
      <c r="B651" s="41">
        <v>13959.082665861881</v>
      </c>
      <c r="C651" s="41">
        <f>($F$22+B651)*$F$23/Main!$K$3</f>
        <v>358.93197147495323</v>
      </c>
    </row>
    <row r="652" spans="1:3" x14ac:dyDescent="0.2">
      <c r="A652" s="41">
        <f t="shared" si="10"/>
        <v>642</v>
      </c>
      <c r="B652" s="41">
        <v>4651.3208762248705</v>
      </c>
      <c r="C652" s="41">
        <f>($F$22+B652)*$F$23/Main!$K$3</f>
        <v>278.21179614947755</v>
      </c>
    </row>
    <row r="653" spans="1:3" x14ac:dyDescent="0.2">
      <c r="A653" s="41">
        <f t="shared" si="10"/>
        <v>643</v>
      </c>
      <c r="B653" s="41">
        <v>17652.774319310727</v>
      </c>
      <c r="C653" s="41">
        <f>($F$22+B653)*$F$23/Main!$K$3</f>
        <v>390.96496121010034</v>
      </c>
    </row>
    <row r="654" spans="1:3" x14ac:dyDescent="0.2">
      <c r="A654" s="41">
        <f t="shared" si="10"/>
        <v>644</v>
      </c>
      <c r="B654" s="41">
        <v>5769.8456780068773</v>
      </c>
      <c r="C654" s="41">
        <f>($F$22+B654)*$F$23/Main!$K$3</f>
        <v>287.91203559976736</v>
      </c>
    </row>
    <row r="655" spans="1:3" x14ac:dyDescent="0.2">
      <c r="A655" s="41">
        <f t="shared" si="10"/>
        <v>645</v>
      </c>
      <c r="B655" s="41">
        <v>12157.146888267396</v>
      </c>
      <c r="C655" s="41">
        <f>($F$22+B655)*$F$23/Main!$K$3</f>
        <v>343.30495230750773</v>
      </c>
    </row>
    <row r="656" spans="1:3" x14ac:dyDescent="0.2">
      <c r="A656" s="41">
        <f t="shared" si="10"/>
        <v>646</v>
      </c>
      <c r="B656" s="41">
        <v>6762.5981636126689</v>
      </c>
      <c r="C656" s="41">
        <f>($F$22+B656)*$F$23/Main!$K$3</f>
        <v>296.5215334042901</v>
      </c>
    </row>
    <row r="657" spans="1:3" x14ac:dyDescent="0.2">
      <c r="A657" s="41">
        <f t="shared" si="10"/>
        <v>647</v>
      </c>
      <c r="B657" s="41">
        <v>5518.6263891600092</v>
      </c>
      <c r="C657" s="41">
        <f>($F$22+B657)*$F$23/Main!$K$3</f>
        <v>285.7333738012415</v>
      </c>
    </row>
    <row r="658" spans="1:3" x14ac:dyDescent="0.2">
      <c r="A658" s="41">
        <f t="shared" si="10"/>
        <v>648</v>
      </c>
      <c r="B658" s="41">
        <v>8265.5598047967287</v>
      </c>
      <c r="C658" s="41">
        <f>($F$22+B658)*$F$23/Main!$K$3</f>
        <v>309.55574398313365</v>
      </c>
    </row>
    <row r="659" spans="1:3" x14ac:dyDescent="0.2">
      <c r="A659" s="41">
        <f t="shared" si="10"/>
        <v>649</v>
      </c>
      <c r="B659" s="41">
        <v>5915.3510225608852</v>
      </c>
      <c r="C659" s="41">
        <f>($F$22+B659)*$F$23/Main!$K$3</f>
        <v>289.17390898980938</v>
      </c>
    </row>
    <row r="660" spans="1:3" x14ac:dyDescent="0.2">
      <c r="A660" s="41">
        <f t="shared" ref="A660:A723" si="11">A659+1</f>
        <v>650</v>
      </c>
      <c r="B660" s="41">
        <v>5580.2511739439415</v>
      </c>
      <c r="C660" s="41">
        <f>($F$22+B660)*$F$23/Main!$K$3</f>
        <v>286.26780555235189</v>
      </c>
    </row>
    <row r="661" spans="1:3" x14ac:dyDescent="0.2">
      <c r="A661" s="41">
        <f t="shared" si="11"/>
        <v>651</v>
      </c>
      <c r="B661" s="41">
        <v>7004.7169330137131</v>
      </c>
      <c r="C661" s="41">
        <f>($F$22+B661)*$F$23/Main!$K$3</f>
        <v>298.62127230579489</v>
      </c>
    </row>
    <row r="662" spans="1:3" x14ac:dyDescent="0.2">
      <c r="A662" s="41">
        <f t="shared" si="11"/>
        <v>652</v>
      </c>
      <c r="B662" s="41">
        <v>5060.5219366142819</v>
      </c>
      <c r="C662" s="41">
        <f>($F$22+B662)*$F$23/Main!$K$3</f>
        <v>281.76053128951725</v>
      </c>
    </row>
    <row r="663" spans="1:3" x14ac:dyDescent="0.2">
      <c r="A663" s="41">
        <f t="shared" si="11"/>
        <v>653</v>
      </c>
      <c r="B663" s="41">
        <v>4703.8655883241645</v>
      </c>
      <c r="C663" s="41">
        <f>($F$22+B663)*$F$23/Main!$K$3</f>
        <v>278.66748232505245</v>
      </c>
    </row>
    <row r="664" spans="1:3" x14ac:dyDescent="0.2">
      <c r="A664" s="41">
        <f t="shared" si="11"/>
        <v>654</v>
      </c>
      <c r="B664" s="41">
        <v>10859.095475660728</v>
      </c>
      <c r="C664" s="41">
        <f>($F$22+B664)*$F$23/Main!$K$3</f>
        <v>332.04779511169835</v>
      </c>
    </row>
    <row r="665" spans="1:3" x14ac:dyDescent="0.2">
      <c r="A665" s="41">
        <f t="shared" si="11"/>
        <v>655</v>
      </c>
      <c r="B665" s="41">
        <v>3326.5030071017391</v>
      </c>
      <c r="C665" s="41">
        <f>($F$22+B665)*$F$23/Main!$K$3</f>
        <v>266.72251085330618</v>
      </c>
    </row>
    <row r="666" spans="1:3" x14ac:dyDescent="0.2">
      <c r="A666" s="41">
        <f t="shared" si="11"/>
        <v>656</v>
      </c>
      <c r="B666" s="41">
        <v>6977.4549693707368</v>
      </c>
      <c r="C666" s="41">
        <f>($F$22+B666)*$F$23/Main!$K$3</f>
        <v>298.384846993812</v>
      </c>
    </row>
    <row r="667" spans="1:3" x14ac:dyDescent="0.2">
      <c r="A667" s="41">
        <f t="shared" si="11"/>
        <v>657</v>
      </c>
      <c r="B667" s="41">
        <v>7224.0755773473093</v>
      </c>
      <c r="C667" s="41">
        <f>($F$22+B667)*$F$23/Main!$K$3</f>
        <v>300.52362741865142</v>
      </c>
    </row>
    <row r="668" spans="1:3" x14ac:dyDescent="0.2">
      <c r="A668" s="41">
        <f t="shared" si="11"/>
        <v>658</v>
      </c>
      <c r="B668" s="41">
        <v>6878.4658097432948</v>
      </c>
      <c r="C668" s="41">
        <f>($F$22+B668)*$F$23/Main!$K$3</f>
        <v>297.52637827694554</v>
      </c>
    </row>
    <row r="669" spans="1:3" x14ac:dyDescent="0.2">
      <c r="A669" s="41">
        <f t="shared" si="11"/>
        <v>659</v>
      </c>
      <c r="B669" s="41">
        <v>16213.070338753623</v>
      </c>
      <c r="C669" s="41">
        <f>($F$22+B669)*$F$23/Main!$K$3</f>
        <v>378.47934325447721</v>
      </c>
    </row>
    <row r="670" spans="1:3" x14ac:dyDescent="0.2">
      <c r="A670" s="41">
        <f t="shared" si="11"/>
        <v>660</v>
      </c>
      <c r="B670" s="41">
        <v>3759.0105327414976</v>
      </c>
      <c r="C670" s="41">
        <f>($F$22+B670)*$F$23/Main!$K$3</f>
        <v>270.47336783571188</v>
      </c>
    </row>
    <row r="671" spans="1:3" x14ac:dyDescent="0.2">
      <c r="A671" s="41">
        <f t="shared" si="11"/>
        <v>661</v>
      </c>
      <c r="B671" s="41">
        <v>8081.9335818061445</v>
      </c>
      <c r="C671" s="41">
        <f>($F$22+B671)*$F$23/Main!$K$3</f>
        <v>307.96327296280117</v>
      </c>
    </row>
    <row r="672" spans="1:3" x14ac:dyDescent="0.2">
      <c r="A672" s="41">
        <f t="shared" si="11"/>
        <v>662</v>
      </c>
      <c r="B672" s="41">
        <v>15122.040089597631</v>
      </c>
      <c r="C672" s="41">
        <f>($F$22+B672)*$F$23/Main!$K$3</f>
        <v>369.0175462094216</v>
      </c>
    </row>
    <row r="673" spans="1:3" x14ac:dyDescent="0.2">
      <c r="A673" s="41">
        <f t="shared" si="11"/>
        <v>663</v>
      </c>
      <c r="B673" s="41">
        <v>11387.167840379141</v>
      </c>
      <c r="C673" s="41">
        <f>($F$22+B673)*$F$23/Main!$K$3</f>
        <v>336.62742390194825</v>
      </c>
    </row>
    <row r="674" spans="1:3" x14ac:dyDescent="0.2">
      <c r="A674" s="41">
        <f t="shared" si="11"/>
        <v>664</v>
      </c>
      <c r="B674" s="41">
        <v>15966.831305428141</v>
      </c>
      <c r="C674" s="41">
        <f>($F$22+B674)*$F$23/Main!$K$3</f>
        <v>376.3438719788652</v>
      </c>
    </row>
    <row r="675" spans="1:3" x14ac:dyDescent="0.2">
      <c r="A675" s="41">
        <f t="shared" si="11"/>
        <v>665</v>
      </c>
      <c r="B675" s="41">
        <v>7419.8922993450624</v>
      </c>
      <c r="C675" s="41">
        <f>($F$22+B675)*$F$23/Main!$K$3</f>
        <v>302.22181872270016</v>
      </c>
    </row>
    <row r="676" spans="1:3" x14ac:dyDescent="0.2">
      <c r="A676" s="41">
        <f t="shared" si="11"/>
        <v>666</v>
      </c>
      <c r="B676" s="41">
        <v>11558.642896938738</v>
      </c>
      <c r="C676" s="41">
        <f>($F$22+B676)*$F$23/Main!$K$3</f>
        <v>338.11451574446261</v>
      </c>
    </row>
    <row r="677" spans="1:3" x14ac:dyDescent="0.2">
      <c r="A677" s="41">
        <f t="shared" si="11"/>
        <v>667</v>
      </c>
      <c r="B677" s="41">
        <v>19398.745583253167</v>
      </c>
      <c r="C677" s="41">
        <f>($F$22+B677)*$F$23/Main!$K$3</f>
        <v>406.10663648326749</v>
      </c>
    </row>
    <row r="678" spans="1:3" x14ac:dyDescent="0.2">
      <c r="A678" s="41">
        <f t="shared" si="11"/>
        <v>668</v>
      </c>
      <c r="B678" s="41">
        <v>13966.892074384483</v>
      </c>
      <c r="C678" s="41">
        <f>($F$22+B678)*$F$23/Main!$K$3</f>
        <v>358.999697405137</v>
      </c>
    </row>
    <row r="679" spans="1:3" x14ac:dyDescent="0.2">
      <c r="A679" s="41">
        <f t="shared" si="11"/>
        <v>669</v>
      </c>
      <c r="B679" s="41">
        <v>13014.12574235942</v>
      </c>
      <c r="C679" s="41">
        <f>($F$22+B679)*$F$23/Main!$K$3</f>
        <v>350.7369735512778</v>
      </c>
    </row>
    <row r="680" spans="1:3" x14ac:dyDescent="0.2">
      <c r="A680" s="41">
        <f t="shared" si="11"/>
        <v>670</v>
      </c>
      <c r="B680" s="41">
        <v>8582.9041326684328</v>
      </c>
      <c r="C680" s="41">
        <f>($F$22+B680)*$F$23/Main!$K$3</f>
        <v>312.30786531619884</v>
      </c>
    </row>
    <row r="681" spans="1:3" x14ac:dyDescent="0.2">
      <c r="A681" s="41">
        <f t="shared" si="11"/>
        <v>671</v>
      </c>
      <c r="B681" s="41">
        <v>9519.0149348991526</v>
      </c>
      <c r="C681" s="41">
        <f>($F$22+B681)*$F$23/Main!$K$3</f>
        <v>320.42614657305967</v>
      </c>
    </row>
    <row r="682" spans="1:3" x14ac:dyDescent="0.2">
      <c r="A682" s="41">
        <f t="shared" si="11"/>
        <v>672</v>
      </c>
      <c r="B682" s="41">
        <v>4673.1394730324855</v>
      </c>
      <c r="C682" s="41">
        <f>($F$22+B682)*$F$23/Main!$K$3</f>
        <v>278.40101467477626</v>
      </c>
    </row>
    <row r="683" spans="1:3" x14ac:dyDescent="0.2">
      <c r="A683" s="41">
        <f t="shared" si="11"/>
        <v>673</v>
      </c>
      <c r="B683" s="41">
        <v>8443.6590467045953</v>
      </c>
      <c r="C683" s="41">
        <f>($F$22+B683)*$F$23/Main!$K$3</f>
        <v>311.10028308469759</v>
      </c>
    </row>
    <row r="684" spans="1:3" x14ac:dyDescent="0.2">
      <c r="A684" s="41">
        <f t="shared" si="11"/>
        <v>674</v>
      </c>
      <c r="B684" s="41">
        <v>2442.2505553945107</v>
      </c>
      <c r="C684" s="41">
        <f>($F$22+B684)*$F$23/Main!$K$3</f>
        <v>259.05396340366497</v>
      </c>
    </row>
    <row r="685" spans="1:3" x14ac:dyDescent="0.2">
      <c r="A685" s="41">
        <f t="shared" si="11"/>
        <v>675</v>
      </c>
      <c r="B685" s="41">
        <v>12877.639057239638</v>
      </c>
      <c r="C685" s="41">
        <f>($F$22+B685)*$F$23/Main!$K$3</f>
        <v>349.55331313952036</v>
      </c>
    </row>
    <row r="686" spans="1:3" x14ac:dyDescent="0.2">
      <c r="A686" s="41">
        <f t="shared" si="11"/>
        <v>676</v>
      </c>
      <c r="B686" s="41">
        <v>10662.268580891794</v>
      </c>
      <c r="C686" s="41">
        <f>($F$22+B686)*$F$23/Main!$K$3</f>
        <v>330.34084323501776</v>
      </c>
    </row>
    <row r="687" spans="1:3" x14ac:dyDescent="0.2">
      <c r="A687" s="41">
        <f t="shared" si="11"/>
        <v>677</v>
      </c>
      <c r="B687" s="41">
        <v>13199.813245616246</v>
      </c>
      <c r="C687" s="41">
        <f>($F$22+B687)*$F$23/Main!$K$3</f>
        <v>352.34732071715911</v>
      </c>
    </row>
    <row r="688" spans="1:3" x14ac:dyDescent="0.2">
      <c r="A688" s="41">
        <f t="shared" si="11"/>
        <v>678</v>
      </c>
      <c r="B688" s="41">
        <v>3032.442029244587</v>
      </c>
      <c r="C688" s="41">
        <f>($F$22+B688)*$F$23/Main!$K$3</f>
        <v>264.17231089917351</v>
      </c>
    </row>
    <row r="689" spans="1:3" x14ac:dyDescent="0.2">
      <c r="A689" s="41">
        <f t="shared" si="11"/>
        <v>679</v>
      </c>
      <c r="B689" s="41">
        <v>13040.433960653359</v>
      </c>
      <c r="C689" s="41">
        <f>($F$22+B689)*$F$23/Main!$K$3</f>
        <v>350.96512764902798</v>
      </c>
    </row>
    <row r="690" spans="1:3" x14ac:dyDescent="0.2">
      <c r="A690" s="41">
        <f t="shared" si="11"/>
        <v>680</v>
      </c>
      <c r="B690" s="41">
        <v>11940.860560073752</v>
      </c>
      <c r="C690" s="41">
        <f>($F$22+B690)*$F$23/Main!$K$3</f>
        <v>341.42924139795997</v>
      </c>
    </row>
    <row r="691" spans="1:3" x14ac:dyDescent="0.2">
      <c r="A691" s="41">
        <f t="shared" si="11"/>
        <v>681</v>
      </c>
      <c r="B691" s="41">
        <v>6384.6058519849994</v>
      </c>
      <c r="C691" s="41">
        <f>($F$22+B691)*$F$23/Main!$K$3</f>
        <v>293.24345148128282</v>
      </c>
    </row>
    <row r="692" spans="1:3" x14ac:dyDescent="0.2">
      <c r="A692" s="41">
        <f t="shared" si="11"/>
        <v>682</v>
      </c>
      <c r="B692" s="41">
        <v>2784.167695250002</v>
      </c>
      <c r="C692" s="41">
        <f>($F$22+B692)*$F$23/Main!$K$3</f>
        <v>262.01918878219243</v>
      </c>
    </row>
    <row r="693" spans="1:3" x14ac:dyDescent="0.2">
      <c r="A693" s="41">
        <f t="shared" si="11"/>
        <v>683</v>
      </c>
      <c r="B693" s="41">
        <v>2554.7108413817396</v>
      </c>
      <c r="C693" s="41">
        <f>($F$22+B693)*$F$23/Main!$K$3</f>
        <v>260.02925845388307</v>
      </c>
    </row>
    <row r="694" spans="1:3" x14ac:dyDescent="0.2">
      <c r="A694" s="41">
        <f t="shared" si="11"/>
        <v>684</v>
      </c>
      <c r="B694" s="41">
        <v>8625.8700240167946</v>
      </c>
      <c r="C694" s="41">
        <f>($F$22+B694)*$F$23/Main!$K$3</f>
        <v>312.68048059805068</v>
      </c>
    </row>
    <row r="695" spans="1:3" x14ac:dyDescent="0.2">
      <c r="A695" s="41">
        <f t="shared" si="11"/>
        <v>685</v>
      </c>
      <c r="B695" s="41">
        <v>6808.149843002685</v>
      </c>
      <c r="C695" s="41">
        <f>($F$22+B695)*$F$23/Main!$K$3</f>
        <v>296.91657354711219</v>
      </c>
    </row>
    <row r="696" spans="1:3" x14ac:dyDescent="0.2">
      <c r="A696" s="41">
        <f t="shared" si="11"/>
        <v>686</v>
      </c>
      <c r="B696" s="41">
        <v>9283.5600100210122</v>
      </c>
      <c r="C696" s="41">
        <f>($F$22+B696)*$F$23/Main!$K$3</f>
        <v>318.38419886887897</v>
      </c>
    </row>
    <row r="697" spans="1:3" x14ac:dyDescent="0.2">
      <c r="A697" s="41">
        <f t="shared" si="11"/>
        <v>687</v>
      </c>
      <c r="B697" s="41">
        <v>20378.109041691041</v>
      </c>
      <c r="C697" s="41">
        <f>($F$22+B697)*$F$23/Main!$K$3</f>
        <v>414.60001994743021</v>
      </c>
    </row>
    <row r="698" spans="1:3" x14ac:dyDescent="0.2">
      <c r="A698" s="41">
        <f t="shared" si="11"/>
        <v>688</v>
      </c>
      <c r="B698" s="41">
        <v>11164.597983867128</v>
      </c>
      <c r="C698" s="41">
        <f>($F$22+B698)*$F$23/Main!$K$3</f>
        <v>334.69722003061383</v>
      </c>
    </row>
    <row r="699" spans="1:3" x14ac:dyDescent="0.2">
      <c r="A699" s="41">
        <f t="shared" si="11"/>
        <v>689</v>
      </c>
      <c r="B699" s="41">
        <v>4742.527222105452</v>
      </c>
      <c r="C699" s="41">
        <f>($F$22+B699)*$F$23/Main!$K$3</f>
        <v>279.00276957538466</v>
      </c>
    </row>
    <row r="700" spans="1:3" x14ac:dyDescent="0.2">
      <c r="A700" s="41">
        <f t="shared" si="11"/>
        <v>690</v>
      </c>
      <c r="B700" s="41">
        <v>5760.8519136569721</v>
      </c>
      <c r="C700" s="41">
        <f>($F$22+B700)*$F$23/Main!$K$3</f>
        <v>287.83403852038691</v>
      </c>
    </row>
    <row r="701" spans="1:3" x14ac:dyDescent="0.2">
      <c r="A701" s="41">
        <f t="shared" si="11"/>
        <v>691</v>
      </c>
      <c r="B701" s="41">
        <v>4500.2463770479753</v>
      </c>
      <c r="C701" s="41">
        <f>($F$22+B701)*$F$23/Main!$K$3</f>
        <v>276.90162509693249</v>
      </c>
    </row>
    <row r="702" spans="1:3" x14ac:dyDescent="0.2">
      <c r="A702" s="41">
        <f t="shared" si="11"/>
        <v>692</v>
      </c>
      <c r="B702" s="41">
        <v>11612.206513852954</v>
      </c>
      <c r="C702" s="41">
        <f>($F$22+B702)*$F$23/Main!$K$3</f>
        <v>338.57903822001589</v>
      </c>
    </row>
    <row r="703" spans="1:3" x14ac:dyDescent="0.2">
      <c r="A703" s="41">
        <f t="shared" si="11"/>
        <v>693</v>
      </c>
      <c r="B703" s="41">
        <v>4022.9601429625545</v>
      </c>
      <c r="C703" s="41">
        <f>($F$22+B703)*$F$23/Main!$K$3</f>
        <v>272.76243144688601</v>
      </c>
    </row>
    <row r="704" spans="1:3" x14ac:dyDescent="0.2">
      <c r="A704" s="41">
        <f t="shared" si="11"/>
        <v>694</v>
      </c>
      <c r="B704" s="41">
        <v>10278.675438036462</v>
      </c>
      <c r="C704" s="41">
        <f>($F$22+B704)*$F$23/Main!$K$3</f>
        <v>327.01418893887887</v>
      </c>
    </row>
    <row r="705" spans="1:3" x14ac:dyDescent="0.2">
      <c r="A705" s="41">
        <f t="shared" si="11"/>
        <v>695</v>
      </c>
      <c r="B705" s="41">
        <v>10711.161966485437</v>
      </c>
      <c r="C705" s="41">
        <f>($F$22+B705)*$F$23/Main!$K$3</f>
        <v>330.76486382628053</v>
      </c>
    </row>
    <row r="706" spans="1:3" x14ac:dyDescent="0.2">
      <c r="A706" s="41">
        <f t="shared" si="11"/>
        <v>696</v>
      </c>
      <c r="B706" s="41">
        <v>7099.9589363890354</v>
      </c>
      <c r="C706" s="41">
        <f>($F$22+B706)*$F$23/Main!$K$3</f>
        <v>299.44724436917164</v>
      </c>
    </row>
    <row r="707" spans="1:3" x14ac:dyDescent="0.2">
      <c r="A707" s="41">
        <f t="shared" si="11"/>
        <v>697</v>
      </c>
      <c r="B707" s="41">
        <v>10056.773464749793</v>
      </c>
      <c r="C707" s="41">
        <f>($F$22+B707)*$F$23/Main!$K$3</f>
        <v>325.08977718516263</v>
      </c>
    </row>
    <row r="708" spans="1:3" x14ac:dyDescent="0.2">
      <c r="A708" s="41">
        <f t="shared" si="11"/>
        <v>698</v>
      </c>
      <c r="B708" s="41">
        <v>7765.7409634514324</v>
      </c>
      <c r="C708" s="41">
        <f>($F$22+B708)*$F$23/Main!$K$3</f>
        <v>305.22113965867749</v>
      </c>
    </row>
    <row r="709" spans="1:3" x14ac:dyDescent="0.2">
      <c r="A709" s="41">
        <f t="shared" si="11"/>
        <v>699</v>
      </c>
      <c r="B709" s="41">
        <v>7636.4277805346464</v>
      </c>
      <c r="C709" s="41">
        <f>($F$22+B709)*$F$23/Main!$K$3</f>
        <v>304.0996903744296</v>
      </c>
    </row>
    <row r="710" spans="1:3" x14ac:dyDescent="0.2">
      <c r="A710" s="41">
        <f t="shared" si="11"/>
        <v>700</v>
      </c>
      <c r="B710" s="41">
        <v>9930.3620907929326</v>
      </c>
      <c r="C710" s="41">
        <f>($F$22+B710)*$F$23/Main!$K$3</f>
        <v>323.99349340614572</v>
      </c>
    </row>
    <row r="711" spans="1:3" x14ac:dyDescent="0.2">
      <c r="A711" s="41">
        <f t="shared" si="11"/>
        <v>701</v>
      </c>
      <c r="B711" s="41">
        <v>17345.649334610669</v>
      </c>
      <c r="C711" s="41">
        <f>($F$22+B711)*$F$23/Main!$K$3</f>
        <v>388.30146560588059</v>
      </c>
    </row>
    <row r="712" spans="1:3" x14ac:dyDescent="0.2">
      <c r="A712" s="41">
        <f t="shared" si="11"/>
        <v>702</v>
      </c>
      <c r="B712" s="41">
        <v>5365.7014284124343</v>
      </c>
      <c r="C712" s="41">
        <f>($F$22+B712)*$F$23/Main!$K$3</f>
        <v>284.40715489682884</v>
      </c>
    </row>
    <row r="713" spans="1:3" x14ac:dyDescent="0.2">
      <c r="A713" s="41">
        <f t="shared" si="11"/>
        <v>703</v>
      </c>
      <c r="B713" s="41">
        <v>5372.9271744789585</v>
      </c>
      <c r="C713" s="41">
        <f>($F$22+B713)*$F$23/Main!$K$3</f>
        <v>284.46981910144967</v>
      </c>
    </row>
    <row r="714" spans="1:3" x14ac:dyDescent="0.2">
      <c r="A714" s="41">
        <f t="shared" si="11"/>
        <v>704</v>
      </c>
      <c r="B714" s="41">
        <v>3147.1242941988598</v>
      </c>
      <c r="C714" s="41">
        <f>($F$22+B714)*$F$23/Main!$K$3</f>
        <v>265.16687573044567</v>
      </c>
    </row>
    <row r="715" spans="1:3" x14ac:dyDescent="0.2">
      <c r="A715" s="41">
        <f t="shared" si="11"/>
        <v>705</v>
      </c>
      <c r="B715" s="41">
        <v>10885.583056071102</v>
      </c>
      <c r="C715" s="41">
        <f>($F$22+B715)*$F$23/Main!$K$3</f>
        <v>332.27750470064097</v>
      </c>
    </row>
    <row r="716" spans="1:3" x14ac:dyDescent="0.2">
      <c r="A716" s="41">
        <f t="shared" si="11"/>
        <v>706</v>
      </c>
      <c r="B716" s="41">
        <v>3848.1282966871518</v>
      </c>
      <c r="C716" s="41">
        <f>($F$22+B716)*$F$23/Main!$K$3</f>
        <v>271.24622834642207</v>
      </c>
    </row>
    <row r="717" spans="1:3" x14ac:dyDescent="0.2">
      <c r="A717" s="41">
        <f t="shared" si="11"/>
        <v>707</v>
      </c>
      <c r="B717" s="41">
        <v>7098.467118278224</v>
      </c>
      <c r="C717" s="41">
        <f>($F$22+B717)*$F$23/Main!$K$3</f>
        <v>299.43430679919732</v>
      </c>
    </row>
    <row r="718" spans="1:3" x14ac:dyDescent="0.2">
      <c r="A718" s="41">
        <f t="shared" si="11"/>
        <v>708</v>
      </c>
      <c r="B718" s="41">
        <v>3472.419991198316</v>
      </c>
      <c r="C718" s="41">
        <f>($F$22+B718)*$F$23/Main!$K$3</f>
        <v>267.98795412586117</v>
      </c>
    </row>
    <row r="719" spans="1:3" x14ac:dyDescent="0.2">
      <c r="A719" s="41">
        <f t="shared" si="11"/>
        <v>709</v>
      </c>
      <c r="B719" s="41">
        <v>3078.5534643153505</v>
      </c>
      <c r="C719" s="41">
        <f>($F$22+B719)*$F$23/Main!$K$3</f>
        <v>264.57220543961671</v>
      </c>
    </row>
    <row r="720" spans="1:3" x14ac:dyDescent="0.2">
      <c r="A720" s="41">
        <f t="shared" si="11"/>
        <v>710</v>
      </c>
      <c r="B720" s="41">
        <v>8013.1033865120162</v>
      </c>
      <c r="C720" s="41">
        <f>($F$22+B720)*$F$23/Main!$K$3</f>
        <v>307.3663533641481</v>
      </c>
    </row>
    <row r="721" spans="1:3" x14ac:dyDescent="0.2">
      <c r="A721" s="41">
        <f t="shared" si="11"/>
        <v>711</v>
      </c>
      <c r="B721" s="41">
        <v>9175.2327147115393</v>
      </c>
      <c r="C721" s="41">
        <f>($F$22+B721)*$F$23/Main!$K$3</f>
        <v>317.44474656363724</v>
      </c>
    </row>
    <row r="722" spans="1:3" x14ac:dyDescent="0.2">
      <c r="A722" s="41">
        <f t="shared" si="11"/>
        <v>712</v>
      </c>
      <c r="B722" s="41">
        <v>4414.1374238142616</v>
      </c>
      <c r="C722" s="41">
        <f>($F$22+B722)*$F$23/Main!$K$3</f>
        <v>276.15485804818212</v>
      </c>
    </row>
    <row r="723" spans="1:3" x14ac:dyDescent="0.2">
      <c r="A723" s="41">
        <f t="shared" si="11"/>
        <v>713</v>
      </c>
      <c r="B723" s="41">
        <v>5202.5092000730619</v>
      </c>
      <c r="C723" s="41">
        <f>($F$22+B723)*$F$23/Main!$K$3</f>
        <v>282.9918946461878</v>
      </c>
    </row>
    <row r="724" spans="1:3" x14ac:dyDescent="0.2">
      <c r="A724" s="41">
        <f t="shared" ref="A724:A787" si="12">A723+1</f>
        <v>714</v>
      </c>
      <c r="B724" s="41">
        <v>4473.2430561232513</v>
      </c>
      <c r="C724" s="41">
        <f>($F$22+B724)*$F$23/Main!$K$3</f>
        <v>276.66744282533193</v>
      </c>
    </row>
    <row r="725" spans="1:3" x14ac:dyDescent="0.2">
      <c r="A725" s="41">
        <f t="shared" si="12"/>
        <v>715</v>
      </c>
      <c r="B725" s="41">
        <v>16832.129614809826</v>
      </c>
      <c r="C725" s="41">
        <f>($F$22+B725)*$F$23/Main!$K$3</f>
        <v>383.84804245730322</v>
      </c>
    </row>
    <row r="726" spans="1:3" x14ac:dyDescent="0.2">
      <c r="A726" s="41">
        <f t="shared" si="12"/>
        <v>716</v>
      </c>
      <c r="B726" s="41">
        <v>5838.7900198022953</v>
      </c>
      <c r="C726" s="41">
        <f>($F$22+B726)*$F$23/Main!$K$3</f>
        <v>288.5099451169213</v>
      </c>
    </row>
    <row r="727" spans="1:3" x14ac:dyDescent="0.2">
      <c r="A727" s="41">
        <f t="shared" si="12"/>
        <v>717</v>
      </c>
      <c r="B727" s="41">
        <v>3877.3810514062043</v>
      </c>
      <c r="C727" s="41">
        <f>($F$22+B727)*$F$23/Main!$K$3</f>
        <v>271.49991849696977</v>
      </c>
    </row>
    <row r="728" spans="1:3" x14ac:dyDescent="0.2">
      <c r="A728" s="41">
        <f t="shared" si="12"/>
        <v>718</v>
      </c>
      <c r="B728" s="41">
        <v>7590.0605479409824</v>
      </c>
      <c r="C728" s="41">
        <f>($F$22+B728)*$F$23/Main!$K$3</f>
        <v>303.69757746813616</v>
      </c>
    </row>
    <row r="729" spans="1:3" x14ac:dyDescent="0.2">
      <c r="A729" s="41">
        <f t="shared" si="12"/>
        <v>719</v>
      </c>
      <c r="B729" s="41">
        <v>4026.2227953471897</v>
      </c>
      <c r="C729" s="41">
        <f>($F$22+B729)*$F$23/Main!$K$3</f>
        <v>272.79072631287698</v>
      </c>
    </row>
    <row r="730" spans="1:3" x14ac:dyDescent="0.2">
      <c r="A730" s="41">
        <f t="shared" si="12"/>
        <v>720</v>
      </c>
      <c r="B730" s="41">
        <v>3499.0102471511909</v>
      </c>
      <c r="C730" s="41">
        <f>($F$22+B730)*$F$23/Main!$K$3</f>
        <v>268.21855415312609</v>
      </c>
    </row>
    <row r="731" spans="1:3" x14ac:dyDescent="0.2">
      <c r="A731" s="41">
        <f t="shared" si="12"/>
        <v>721</v>
      </c>
      <c r="B731" s="41">
        <v>6790.2493544379913</v>
      </c>
      <c r="C731" s="41">
        <f>($F$22+B731)*$F$23/Main!$K$3</f>
        <v>296.76133423093603</v>
      </c>
    </row>
    <row r="732" spans="1:3" x14ac:dyDescent="0.2">
      <c r="A732" s="41">
        <f t="shared" si="12"/>
        <v>722</v>
      </c>
      <c r="B732" s="41">
        <v>6188.259666296698</v>
      </c>
      <c r="C732" s="41">
        <f>($F$22+B732)*$F$23/Main!$K$3</f>
        <v>291.54066848237818</v>
      </c>
    </row>
    <row r="733" spans="1:3" x14ac:dyDescent="0.2">
      <c r="A733" s="41">
        <f t="shared" si="12"/>
        <v>723</v>
      </c>
      <c r="B733" s="41">
        <v>8785.607223759589</v>
      </c>
      <c r="C733" s="41">
        <f>($F$22+B733)*$F$23/Main!$K$3</f>
        <v>314.06577762870677</v>
      </c>
    </row>
    <row r="734" spans="1:3" x14ac:dyDescent="0.2">
      <c r="A734" s="41">
        <f t="shared" si="12"/>
        <v>724</v>
      </c>
      <c r="B734" s="41">
        <v>6233.5385783580959</v>
      </c>
      <c r="C734" s="41">
        <f>($F$22+B734)*$F$23/Main!$K$3</f>
        <v>291.93334309124191</v>
      </c>
    </row>
    <row r="735" spans="1:3" x14ac:dyDescent="0.2">
      <c r="A735" s="41">
        <f t="shared" si="12"/>
        <v>725</v>
      </c>
      <c r="B735" s="41">
        <v>11447.0867140547</v>
      </c>
      <c r="C735" s="41">
        <f>($F$22+B735)*$F$23/Main!$K$3</f>
        <v>337.14706139350727</v>
      </c>
    </row>
    <row r="736" spans="1:3" x14ac:dyDescent="0.2">
      <c r="A736" s="41">
        <f t="shared" si="12"/>
        <v>726</v>
      </c>
      <c r="B736" s="41">
        <v>10953.541025799592</v>
      </c>
      <c r="C736" s="41">
        <f>($F$22+B736)*$F$23/Main!$K$3</f>
        <v>332.86686005321934</v>
      </c>
    </row>
    <row r="737" spans="1:3" x14ac:dyDescent="0.2">
      <c r="A737" s="41">
        <f t="shared" si="12"/>
        <v>727</v>
      </c>
      <c r="B737" s="41">
        <v>23412.989421688591</v>
      </c>
      <c r="C737" s="41">
        <f>($F$22+B737)*$F$23/Main!$K$3</f>
        <v>440.91956721366961</v>
      </c>
    </row>
    <row r="738" spans="1:3" x14ac:dyDescent="0.2">
      <c r="A738" s="41">
        <f t="shared" si="12"/>
        <v>728</v>
      </c>
      <c r="B738" s="41">
        <v>10402.071362310762</v>
      </c>
      <c r="C738" s="41">
        <f>($F$22+B738)*$F$23/Main!$K$3</f>
        <v>328.08432168045385</v>
      </c>
    </row>
    <row r="739" spans="1:3" x14ac:dyDescent="0.2">
      <c r="A739" s="41">
        <f t="shared" si="12"/>
        <v>729</v>
      </c>
      <c r="B739" s="41">
        <v>10929.746861227364</v>
      </c>
      <c r="C739" s="41">
        <f>($F$22+B739)*$F$23/Main!$K$3</f>
        <v>332.66050871125316</v>
      </c>
    </row>
    <row r="740" spans="1:3" x14ac:dyDescent="0.2">
      <c r="A740" s="41">
        <f t="shared" si="12"/>
        <v>730</v>
      </c>
      <c r="B740" s="41">
        <v>10068.736823446359</v>
      </c>
      <c r="C740" s="41">
        <f>($F$22+B740)*$F$23/Main!$K$3</f>
        <v>325.19352762842641</v>
      </c>
    </row>
    <row r="741" spans="1:3" x14ac:dyDescent="0.2">
      <c r="A741" s="41">
        <f t="shared" si="12"/>
        <v>731</v>
      </c>
      <c r="B741" s="41">
        <v>6152.3148561467115</v>
      </c>
      <c r="C741" s="41">
        <f>($F$22+B741)*$F$23/Main!$K$3</f>
        <v>291.2289424796158</v>
      </c>
    </row>
    <row r="742" spans="1:3" x14ac:dyDescent="0.2">
      <c r="A742" s="41">
        <f t="shared" si="12"/>
        <v>732</v>
      </c>
      <c r="B742" s="41">
        <v>8195.5990771210545</v>
      </c>
      <c r="C742" s="41">
        <f>($F$22+B742)*$F$23/Main!$K$3</f>
        <v>308.94902001108636</v>
      </c>
    </row>
    <row r="743" spans="1:3" x14ac:dyDescent="0.2">
      <c r="A743" s="41">
        <f t="shared" si="12"/>
        <v>733</v>
      </c>
      <c r="B743" s="41">
        <v>7007.1899276446138</v>
      </c>
      <c r="C743" s="41">
        <f>($F$22+B743)*$F$23/Main!$K$3</f>
        <v>298.64271898274012</v>
      </c>
    </row>
    <row r="744" spans="1:3" x14ac:dyDescent="0.2">
      <c r="A744" s="41">
        <f t="shared" si="12"/>
        <v>734</v>
      </c>
      <c r="B744" s="41">
        <v>8237.5975397973452</v>
      </c>
      <c r="C744" s="41">
        <f>($F$22+B744)*$F$23/Main!$K$3</f>
        <v>309.31324541212803</v>
      </c>
    </row>
    <row r="745" spans="1:3" x14ac:dyDescent="0.2">
      <c r="A745" s="41">
        <f t="shared" si="12"/>
        <v>735</v>
      </c>
      <c r="B745" s="41">
        <v>15027.628157627034</v>
      </c>
      <c r="C745" s="41">
        <f>($F$22+B745)*$F$23/Main!$K$3</f>
        <v>368.19877281644881</v>
      </c>
    </row>
    <row r="746" spans="1:3" x14ac:dyDescent="0.2">
      <c r="A746" s="41">
        <f t="shared" si="12"/>
        <v>736</v>
      </c>
      <c r="B746" s="41">
        <v>6036.951849988528</v>
      </c>
      <c r="C746" s="41">
        <f>($F$22+B746)*$F$23/Main!$K$3</f>
        <v>290.22847402182504</v>
      </c>
    </row>
    <row r="747" spans="1:3" x14ac:dyDescent="0.2">
      <c r="A747" s="41">
        <f t="shared" si="12"/>
        <v>737</v>
      </c>
      <c r="B747" s="41">
        <v>13997.304826528602</v>
      </c>
      <c r="C747" s="41">
        <f>($F$22+B747)*$F$23/Main!$K$3</f>
        <v>359.2634474602724</v>
      </c>
    </row>
    <row r="748" spans="1:3" x14ac:dyDescent="0.2">
      <c r="A748" s="41">
        <f t="shared" si="12"/>
        <v>738</v>
      </c>
      <c r="B748" s="41">
        <v>10806.778999263815</v>
      </c>
      <c r="C748" s="41">
        <f>($F$22+B748)*$F$23/Main!$K$3</f>
        <v>331.59408827619779</v>
      </c>
    </row>
    <row r="749" spans="1:3" x14ac:dyDescent="0.2">
      <c r="A749" s="41">
        <f t="shared" si="12"/>
        <v>739</v>
      </c>
      <c r="B749" s="41">
        <v>17307.376438421041</v>
      </c>
      <c r="C749" s="41">
        <f>($F$22+B749)*$F$23/Main!$K$3</f>
        <v>387.96954962430908</v>
      </c>
    </row>
    <row r="750" spans="1:3" x14ac:dyDescent="0.2">
      <c r="A750" s="41">
        <f t="shared" si="12"/>
        <v>740</v>
      </c>
      <c r="B750" s="41">
        <v>6475.2611512834983</v>
      </c>
      <c r="C750" s="41">
        <f>($F$22+B750)*$F$23/Main!$K$3</f>
        <v>294.02964603792753</v>
      </c>
    </row>
    <row r="751" spans="1:3" x14ac:dyDescent="0.2">
      <c r="A751" s="41">
        <f t="shared" si="12"/>
        <v>741</v>
      </c>
      <c r="B751" s="41">
        <v>22635.016955722418</v>
      </c>
      <c r="C751" s="41">
        <f>($F$22+B751)*$F$23/Main!$K$3</f>
        <v>434.17271708251349</v>
      </c>
    </row>
    <row r="752" spans="1:3" x14ac:dyDescent="0.2">
      <c r="A752" s="41">
        <f t="shared" si="12"/>
        <v>742</v>
      </c>
      <c r="B752" s="41">
        <v>1996.0930681810537</v>
      </c>
      <c r="C752" s="41">
        <f>($F$22+B752)*$F$23/Main!$K$3</f>
        <v>255.18472916619868</v>
      </c>
    </row>
    <row r="753" spans="1:3" x14ac:dyDescent="0.2">
      <c r="A753" s="41">
        <f t="shared" si="12"/>
        <v>743</v>
      </c>
      <c r="B753" s="41">
        <v>13497.682317681067</v>
      </c>
      <c r="C753" s="41">
        <f>($F$22+B753)*$F$23/Main!$K$3</f>
        <v>354.93054580010863</v>
      </c>
    </row>
    <row r="754" spans="1:3" x14ac:dyDescent="0.2">
      <c r="A754" s="41">
        <f t="shared" si="12"/>
        <v>744</v>
      </c>
      <c r="B754" s="41">
        <v>3385.5111810684984</v>
      </c>
      <c r="C754" s="41">
        <f>($F$22+B754)*$F$23/Main!$K$3</f>
        <v>267.23425043752462</v>
      </c>
    </row>
    <row r="755" spans="1:3" x14ac:dyDescent="0.2">
      <c r="A755" s="41">
        <f t="shared" si="12"/>
        <v>745</v>
      </c>
      <c r="B755" s="41">
        <v>11582.626774967612</v>
      </c>
      <c r="C755" s="41">
        <f>($F$22+B755)*$F$23/Main!$K$3</f>
        <v>338.32251234807478</v>
      </c>
    </row>
    <row r="756" spans="1:3" x14ac:dyDescent="0.2">
      <c r="A756" s="41">
        <f t="shared" si="12"/>
        <v>746</v>
      </c>
      <c r="B756" s="41">
        <v>4945.8231871490852</v>
      </c>
      <c r="C756" s="41">
        <f>($F$22+B756)*$F$23/Main!$K$3</f>
        <v>280.76582349878379</v>
      </c>
    </row>
    <row r="757" spans="1:3" x14ac:dyDescent="0.2">
      <c r="A757" s="41">
        <f t="shared" si="12"/>
        <v>747</v>
      </c>
      <c r="B757" s="41">
        <v>1232.3349481356991</v>
      </c>
      <c r="C757" s="41">
        <f>($F$22+B757)*$F$23/Main!$K$3</f>
        <v>248.56115082914275</v>
      </c>
    </row>
    <row r="758" spans="1:3" x14ac:dyDescent="0.2">
      <c r="A758" s="41">
        <f t="shared" si="12"/>
        <v>748</v>
      </c>
      <c r="B758" s="41">
        <v>12449.991243980838</v>
      </c>
      <c r="C758" s="41">
        <f>($F$22+B758)*$F$23/Main!$K$3</f>
        <v>345.84460128762919</v>
      </c>
    </row>
    <row r="759" spans="1:3" x14ac:dyDescent="0.2">
      <c r="A759" s="41">
        <f t="shared" si="12"/>
        <v>749</v>
      </c>
      <c r="B759" s="41">
        <v>9451.7908475912755</v>
      </c>
      <c r="C759" s="41">
        <f>($F$22+B759)*$F$23/Main!$K$3</f>
        <v>319.84315570627268</v>
      </c>
    </row>
    <row r="760" spans="1:3" x14ac:dyDescent="0.2">
      <c r="A760" s="41">
        <f t="shared" si="12"/>
        <v>750</v>
      </c>
      <c r="B760" s="41">
        <v>21046.352429421986</v>
      </c>
      <c r="C760" s="41">
        <f>($F$22+B760)*$F$23/Main!$K$3</f>
        <v>420.39526102007858</v>
      </c>
    </row>
    <row r="761" spans="1:3" x14ac:dyDescent="0.2">
      <c r="A761" s="41">
        <f t="shared" si="12"/>
        <v>751</v>
      </c>
      <c r="B761" s="41">
        <v>14613.028610297051</v>
      </c>
      <c r="C761" s="41">
        <f>($F$22+B761)*$F$23/Main!$K$3</f>
        <v>364.60322010391593</v>
      </c>
    </row>
    <row r="762" spans="1:3" x14ac:dyDescent="0.2">
      <c r="A762" s="41">
        <f t="shared" si="12"/>
        <v>752</v>
      </c>
      <c r="B762" s="41">
        <v>6896.3461820048124</v>
      </c>
      <c r="C762" s="41">
        <f>($F$22+B762)*$F$23/Main!$K$3</f>
        <v>297.68144313748388</v>
      </c>
    </row>
    <row r="763" spans="1:3" x14ac:dyDescent="0.2">
      <c r="A763" s="41">
        <f t="shared" si="12"/>
        <v>753</v>
      </c>
      <c r="B763" s="41">
        <v>8694.5737807786772</v>
      </c>
      <c r="C763" s="41">
        <f>($F$22+B763)*$F$23/Main!$K$3</f>
        <v>313.27630367739852</v>
      </c>
    </row>
    <row r="764" spans="1:3" x14ac:dyDescent="0.2">
      <c r="A764" s="41">
        <f t="shared" si="12"/>
        <v>754</v>
      </c>
      <c r="B764" s="41">
        <v>10420.789376989707</v>
      </c>
      <c r="C764" s="41">
        <f>($F$22+B764)*$F$23/Main!$K$3</f>
        <v>328.24665086987414</v>
      </c>
    </row>
    <row r="765" spans="1:3" x14ac:dyDescent="0.2">
      <c r="A765" s="41">
        <f t="shared" si="12"/>
        <v>755</v>
      </c>
      <c r="B765" s="41">
        <v>6076.2421218806121</v>
      </c>
      <c r="C765" s="41">
        <f>($F$22+B765)*$F$23/Main!$K$3</f>
        <v>290.56921304237511</v>
      </c>
    </row>
    <row r="766" spans="1:3" x14ac:dyDescent="0.2">
      <c r="A766" s="41">
        <f t="shared" si="12"/>
        <v>756</v>
      </c>
      <c r="B766" s="41">
        <v>8220.8257133043298</v>
      </c>
      <c r="C766" s="41">
        <f>($F$22+B766)*$F$23/Main!$K$3</f>
        <v>309.16779424936277</v>
      </c>
    </row>
    <row r="767" spans="1:3" x14ac:dyDescent="0.2">
      <c r="A767" s="41">
        <f t="shared" si="12"/>
        <v>757</v>
      </c>
      <c r="B767" s="41">
        <v>11851.533183419971</v>
      </c>
      <c r="C767" s="41">
        <f>($F$22+B767)*$F$23/Main!$K$3</f>
        <v>340.65456305231453</v>
      </c>
    </row>
    <row r="768" spans="1:3" x14ac:dyDescent="0.2">
      <c r="A768" s="41">
        <f t="shared" si="12"/>
        <v>758</v>
      </c>
      <c r="B768" s="41">
        <v>16478.728567430993</v>
      </c>
      <c r="C768" s="41">
        <f>($F$22+B768)*$F$23/Main!$K$3</f>
        <v>380.7832246042737</v>
      </c>
    </row>
    <row r="769" spans="1:3" x14ac:dyDescent="0.2">
      <c r="A769" s="41">
        <f t="shared" si="12"/>
        <v>759</v>
      </c>
      <c r="B769" s="41">
        <v>11656.793258789423</v>
      </c>
      <c r="C769" s="41">
        <f>($F$22+B769)*$F$23/Main!$K$3</f>
        <v>338.96571011276575</v>
      </c>
    </row>
    <row r="770" spans="1:3" x14ac:dyDescent="0.2">
      <c r="A770" s="41">
        <f t="shared" si="12"/>
        <v>760</v>
      </c>
      <c r="B770" s="41">
        <v>13843.518429525133</v>
      </c>
      <c r="C770" s="41">
        <f>($F$22+B770)*$F$23/Main!$K$3</f>
        <v>357.92975787846399</v>
      </c>
    </row>
    <row r="771" spans="1:3" x14ac:dyDescent="0.2">
      <c r="A771" s="41">
        <f t="shared" si="12"/>
        <v>761</v>
      </c>
      <c r="B771" s="41">
        <v>11005.645285963097</v>
      </c>
      <c r="C771" s="41">
        <f>($F$22+B771)*$F$23/Main!$K$3</f>
        <v>333.31872647510016</v>
      </c>
    </row>
    <row r="772" spans="1:3" x14ac:dyDescent="0.2">
      <c r="A772" s="41">
        <f t="shared" si="12"/>
        <v>762</v>
      </c>
      <c r="B772" s="41">
        <v>4219.7182521876994</v>
      </c>
      <c r="C772" s="41">
        <f>($F$22+B772)*$F$23/Main!$K$3</f>
        <v>274.46878679120147</v>
      </c>
    </row>
    <row r="773" spans="1:3" x14ac:dyDescent="0.2">
      <c r="A773" s="41">
        <f t="shared" si="12"/>
        <v>763</v>
      </c>
      <c r="B773" s="41">
        <v>6601.0360159975135</v>
      </c>
      <c r="C773" s="41">
        <f>($F$22+B773)*$F$23/Main!$K$3</f>
        <v>295.12040978550829</v>
      </c>
    </row>
    <row r="774" spans="1:3" x14ac:dyDescent="0.2">
      <c r="A774" s="41">
        <f t="shared" si="12"/>
        <v>764</v>
      </c>
      <c r="B774" s="41">
        <v>9682.2527916466825</v>
      </c>
      <c r="C774" s="41">
        <f>($F$22+B774)*$F$23/Main!$K$3</f>
        <v>321.84180252926234</v>
      </c>
    </row>
    <row r="775" spans="1:3" x14ac:dyDescent="0.2">
      <c r="A775" s="41">
        <f t="shared" si="12"/>
        <v>765</v>
      </c>
      <c r="B775" s="41">
        <v>10343.488290666894</v>
      </c>
      <c r="C775" s="41">
        <f>($F$22+B775)*$F$23/Main!$K$3</f>
        <v>327.57626873270198</v>
      </c>
    </row>
    <row r="776" spans="1:3" x14ac:dyDescent="0.2">
      <c r="A776" s="41">
        <f t="shared" si="12"/>
        <v>766</v>
      </c>
      <c r="B776" s="41">
        <v>9917.3067634832059</v>
      </c>
      <c r="C776" s="41">
        <f>($F$22+B776)*$F$23/Main!$K$3</f>
        <v>323.8802730280151</v>
      </c>
    </row>
    <row r="777" spans="1:3" x14ac:dyDescent="0.2">
      <c r="A777" s="41">
        <f t="shared" si="12"/>
        <v>767</v>
      </c>
      <c r="B777" s="41">
        <v>7445.0817831409631</v>
      </c>
      <c r="C777" s="41">
        <f>($F$22+B777)*$F$23/Main!$K$3</f>
        <v>302.44027076244055</v>
      </c>
    </row>
    <row r="778" spans="1:3" x14ac:dyDescent="0.2">
      <c r="A778" s="41">
        <f t="shared" si="12"/>
        <v>768</v>
      </c>
      <c r="B778" s="41">
        <v>7837.7734837567878</v>
      </c>
      <c r="C778" s="41">
        <f>($F$22+B778)*$F$23/Main!$K$3</f>
        <v>305.84583094317696</v>
      </c>
    </row>
    <row r="779" spans="1:3" x14ac:dyDescent="0.2">
      <c r="A779" s="41">
        <f t="shared" si="12"/>
        <v>769</v>
      </c>
      <c r="B779" s="41">
        <v>2961.8300829703931</v>
      </c>
      <c r="C779" s="41">
        <f>($F$22+B779)*$F$23/Main!$K$3</f>
        <v>263.55993933099779</v>
      </c>
    </row>
    <row r="780" spans="1:3" x14ac:dyDescent="0.2">
      <c r="A780" s="41">
        <f t="shared" si="12"/>
        <v>770</v>
      </c>
      <c r="B780" s="41">
        <v>7911.9112229179927</v>
      </c>
      <c r="C780" s="41">
        <f>($F$22+B780)*$F$23/Main!$K$3</f>
        <v>306.48877942408785</v>
      </c>
    </row>
    <row r="781" spans="1:3" x14ac:dyDescent="0.2">
      <c r="A781" s="41">
        <f t="shared" si="12"/>
        <v>771</v>
      </c>
      <c r="B781" s="41">
        <v>10615.155679799887</v>
      </c>
      <c r="C781" s="41">
        <f>($F$22+B781)*$F$23/Main!$K$3</f>
        <v>329.93226362993329</v>
      </c>
    </row>
    <row r="782" spans="1:3" x14ac:dyDescent="0.2">
      <c r="A782" s="41">
        <f t="shared" si="12"/>
        <v>772</v>
      </c>
      <c r="B782" s="41">
        <v>12619.516039750522</v>
      </c>
      <c r="C782" s="41">
        <f>($F$22+B782)*$F$23/Main!$K$3</f>
        <v>347.31477978443814</v>
      </c>
    </row>
    <row r="783" spans="1:3" x14ac:dyDescent="0.2">
      <c r="A783" s="41">
        <f t="shared" si="12"/>
        <v>773</v>
      </c>
      <c r="B783" s="41">
        <v>11568.528783602738</v>
      </c>
      <c r="C783" s="41">
        <f>($F$22+B783)*$F$23/Main!$K$3</f>
        <v>338.20024962150006</v>
      </c>
    </row>
    <row r="784" spans="1:3" x14ac:dyDescent="0.2">
      <c r="A784" s="41">
        <f t="shared" si="12"/>
        <v>774</v>
      </c>
      <c r="B784" s="41">
        <v>3139.4173644961543</v>
      </c>
      <c r="C784" s="41">
        <f>($F$22+B784)*$F$23/Main!$K$3</f>
        <v>265.1000385325367</v>
      </c>
    </row>
    <row r="785" spans="1:3" x14ac:dyDescent="0.2">
      <c r="A785" s="41">
        <f t="shared" si="12"/>
        <v>775</v>
      </c>
      <c r="B785" s="41">
        <v>3999.0267211025189</v>
      </c>
      <c r="C785" s="41">
        <f>($F$22+B785)*$F$23/Main!$K$3</f>
        <v>272.55487241686961</v>
      </c>
    </row>
    <row r="786" spans="1:3" x14ac:dyDescent="0.2">
      <c r="A786" s="41">
        <f t="shared" si="12"/>
        <v>776</v>
      </c>
      <c r="B786" s="41">
        <v>9039.7114177806707</v>
      </c>
      <c r="C786" s="41">
        <f>($F$22+B786)*$F$23/Main!$K$3</f>
        <v>316.26945833690422</v>
      </c>
    </row>
    <row r="787" spans="1:3" x14ac:dyDescent="0.2">
      <c r="A787" s="41">
        <f t="shared" si="12"/>
        <v>777</v>
      </c>
      <c r="B787" s="41">
        <v>5187.9781526404913</v>
      </c>
      <c r="C787" s="41">
        <f>($F$22+B787)*$F$23/Main!$K$3</f>
        <v>282.86587630548149</v>
      </c>
    </row>
    <row r="788" spans="1:3" x14ac:dyDescent="0.2">
      <c r="A788" s="41">
        <f t="shared" ref="A788:A851" si="13">A787+1</f>
        <v>778</v>
      </c>
      <c r="B788" s="41">
        <v>10265.804705954521</v>
      </c>
      <c r="C788" s="41">
        <f>($F$22+B788)*$F$23/Main!$K$3</f>
        <v>326.90256943531813</v>
      </c>
    </row>
    <row r="789" spans="1:3" x14ac:dyDescent="0.2">
      <c r="A789" s="41">
        <f t="shared" si="13"/>
        <v>779</v>
      </c>
      <c r="B789" s="41">
        <v>6826.2517719027219</v>
      </c>
      <c r="C789" s="41">
        <f>($F$22+B789)*$F$23/Main!$K$3</f>
        <v>297.0735598245401</v>
      </c>
    </row>
    <row r="790" spans="1:3" x14ac:dyDescent="0.2">
      <c r="A790" s="41">
        <f t="shared" si="13"/>
        <v>780</v>
      </c>
      <c r="B790" s="41">
        <v>6860.8714291959623</v>
      </c>
      <c r="C790" s="41">
        <f>($F$22+B790)*$F$23/Main!$K$3</f>
        <v>297.37379363687603</v>
      </c>
    </row>
    <row r="791" spans="1:3" x14ac:dyDescent="0.2">
      <c r="A791" s="41">
        <f t="shared" si="13"/>
        <v>781</v>
      </c>
      <c r="B791" s="41">
        <v>10914.264317685509</v>
      </c>
      <c r="C791" s="41">
        <f>($F$22+B791)*$F$23/Main!$K$3</f>
        <v>332.52623866251014</v>
      </c>
    </row>
    <row r="792" spans="1:3" x14ac:dyDescent="0.2">
      <c r="A792" s="41">
        <f t="shared" si="13"/>
        <v>782</v>
      </c>
      <c r="B792" s="41">
        <v>12506.44726045427</v>
      </c>
      <c r="C792" s="41">
        <f>($F$22+B792)*$F$23/Main!$K$3</f>
        <v>346.33420766678978</v>
      </c>
    </row>
    <row r="793" spans="1:3" x14ac:dyDescent="0.2">
      <c r="A793" s="41">
        <f t="shared" si="13"/>
        <v>783</v>
      </c>
      <c r="B793" s="41">
        <v>7705.6190395077037</v>
      </c>
      <c r="C793" s="41">
        <f>($F$22+B793)*$F$23/Main!$K$3</f>
        <v>304.69974124396452</v>
      </c>
    </row>
    <row r="794" spans="1:3" x14ac:dyDescent="0.2">
      <c r="A794" s="41">
        <f t="shared" si="13"/>
        <v>784</v>
      </c>
      <c r="B794" s="41">
        <v>11671.52872018374</v>
      </c>
      <c r="C794" s="41">
        <f>($F$22+B794)*$F$23/Main!$K$3</f>
        <v>339.0935012030551</v>
      </c>
    </row>
    <row r="795" spans="1:3" x14ac:dyDescent="0.2">
      <c r="A795" s="41">
        <f t="shared" si="13"/>
        <v>785</v>
      </c>
      <c r="B795" s="41">
        <v>9601.8983160825301</v>
      </c>
      <c r="C795" s="41">
        <f>($F$22+B795)*$F$23/Main!$K$3</f>
        <v>321.14494032948556</v>
      </c>
    </row>
    <row r="796" spans="1:3" x14ac:dyDescent="0.2">
      <c r="A796" s="41">
        <f t="shared" si="13"/>
        <v>786</v>
      </c>
      <c r="B796" s="41">
        <v>3283.4847867817994</v>
      </c>
      <c r="C796" s="41">
        <f>($F$22+B796)*$F$23/Main!$K$3</f>
        <v>266.34944175625628</v>
      </c>
    </row>
    <row r="797" spans="1:3" x14ac:dyDescent="0.2">
      <c r="A797" s="41">
        <f t="shared" si="13"/>
        <v>787</v>
      </c>
      <c r="B797" s="41">
        <v>3066.6135305319049</v>
      </c>
      <c r="C797" s="41">
        <f>($F$22+B797)*$F$23/Main!$K$3</f>
        <v>264.46865814541678</v>
      </c>
    </row>
    <row r="798" spans="1:3" x14ac:dyDescent="0.2">
      <c r="A798" s="41">
        <f t="shared" si="13"/>
        <v>788</v>
      </c>
      <c r="B798" s="41">
        <v>7987.9560047041323</v>
      </c>
      <c r="C798" s="41">
        <f>($F$22+B798)*$F$23/Main!$K$3</f>
        <v>307.14826644761683</v>
      </c>
    </row>
    <row r="799" spans="1:3" x14ac:dyDescent="0.2">
      <c r="A799" s="41">
        <f t="shared" si="13"/>
        <v>789</v>
      </c>
      <c r="B799" s="41">
        <v>6780.411569316725</v>
      </c>
      <c r="C799" s="41">
        <f>($F$22+B799)*$F$23/Main!$K$3</f>
        <v>296.67601750735093</v>
      </c>
    </row>
    <row r="800" spans="1:3" x14ac:dyDescent="0.2">
      <c r="A800" s="41">
        <f t="shared" si="13"/>
        <v>790</v>
      </c>
      <c r="B800" s="41">
        <v>3941.5413651553486</v>
      </c>
      <c r="C800" s="41">
        <f>($F$22+B800)*$F$23/Main!$K$3</f>
        <v>272.05633924470902</v>
      </c>
    </row>
    <row r="801" spans="1:3" x14ac:dyDescent="0.2">
      <c r="A801" s="41">
        <f t="shared" si="13"/>
        <v>791</v>
      </c>
      <c r="B801" s="41">
        <v>4350.7853699967563</v>
      </c>
      <c r="C801" s="41">
        <f>($F$22+B801)*$F$23/Main!$K$3</f>
        <v>275.60544681410096</v>
      </c>
    </row>
    <row r="802" spans="1:3" x14ac:dyDescent="0.2">
      <c r="A802" s="41">
        <f t="shared" si="13"/>
        <v>792</v>
      </c>
      <c r="B802" s="41">
        <v>5134.2651301018586</v>
      </c>
      <c r="C802" s="41">
        <f>($F$22+B802)*$F$23/Main!$K$3</f>
        <v>282.40005813194307</v>
      </c>
    </row>
    <row r="803" spans="1:3" x14ac:dyDescent="0.2">
      <c r="A803" s="41">
        <f t="shared" si="13"/>
        <v>793</v>
      </c>
      <c r="B803" s="41">
        <v>6773.8663349955232</v>
      </c>
      <c r="C803" s="41">
        <f>($F$22+B803)*$F$23/Main!$K$3</f>
        <v>296.61925493930346</v>
      </c>
    </row>
    <row r="804" spans="1:3" x14ac:dyDescent="0.2">
      <c r="A804" s="41">
        <f t="shared" si="13"/>
        <v>794</v>
      </c>
      <c r="B804" s="41">
        <v>10494.234594852789</v>
      </c>
      <c r="C804" s="41">
        <f>($F$22+B804)*$F$23/Main!$K$3</f>
        <v>328.88359356315698</v>
      </c>
    </row>
    <row r="805" spans="1:3" x14ac:dyDescent="0.2">
      <c r="A805" s="41">
        <f t="shared" si="13"/>
        <v>795</v>
      </c>
      <c r="B805" s="41">
        <v>2225.3367248266968</v>
      </c>
      <c r="C805" s="41">
        <f>($F$22+B805)*$F$23/Main!$K$3</f>
        <v>257.17281057340568</v>
      </c>
    </row>
    <row r="806" spans="1:3" x14ac:dyDescent="0.2">
      <c r="A806" s="41">
        <f t="shared" si="13"/>
        <v>796</v>
      </c>
      <c r="B806" s="41">
        <v>10383.804484489574</v>
      </c>
      <c r="C806" s="41">
        <f>($F$22+B806)*$F$23/Main!$K$3</f>
        <v>327.92590490811915</v>
      </c>
    </row>
    <row r="807" spans="1:3" x14ac:dyDescent="0.2">
      <c r="A807" s="41">
        <f t="shared" si="13"/>
        <v>797</v>
      </c>
      <c r="B807" s="41">
        <v>11057.196301010528</v>
      </c>
      <c r="C807" s="41">
        <f>($F$22+B807)*$F$23/Main!$K$3</f>
        <v>333.76579496126055</v>
      </c>
    </row>
    <row r="808" spans="1:3" x14ac:dyDescent="0.2">
      <c r="A808" s="41">
        <f t="shared" si="13"/>
        <v>798</v>
      </c>
      <c r="B808" s="41">
        <v>9867.2504169118129</v>
      </c>
      <c r="C808" s="41">
        <f>($F$22+B808)*$F$23/Main!$K$3</f>
        <v>323.44616683119625</v>
      </c>
    </row>
    <row r="809" spans="1:3" x14ac:dyDescent="0.2">
      <c r="A809" s="41">
        <f t="shared" si="13"/>
        <v>799</v>
      </c>
      <c r="B809" s="41">
        <v>10269.909073635887</v>
      </c>
      <c r="C809" s="41">
        <f>($F$22+B809)*$F$23/Main!$K$3</f>
        <v>326.93816395162912</v>
      </c>
    </row>
    <row r="810" spans="1:3" x14ac:dyDescent="0.2">
      <c r="A810" s="41">
        <f t="shared" si="13"/>
        <v>800</v>
      </c>
      <c r="B810" s="41">
        <v>7092.0307783310373</v>
      </c>
      <c r="C810" s="41">
        <f>($F$22+B810)*$F$23/Main!$K$3</f>
        <v>299.37848860136052</v>
      </c>
    </row>
    <row r="811" spans="1:3" x14ac:dyDescent="0.2">
      <c r="A811" s="41">
        <f t="shared" si="13"/>
        <v>801</v>
      </c>
      <c r="B811" s="41">
        <v>8363.4171597567019</v>
      </c>
      <c r="C811" s="41">
        <f>($F$22+B811)*$F$23/Main!$K$3</f>
        <v>310.40439729289614</v>
      </c>
    </row>
    <row r="812" spans="1:3" x14ac:dyDescent="0.2">
      <c r="A812" s="41">
        <f t="shared" si="13"/>
        <v>802</v>
      </c>
      <c r="B812" s="41">
        <v>13588.15264763248</v>
      </c>
      <c r="C812" s="41">
        <f>($F$22+B812)*$F$23/Main!$K$3</f>
        <v>355.71513623768971</v>
      </c>
    </row>
    <row r="813" spans="1:3" x14ac:dyDescent="0.2">
      <c r="A813" s="41">
        <f t="shared" si="13"/>
        <v>803</v>
      </c>
      <c r="B813" s="41">
        <v>7393.83289683164</v>
      </c>
      <c r="C813" s="41">
        <f>($F$22+B813)*$F$23/Main!$K$3</f>
        <v>301.99582244268123</v>
      </c>
    </row>
    <row r="814" spans="1:3" x14ac:dyDescent="0.2">
      <c r="A814" s="41">
        <f t="shared" si="13"/>
        <v>804</v>
      </c>
      <c r="B814" s="41">
        <v>12214.605053917359</v>
      </c>
      <c r="C814" s="41">
        <f>($F$22+B814)*$F$23/Main!$K$3</f>
        <v>343.80324967587285</v>
      </c>
    </row>
    <row r="815" spans="1:3" x14ac:dyDescent="0.2">
      <c r="A815" s="41">
        <f t="shared" si="13"/>
        <v>805</v>
      </c>
      <c r="B815" s="41">
        <v>2351.8674684319617</v>
      </c>
      <c r="C815" s="41">
        <f>($F$22+B815)*$F$23/Main!$K$3</f>
        <v>258.27012956788741</v>
      </c>
    </row>
    <row r="816" spans="1:3" x14ac:dyDescent="0.2">
      <c r="A816" s="41">
        <f t="shared" si="13"/>
        <v>806</v>
      </c>
      <c r="B816" s="41">
        <v>13225.952132329285</v>
      </c>
      <c r="C816" s="41">
        <f>($F$22+B816)*$F$23/Main!$K$3</f>
        <v>352.57400631203961</v>
      </c>
    </row>
    <row r="817" spans="1:3" x14ac:dyDescent="0.2">
      <c r="A817" s="41">
        <f t="shared" si="13"/>
        <v>807</v>
      </c>
      <c r="B817" s="41">
        <v>8458.2540961902268</v>
      </c>
      <c r="C817" s="41">
        <f>($F$22+B817)*$F$23/Main!$K$3</f>
        <v>311.2268564736595</v>
      </c>
    </row>
    <row r="818" spans="1:3" x14ac:dyDescent="0.2">
      <c r="A818" s="41">
        <f t="shared" si="13"/>
        <v>808</v>
      </c>
      <c r="B818" s="41">
        <v>8679.8728169590504</v>
      </c>
      <c r="C818" s="41">
        <f>($F$22+B818)*$F$23/Main!$K$3</f>
        <v>313.14881176217835</v>
      </c>
    </row>
    <row r="819" spans="1:3" x14ac:dyDescent="0.2">
      <c r="A819" s="41">
        <f t="shared" si="13"/>
        <v>809</v>
      </c>
      <c r="B819" s="41">
        <v>4835.349923880367</v>
      </c>
      <c r="C819" s="41">
        <f>($F$22+B819)*$F$23/Main!$K$3</f>
        <v>279.80776060661174</v>
      </c>
    </row>
    <row r="820" spans="1:3" x14ac:dyDescent="0.2">
      <c r="A820" s="41">
        <f t="shared" si="13"/>
        <v>810</v>
      </c>
      <c r="B820" s="41">
        <v>4136.6280000651959</v>
      </c>
      <c r="C820" s="41">
        <f>($F$22+B820)*$F$23/Main!$K$3</f>
        <v>273.74819897742287</v>
      </c>
    </row>
    <row r="821" spans="1:3" x14ac:dyDescent="0.2">
      <c r="A821" s="41">
        <f t="shared" si="13"/>
        <v>811</v>
      </c>
      <c r="B821" s="41">
        <v>6078.9227597519784</v>
      </c>
      <c r="C821" s="41">
        <f>($F$22+B821)*$F$23/Main!$K$3</f>
        <v>290.59246047434112</v>
      </c>
    </row>
    <row r="822" spans="1:3" x14ac:dyDescent="0.2">
      <c r="A822" s="41">
        <f t="shared" si="13"/>
        <v>812</v>
      </c>
      <c r="B822" s="41">
        <v>14108.121171827745</v>
      </c>
      <c r="C822" s="41">
        <f>($F$22+B822)*$F$23/Main!$K$3</f>
        <v>360.22448568016267</v>
      </c>
    </row>
    <row r="823" spans="1:3" x14ac:dyDescent="0.2">
      <c r="A823" s="41">
        <f t="shared" si="13"/>
        <v>813</v>
      </c>
      <c r="B823" s="41">
        <v>8513.3304172723201</v>
      </c>
      <c r="C823" s="41">
        <f>($F$22+B823)*$F$23/Main!$K$3</f>
        <v>311.70449765040064</v>
      </c>
    </row>
    <row r="824" spans="1:3" x14ac:dyDescent="0.2">
      <c r="A824" s="41">
        <f t="shared" si="13"/>
        <v>814</v>
      </c>
      <c r="B824" s="41">
        <v>19818.127232569863</v>
      </c>
      <c r="C824" s="41">
        <f>($F$22+B824)*$F$23/Main!$K$3</f>
        <v>409.74366126175084</v>
      </c>
    </row>
    <row r="825" spans="1:3" x14ac:dyDescent="0.2">
      <c r="A825" s="41">
        <f t="shared" si="13"/>
        <v>815</v>
      </c>
      <c r="B825" s="41">
        <v>3603.6322221305231</v>
      </c>
      <c r="C825" s="41">
        <f>($F$22+B825)*$F$23/Main!$K$3</f>
        <v>269.1258726206691</v>
      </c>
    </row>
    <row r="826" spans="1:3" x14ac:dyDescent="0.2">
      <c r="A826" s="41">
        <f t="shared" si="13"/>
        <v>816</v>
      </c>
      <c r="B826" s="41">
        <v>20324.17332228562</v>
      </c>
      <c r="C826" s="41">
        <f>($F$22+B826)*$F$23/Main!$K$3</f>
        <v>414.1322704685428</v>
      </c>
    </row>
    <row r="827" spans="1:3" x14ac:dyDescent="0.2">
      <c r="A827" s="41">
        <f t="shared" si="13"/>
        <v>817</v>
      </c>
      <c r="B827" s="41">
        <v>10625.04880322867</v>
      </c>
      <c r="C827" s="41">
        <f>($F$22+B827)*$F$23/Main!$K$3</f>
        <v>330.01806026673336</v>
      </c>
    </row>
    <row r="828" spans="1:3" x14ac:dyDescent="0.2">
      <c r="A828" s="41">
        <f t="shared" si="13"/>
        <v>818</v>
      </c>
      <c r="B828" s="41">
        <v>6301.3296566623285</v>
      </c>
      <c r="C828" s="41">
        <f>($F$22+B828)*$F$23/Main!$K$3</f>
        <v>292.52125110284504</v>
      </c>
    </row>
    <row r="829" spans="1:3" x14ac:dyDescent="0.2">
      <c r="A829" s="41">
        <f t="shared" si="13"/>
        <v>819</v>
      </c>
      <c r="B829" s="41">
        <v>4521.5370822151972</v>
      </c>
      <c r="C829" s="41">
        <f>($F$22+B829)*$F$23/Main!$K$3</f>
        <v>277.08626556074569</v>
      </c>
    </row>
    <row r="830" spans="1:3" x14ac:dyDescent="0.2">
      <c r="A830" s="41">
        <f t="shared" si="13"/>
        <v>820</v>
      </c>
      <c r="B830" s="41">
        <v>6494.8599111229978</v>
      </c>
      <c r="C830" s="41">
        <f>($F$22+B830)*$F$23/Main!$K$3</f>
        <v>294.19961335833835</v>
      </c>
    </row>
    <row r="831" spans="1:3" x14ac:dyDescent="0.2">
      <c r="A831" s="41">
        <f t="shared" si="13"/>
        <v>821</v>
      </c>
      <c r="B831" s="41">
        <v>2511.0189372990476</v>
      </c>
      <c r="C831" s="41">
        <f>($F$22+B831)*$F$23/Main!$K$3</f>
        <v>259.65034693491987</v>
      </c>
    </row>
    <row r="832" spans="1:3" x14ac:dyDescent="0.2">
      <c r="A832" s="41">
        <f t="shared" si="13"/>
        <v>822</v>
      </c>
      <c r="B832" s="41">
        <v>5942.0885030621948</v>
      </c>
      <c r="C832" s="41">
        <f>($F$22+B832)*$F$23/Main!$K$3</f>
        <v>289.40578580000346</v>
      </c>
    </row>
    <row r="833" spans="1:3" x14ac:dyDescent="0.2">
      <c r="A833" s="41">
        <f t="shared" si="13"/>
        <v>823</v>
      </c>
      <c r="B833" s="41">
        <v>15606.071372236787</v>
      </c>
      <c r="C833" s="41">
        <f>($F$22+B833)*$F$23/Main!$K$3</f>
        <v>373.21523528663323</v>
      </c>
    </row>
    <row r="834" spans="1:3" x14ac:dyDescent="0.2">
      <c r="A834" s="41">
        <f t="shared" si="13"/>
        <v>824</v>
      </c>
      <c r="B834" s="41">
        <v>15711.10250221694</v>
      </c>
      <c r="C834" s="41">
        <f>($F$22+B834)*$F$23/Main!$K$3</f>
        <v>374.12610208987167</v>
      </c>
    </row>
    <row r="835" spans="1:3" x14ac:dyDescent="0.2">
      <c r="A835" s="41">
        <f t="shared" si="13"/>
        <v>825</v>
      </c>
      <c r="B835" s="41">
        <v>8573.2881416716973</v>
      </c>
      <c r="C835" s="41">
        <f>($F$22+B835)*$F$23/Main!$K$3</f>
        <v>312.22447206906514</v>
      </c>
    </row>
    <row r="836" spans="1:3" x14ac:dyDescent="0.2">
      <c r="A836" s="41">
        <f t="shared" si="13"/>
        <v>826</v>
      </c>
      <c r="B836" s="41">
        <v>5521.7667449412247</v>
      </c>
      <c r="C836" s="41">
        <f>($F$22+B836)*$F$23/Main!$K$3</f>
        <v>285.76060806818703</v>
      </c>
    </row>
    <row r="837" spans="1:3" x14ac:dyDescent="0.2">
      <c r="A837" s="41">
        <f t="shared" si="13"/>
        <v>827</v>
      </c>
      <c r="B837" s="41">
        <v>11823.797617897966</v>
      </c>
      <c r="C837" s="41">
        <f>($F$22+B837)*$F$23/Main!$K$3</f>
        <v>340.41403049870104</v>
      </c>
    </row>
    <row r="838" spans="1:3" x14ac:dyDescent="0.2">
      <c r="A838" s="41">
        <f t="shared" si="13"/>
        <v>828</v>
      </c>
      <c r="B838" s="41">
        <v>9027.0554771998213</v>
      </c>
      <c r="C838" s="41">
        <f>($F$22+B838)*$F$23/Main!$K$3</f>
        <v>316.15970158058798</v>
      </c>
    </row>
    <row r="839" spans="1:3" x14ac:dyDescent="0.2">
      <c r="A839" s="41">
        <f t="shared" si="13"/>
        <v>829</v>
      </c>
      <c r="B839" s="41">
        <v>6719.8062458734203</v>
      </c>
      <c r="C839" s="41">
        <f>($F$22+B839)*$F$23/Main!$K$3</f>
        <v>296.15042688260507</v>
      </c>
    </row>
    <row r="840" spans="1:3" x14ac:dyDescent="0.2">
      <c r="A840" s="41">
        <f t="shared" si="13"/>
        <v>830</v>
      </c>
      <c r="B840" s="41">
        <v>12710.098113532773</v>
      </c>
      <c r="C840" s="41">
        <f>($F$22+B840)*$F$23/Main!$K$3</f>
        <v>348.10033930371907</v>
      </c>
    </row>
    <row r="841" spans="1:3" x14ac:dyDescent="0.2">
      <c r="A841" s="41">
        <f t="shared" si="13"/>
        <v>831</v>
      </c>
      <c r="B841" s="41">
        <v>10940.081859851916</v>
      </c>
      <c r="C841" s="41">
        <f>($F$22+B841)*$F$23/Main!$K$3</f>
        <v>332.75013744475723</v>
      </c>
    </row>
    <row r="842" spans="1:3" x14ac:dyDescent="0.2">
      <c r="A842" s="41">
        <f t="shared" si="13"/>
        <v>832</v>
      </c>
      <c r="B842" s="41">
        <v>8046.8371087539535</v>
      </c>
      <c r="C842" s="41">
        <f>($F$22+B842)*$F$23/Main!$K$3</f>
        <v>307.6589040369405</v>
      </c>
    </row>
    <row r="843" spans="1:3" x14ac:dyDescent="0.2">
      <c r="A843" s="41">
        <f t="shared" si="13"/>
        <v>833</v>
      </c>
      <c r="B843" s="41">
        <v>4828.834759222812</v>
      </c>
      <c r="C843" s="41">
        <f>($F$22+B843)*$F$23/Main!$K$3</f>
        <v>279.75125881323561</v>
      </c>
    </row>
    <row r="844" spans="1:3" x14ac:dyDescent="0.2">
      <c r="A844" s="41">
        <f t="shared" si="13"/>
        <v>834</v>
      </c>
      <c r="B844" s="41">
        <v>5037.5595500173658</v>
      </c>
      <c r="C844" s="41">
        <f>($F$22+B844)*$F$23/Main!$K$3</f>
        <v>281.5613934179338</v>
      </c>
    </row>
    <row r="845" spans="1:3" x14ac:dyDescent="0.2">
      <c r="A845" s="41">
        <f t="shared" si="13"/>
        <v>835</v>
      </c>
      <c r="B845" s="41">
        <v>4427.1862636328042</v>
      </c>
      <c r="C845" s="41">
        <f>($F$22+B845)*$F$23/Main!$K$3</f>
        <v>276.26802216451347</v>
      </c>
    </row>
    <row r="846" spans="1:3" x14ac:dyDescent="0.2">
      <c r="A846" s="41">
        <f t="shared" si="13"/>
        <v>836</v>
      </c>
      <c r="B846" s="41">
        <v>7232.2045693117816</v>
      </c>
      <c r="C846" s="41">
        <f>($F$22+B846)*$F$23/Main!$K$3</f>
        <v>300.59412488855043</v>
      </c>
    </row>
    <row r="847" spans="1:3" x14ac:dyDescent="0.2">
      <c r="A847" s="41">
        <f t="shared" si="13"/>
        <v>837</v>
      </c>
      <c r="B847" s="41">
        <v>4487.7599697703754</v>
      </c>
      <c r="C847" s="41">
        <f>($F$22+B847)*$F$23/Main!$K$3</f>
        <v>276.79333859289289</v>
      </c>
    </row>
    <row r="848" spans="1:3" x14ac:dyDescent="0.2">
      <c r="A848" s="41">
        <f t="shared" si="13"/>
        <v>838</v>
      </c>
      <c r="B848" s="41">
        <v>12786.414489965664</v>
      </c>
      <c r="C848" s="41">
        <f>($F$22+B848)*$F$23/Main!$K$3</f>
        <v>348.76218169129788</v>
      </c>
    </row>
    <row r="849" spans="1:3" x14ac:dyDescent="0.2">
      <c r="A849" s="41">
        <f t="shared" si="13"/>
        <v>839</v>
      </c>
      <c r="B849" s="41">
        <v>16420.602070841807</v>
      </c>
      <c r="C849" s="41">
        <f>($F$22+B849)*$F$23/Main!$K$3</f>
        <v>380.27913123555862</v>
      </c>
    </row>
    <row r="850" spans="1:3" x14ac:dyDescent="0.2">
      <c r="A850" s="41">
        <f t="shared" si="13"/>
        <v>840</v>
      </c>
      <c r="B850" s="41">
        <v>7490.4314905445644</v>
      </c>
      <c r="C850" s="41">
        <f>($F$22+B850)*$F$23/Main!$K$3</f>
        <v>302.83355933334627</v>
      </c>
    </row>
    <row r="851" spans="1:3" x14ac:dyDescent="0.2">
      <c r="A851" s="41">
        <f t="shared" si="13"/>
        <v>841</v>
      </c>
      <c r="B851" s="41">
        <v>9030.1417135294832</v>
      </c>
      <c r="C851" s="41">
        <f>($F$22+B851)*$F$23/Main!$K$3</f>
        <v>316.18646650466496</v>
      </c>
    </row>
    <row r="852" spans="1:3" x14ac:dyDescent="0.2">
      <c r="A852" s="41">
        <f t="shared" ref="A852:A915" si="14">A851+1</f>
        <v>842</v>
      </c>
      <c r="B852" s="41">
        <v>11493.483750637144</v>
      </c>
      <c r="C852" s="41">
        <f>($F$22+B852)*$F$23/Main!$K$3</f>
        <v>337.54943277044634</v>
      </c>
    </row>
    <row r="853" spans="1:3" x14ac:dyDescent="0.2">
      <c r="A853" s="41">
        <f t="shared" si="14"/>
        <v>843</v>
      </c>
      <c r="B853" s="41">
        <v>9460.0212302022483</v>
      </c>
      <c r="C853" s="41">
        <f>($F$22+B853)*$F$23/Main!$K$3</f>
        <v>319.91453247142505</v>
      </c>
    </row>
    <row r="854" spans="1:3" x14ac:dyDescent="0.2">
      <c r="A854" s="41">
        <f t="shared" si="14"/>
        <v>844</v>
      </c>
      <c r="B854" s="41">
        <v>13842.071513831081</v>
      </c>
      <c r="C854" s="41">
        <f>($F$22+B854)*$F$23/Main!$K$3</f>
        <v>357.91720971799913</v>
      </c>
    </row>
    <row r="855" spans="1:3" x14ac:dyDescent="0.2">
      <c r="A855" s="41">
        <f t="shared" si="14"/>
        <v>845</v>
      </c>
      <c r="B855" s="41">
        <v>2217.7358719280437</v>
      </c>
      <c r="C855" s="41">
        <f>($F$22+B855)*$F$23/Main!$K$3</f>
        <v>257.10689331075235</v>
      </c>
    </row>
    <row r="856" spans="1:3" x14ac:dyDescent="0.2">
      <c r="A856" s="41">
        <f t="shared" si="14"/>
        <v>846</v>
      </c>
      <c r="B856" s="41">
        <v>5215.0334278636783</v>
      </c>
      <c r="C856" s="41">
        <f>($F$22+B856)*$F$23/Main!$K$3</f>
        <v>283.10050914298347</v>
      </c>
    </row>
    <row r="857" spans="1:3" x14ac:dyDescent="0.2">
      <c r="A857" s="41">
        <f t="shared" si="14"/>
        <v>847</v>
      </c>
      <c r="B857" s="41">
        <v>1571.0284954734009</v>
      </c>
      <c r="C857" s="41">
        <f>($F$22+B857)*$F$23/Main!$K$3</f>
        <v>251.49842008254646</v>
      </c>
    </row>
    <row r="858" spans="1:3" x14ac:dyDescent="0.2">
      <c r="A858" s="41">
        <f t="shared" si="14"/>
        <v>848</v>
      </c>
      <c r="B858" s="41">
        <v>4301.6030124818835</v>
      </c>
      <c r="C858" s="41">
        <f>($F$22+B858)*$F$23/Main!$K$3</f>
        <v>275.17892015696833</v>
      </c>
    </row>
    <row r="859" spans="1:3" x14ac:dyDescent="0.2">
      <c r="A859" s="41">
        <f t="shared" si="14"/>
        <v>849</v>
      </c>
      <c r="B859" s="41">
        <v>10040.928835593748</v>
      </c>
      <c r="C859" s="41">
        <f>($F$22+B859)*$F$23/Main!$K$3</f>
        <v>324.95236700295675</v>
      </c>
    </row>
    <row r="860" spans="1:3" x14ac:dyDescent="0.2">
      <c r="A860" s="41">
        <f t="shared" si="14"/>
        <v>850</v>
      </c>
      <c r="B860" s="41">
        <v>19351.477812390945</v>
      </c>
      <c r="C860" s="41">
        <f>($F$22+B860)*$F$23/Main!$K$3</f>
        <v>405.69671379320778</v>
      </c>
    </row>
    <row r="861" spans="1:3" x14ac:dyDescent="0.2">
      <c r="A861" s="41">
        <f t="shared" si="14"/>
        <v>851</v>
      </c>
      <c r="B861" s="41">
        <v>11711.800809420312</v>
      </c>
      <c r="C861" s="41">
        <f>($F$22+B861)*$F$23/Main!$K$3</f>
        <v>339.44275488802998</v>
      </c>
    </row>
    <row r="862" spans="1:3" x14ac:dyDescent="0.2">
      <c r="A862" s="41">
        <f t="shared" si="14"/>
        <v>852</v>
      </c>
      <c r="B862" s="41">
        <v>9076.8431299271324</v>
      </c>
      <c r="C862" s="41">
        <f>($F$22+B862)*$F$23/Main!$K$3</f>
        <v>316.5914775701354</v>
      </c>
    </row>
    <row r="863" spans="1:3" x14ac:dyDescent="0.2">
      <c r="A863" s="41">
        <f t="shared" si="14"/>
        <v>853</v>
      </c>
      <c r="B863" s="41">
        <v>19805.625630196424</v>
      </c>
      <c r="C863" s="41">
        <f>($F$22+B863)*$F$23/Main!$K$3</f>
        <v>409.63524298050982</v>
      </c>
    </row>
    <row r="864" spans="1:3" x14ac:dyDescent="0.2">
      <c r="A864" s="41">
        <f t="shared" si="14"/>
        <v>854</v>
      </c>
      <c r="B864" s="41">
        <v>12963.073726906629</v>
      </c>
      <c r="C864" s="41">
        <f>($F$22+B864)*$F$23/Main!$K$3</f>
        <v>350.29423256464707</v>
      </c>
    </row>
    <row r="865" spans="1:3" x14ac:dyDescent="0.2">
      <c r="A865" s="41">
        <f t="shared" si="14"/>
        <v>855</v>
      </c>
      <c r="B865" s="41">
        <v>4749.1881753558955</v>
      </c>
      <c r="C865" s="41">
        <f>($F$22+B865)*$F$23/Main!$K$3</f>
        <v>279.06053569857977</v>
      </c>
    </row>
    <row r="866" spans="1:3" x14ac:dyDescent="0.2">
      <c r="A866" s="41">
        <f t="shared" si="14"/>
        <v>856</v>
      </c>
      <c r="B866" s="41">
        <v>3665.7305477431223</v>
      </c>
      <c r="C866" s="41">
        <f>($F$22+B866)*$F$23/Main!$K$3</f>
        <v>269.66441108395981</v>
      </c>
    </row>
    <row r="867" spans="1:3" x14ac:dyDescent="0.2">
      <c r="A867" s="41">
        <f t="shared" si="14"/>
        <v>857</v>
      </c>
      <c r="B867" s="41">
        <v>4149.7805385373313</v>
      </c>
      <c r="C867" s="41">
        <f>($F$22+B867)*$F$23/Main!$K$3</f>
        <v>273.86226240485479</v>
      </c>
    </row>
    <row r="868" spans="1:3" x14ac:dyDescent="0.2">
      <c r="A868" s="41">
        <f t="shared" si="14"/>
        <v>858</v>
      </c>
      <c r="B868" s="41">
        <v>9798.598447220329</v>
      </c>
      <c r="C868" s="41">
        <f>($F$22+B868)*$F$23/Main!$K$3</f>
        <v>322.85079286748936</v>
      </c>
    </row>
    <row r="869" spans="1:3" x14ac:dyDescent="0.2">
      <c r="A869" s="41">
        <f t="shared" si="14"/>
        <v>859</v>
      </c>
      <c r="B869" s="41">
        <v>12181.885079249198</v>
      </c>
      <c r="C869" s="41">
        <f>($F$22+B869)*$F$23/Main!$K$3</f>
        <v>343.51949057765444</v>
      </c>
    </row>
    <row r="870" spans="1:3" x14ac:dyDescent="0.2">
      <c r="A870" s="41">
        <f t="shared" si="14"/>
        <v>860</v>
      </c>
      <c r="B870" s="41">
        <v>6177.2882898462813</v>
      </c>
      <c r="C870" s="41">
        <f>($F$22+B870)*$F$23/Main!$K$3</f>
        <v>291.44552085713224</v>
      </c>
    </row>
    <row r="871" spans="1:3" x14ac:dyDescent="0.2">
      <c r="A871" s="41">
        <f t="shared" si="14"/>
        <v>861</v>
      </c>
      <c r="B871" s="41">
        <v>15682.130777572746</v>
      </c>
      <c r="C871" s="41">
        <f>($F$22+B871)*$F$23/Main!$K$3</f>
        <v>373.87484913071614</v>
      </c>
    </row>
    <row r="872" spans="1:3" x14ac:dyDescent="0.2">
      <c r="A872" s="41">
        <f t="shared" si="14"/>
        <v>862</v>
      </c>
      <c r="B872" s="41">
        <v>9171.0074431590365</v>
      </c>
      <c r="C872" s="41">
        <f>($F$22+B872)*$F$23/Main!$K$3</f>
        <v>317.40810352654364</v>
      </c>
    </row>
    <row r="873" spans="1:3" x14ac:dyDescent="0.2">
      <c r="A873" s="41">
        <f t="shared" si="14"/>
        <v>863</v>
      </c>
      <c r="B873" s="41">
        <v>10037.611874011343</v>
      </c>
      <c r="C873" s="41">
        <f>($F$22+B873)*$F$23/Main!$K$3</f>
        <v>324.92360114855148</v>
      </c>
    </row>
    <row r="874" spans="1:3" x14ac:dyDescent="0.2">
      <c r="A874" s="41">
        <f t="shared" si="14"/>
        <v>864</v>
      </c>
      <c r="B874" s="41">
        <v>11341.681675828167</v>
      </c>
      <c r="C874" s="41">
        <f>($F$22+B874)*$F$23/Main!$K$3</f>
        <v>336.23295192679234</v>
      </c>
    </row>
    <row r="875" spans="1:3" x14ac:dyDescent="0.2">
      <c r="A875" s="41">
        <f t="shared" si="14"/>
        <v>865</v>
      </c>
      <c r="B875" s="41">
        <v>19554.082380074567</v>
      </c>
      <c r="C875" s="41">
        <f>($F$22+B875)*$F$23/Main!$K$3</f>
        <v>407.45377167616437</v>
      </c>
    </row>
    <row r="876" spans="1:3" x14ac:dyDescent="0.2">
      <c r="A876" s="41">
        <f t="shared" si="14"/>
        <v>866</v>
      </c>
      <c r="B876" s="41">
        <v>16569.030724245964</v>
      </c>
      <c r="C876" s="41">
        <f>($F$22+B876)*$F$23/Main!$K$3</f>
        <v>381.56635658542183</v>
      </c>
    </row>
    <row r="877" spans="1:3" x14ac:dyDescent="0.2">
      <c r="A877" s="41">
        <f t="shared" si="14"/>
        <v>867</v>
      </c>
      <c r="B877" s="41">
        <v>5414.392227215666</v>
      </c>
      <c r="C877" s="41">
        <f>($F$22+B877)*$F$23/Main!$K$3</f>
        <v>284.82941858437943</v>
      </c>
    </row>
    <row r="878" spans="1:3" x14ac:dyDescent="0.2">
      <c r="A878" s="41">
        <f t="shared" si="14"/>
        <v>868</v>
      </c>
      <c r="B878" s="41">
        <v>11060.59529390341</v>
      </c>
      <c r="C878" s="41">
        <f>($F$22+B878)*$F$23/Main!$K$3</f>
        <v>333.79527221996625</v>
      </c>
    </row>
    <row r="879" spans="1:3" x14ac:dyDescent="0.2">
      <c r="A879" s="41">
        <f t="shared" si="14"/>
        <v>869</v>
      </c>
      <c r="B879" s="41">
        <v>4341.2085758967723</v>
      </c>
      <c r="C879" s="41">
        <f>($F$22+B879)*$F$23/Main!$K$3</f>
        <v>275.52239349620584</v>
      </c>
    </row>
    <row r="880" spans="1:3" x14ac:dyDescent="0.2">
      <c r="A880" s="41">
        <f t="shared" si="14"/>
        <v>870</v>
      </c>
      <c r="B880" s="41">
        <v>1997.7242535556886</v>
      </c>
      <c r="C880" s="41">
        <f>($F$22+B880)*$F$23/Main!$K$3</f>
        <v>255.19887537797379</v>
      </c>
    </row>
    <row r="881" spans="1:3" x14ac:dyDescent="0.2">
      <c r="A881" s="41">
        <f t="shared" si="14"/>
        <v>871</v>
      </c>
      <c r="B881" s="41">
        <v>4377.8262176989965</v>
      </c>
      <c r="C881" s="41">
        <f>($F$22+B881)*$F$23/Main!$K$3</f>
        <v>275.8399545310802</v>
      </c>
    </row>
    <row r="882" spans="1:3" x14ac:dyDescent="0.2">
      <c r="A882" s="41">
        <f t="shared" si="14"/>
        <v>872</v>
      </c>
      <c r="B882" s="41">
        <v>11711.026601309082</v>
      </c>
      <c r="C882" s="41">
        <f>($F$22+B882)*$F$23/Main!$K$3</f>
        <v>339.4360406837036</v>
      </c>
    </row>
    <row r="883" spans="1:3" x14ac:dyDescent="0.2">
      <c r="A883" s="41">
        <f t="shared" si="14"/>
        <v>873</v>
      </c>
      <c r="B883" s="41">
        <v>7133.2403661304907</v>
      </c>
      <c r="C883" s="41">
        <f>($F$22+B883)*$F$23/Main!$K$3</f>
        <v>299.73587260273951</v>
      </c>
    </row>
    <row r="884" spans="1:3" x14ac:dyDescent="0.2">
      <c r="A884" s="41">
        <f t="shared" si="14"/>
        <v>874</v>
      </c>
      <c r="B884" s="41">
        <v>12902.071445474128</v>
      </c>
      <c r="C884" s="41">
        <f>($F$22+B884)*$F$23/Main!$K$3</f>
        <v>349.76519938096925</v>
      </c>
    </row>
    <row r="885" spans="1:3" x14ac:dyDescent="0.2">
      <c r="A885" s="41">
        <f t="shared" si="14"/>
        <v>875</v>
      </c>
      <c r="B885" s="41">
        <v>6684.6865145900501</v>
      </c>
      <c r="C885" s="41">
        <f>($F$22+B885)*$F$23/Main!$K$3</f>
        <v>295.84585625320483</v>
      </c>
    </row>
    <row r="886" spans="1:3" x14ac:dyDescent="0.2">
      <c r="A886" s="41">
        <f t="shared" si="14"/>
        <v>876</v>
      </c>
      <c r="B886" s="41">
        <v>5627.6795000623488</v>
      </c>
      <c r="C886" s="41">
        <f>($F$22+B886)*$F$23/Main!$K$3</f>
        <v>286.67912063391464</v>
      </c>
    </row>
    <row r="887" spans="1:3" x14ac:dyDescent="0.2">
      <c r="A887" s="41">
        <f t="shared" si="14"/>
        <v>877</v>
      </c>
      <c r="B887" s="41">
        <v>13242.000104277731</v>
      </c>
      <c r="C887" s="41">
        <f>($F$22+B887)*$F$23/Main!$K$3</f>
        <v>352.71317995427211</v>
      </c>
    </row>
    <row r="888" spans="1:3" x14ac:dyDescent="0.2">
      <c r="A888" s="41">
        <f t="shared" si="14"/>
        <v>878</v>
      </c>
      <c r="B888" s="41">
        <v>5730.4771797716739</v>
      </c>
      <c r="C888" s="41">
        <f>($F$22+B888)*$F$23/Main!$K$3</f>
        <v>287.5706181729285</v>
      </c>
    </row>
    <row r="889" spans="1:3" x14ac:dyDescent="0.2">
      <c r="A889" s="41">
        <f t="shared" si="14"/>
        <v>879</v>
      </c>
      <c r="B889" s="41">
        <v>18093.315024742515</v>
      </c>
      <c r="C889" s="41">
        <f>($F$22+B889)*$F$23/Main!$K$3</f>
        <v>394.78548474563547</v>
      </c>
    </row>
    <row r="890" spans="1:3" x14ac:dyDescent="0.2">
      <c r="A890" s="41">
        <f t="shared" si="14"/>
        <v>880</v>
      </c>
      <c r="B890" s="41">
        <v>6606.2868480896823</v>
      </c>
      <c r="C890" s="41">
        <f>($F$22+B890)*$F$23/Main!$K$3</f>
        <v>295.16594684335996</v>
      </c>
    </row>
    <row r="891" spans="1:3" x14ac:dyDescent="0.2">
      <c r="A891" s="41">
        <f t="shared" si="14"/>
        <v>881</v>
      </c>
      <c r="B891" s="41">
        <v>4021.7576737668865</v>
      </c>
      <c r="C891" s="41">
        <f>($F$22+B891)*$F$23/Main!$K$3</f>
        <v>272.7520032122049</v>
      </c>
    </row>
    <row r="892" spans="1:3" x14ac:dyDescent="0.2">
      <c r="A892" s="41">
        <f t="shared" si="14"/>
        <v>882</v>
      </c>
      <c r="B892" s="41">
        <v>23276.455811495911</v>
      </c>
      <c r="C892" s="41">
        <f>($F$22+B892)*$F$23/Main!$K$3</f>
        <v>439.73549985121906</v>
      </c>
    </row>
    <row r="893" spans="1:3" x14ac:dyDescent="0.2">
      <c r="A893" s="41">
        <f t="shared" si="14"/>
        <v>883</v>
      </c>
      <c r="B893" s="41">
        <v>10803.014672843859</v>
      </c>
      <c r="C893" s="41">
        <f>($F$22+B893)*$F$23/Main!$K$3</f>
        <v>331.56144271698935</v>
      </c>
    </row>
    <row r="894" spans="1:3" x14ac:dyDescent="0.2">
      <c r="A894" s="41">
        <f t="shared" si="14"/>
        <v>884</v>
      </c>
      <c r="B894" s="41">
        <v>5999.1797504820397</v>
      </c>
      <c r="C894" s="41">
        <f>($F$22+B894)*$F$23/Main!$K$3</f>
        <v>289.90090112476508</v>
      </c>
    </row>
    <row r="895" spans="1:3" x14ac:dyDescent="0.2">
      <c r="A895" s="41">
        <f t="shared" si="14"/>
        <v>885</v>
      </c>
      <c r="B895" s="41">
        <v>8594.8579732501257</v>
      </c>
      <c r="C895" s="41">
        <f>($F$22+B895)*$F$23/Main!$K$3</f>
        <v>312.41153321503151</v>
      </c>
    </row>
    <row r="896" spans="1:3" x14ac:dyDescent="0.2">
      <c r="A896" s="41">
        <f t="shared" si="14"/>
        <v>886</v>
      </c>
      <c r="B896" s="41">
        <v>10675.355774649428</v>
      </c>
      <c r="C896" s="41">
        <f>($F$22+B896)*$F$23/Main!$K$3</f>
        <v>330.45433997016312</v>
      </c>
    </row>
    <row r="897" spans="1:3" x14ac:dyDescent="0.2">
      <c r="A897" s="41">
        <f t="shared" si="14"/>
        <v>887</v>
      </c>
      <c r="B897" s="41">
        <v>8101.8227664944061</v>
      </c>
      <c r="C897" s="41">
        <f>($F$22+B897)*$F$23/Main!$K$3</f>
        <v>308.13575894937901</v>
      </c>
    </row>
    <row r="898" spans="1:3" x14ac:dyDescent="0.2">
      <c r="A898" s="41">
        <f t="shared" si="14"/>
        <v>888</v>
      </c>
      <c r="B898" s="41">
        <v>1501.3830701850288</v>
      </c>
      <c r="C898" s="41">
        <f>($F$22+B898)*$F$23/Main!$K$3</f>
        <v>250.89443052340732</v>
      </c>
    </row>
    <row r="899" spans="1:3" x14ac:dyDescent="0.2">
      <c r="A899" s="41">
        <f t="shared" si="14"/>
        <v>889</v>
      </c>
      <c r="B899" s="41">
        <v>4634.2787162162467</v>
      </c>
      <c r="C899" s="41">
        <f>($F$22+B899)*$F$23/Main!$K$3</f>
        <v>278.06400055963417</v>
      </c>
    </row>
    <row r="900" spans="1:3" x14ac:dyDescent="0.2">
      <c r="A900" s="41">
        <f t="shared" si="14"/>
        <v>890</v>
      </c>
      <c r="B900" s="41">
        <v>5859.323683020003</v>
      </c>
      <c r="C900" s="41">
        <f>($F$22+B900)*$F$23/Main!$K$3</f>
        <v>288.6880202473842</v>
      </c>
    </row>
    <row r="901" spans="1:3" x14ac:dyDescent="0.2">
      <c r="A901" s="41">
        <f t="shared" si="14"/>
        <v>891</v>
      </c>
      <c r="B901" s="41">
        <v>7634.9585396971534</v>
      </c>
      <c r="C901" s="41">
        <f>($F$22+B901)*$F$23/Main!$K$3</f>
        <v>304.08694860248931</v>
      </c>
    </row>
    <row r="902" spans="1:3" x14ac:dyDescent="0.2">
      <c r="A902" s="41">
        <f t="shared" si="14"/>
        <v>892</v>
      </c>
      <c r="B902" s="41">
        <v>10752.397717353697</v>
      </c>
      <c r="C902" s="41">
        <f>($F$22+B902)*$F$23/Main!$K$3</f>
        <v>331.12247472296997</v>
      </c>
    </row>
    <row r="903" spans="1:3" x14ac:dyDescent="0.2">
      <c r="A903" s="41">
        <f t="shared" si="14"/>
        <v>893</v>
      </c>
      <c r="B903" s="41">
        <v>5392.286001882132</v>
      </c>
      <c r="C903" s="41">
        <f>($F$22+B903)*$F$23/Main!$K$3</f>
        <v>284.6377056436063</v>
      </c>
    </row>
    <row r="904" spans="1:3" x14ac:dyDescent="0.2">
      <c r="A904" s="41">
        <f t="shared" si="14"/>
        <v>894</v>
      </c>
      <c r="B904" s="41">
        <v>8501.0987677780286</v>
      </c>
      <c r="C904" s="41">
        <f>($F$22+B904)*$F$23/Main!$K$3</f>
        <v>311.59842049522479</v>
      </c>
    </row>
    <row r="905" spans="1:3" x14ac:dyDescent="0.2">
      <c r="A905" s="41">
        <f t="shared" si="14"/>
        <v>895</v>
      </c>
      <c r="B905" s="41">
        <v>6336.4698069853712</v>
      </c>
      <c r="C905" s="41">
        <f>($F$22+B905)*$F$23/Main!$K$3</f>
        <v>292.82599881332015</v>
      </c>
    </row>
    <row r="906" spans="1:3" x14ac:dyDescent="0.2">
      <c r="A906" s="41">
        <f t="shared" si="14"/>
        <v>896</v>
      </c>
      <c r="B906" s="41">
        <v>19701.777241489868</v>
      </c>
      <c r="C906" s="41">
        <f>($F$22+B906)*$F$23/Main!$K$3</f>
        <v>408.73463332449194</v>
      </c>
    </row>
    <row r="907" spans="1:3" x14ac:dyDescent="0.2">
      <c r="A907" s="41">
        <f t="shared" si="14"/>
        <v>897</v>
      </c>
      <c r="B907" s="41">
        <v>7191.2707748608764</v>
      </c>
      <c r="C907" s="41">
        <f>($F$22+B907)*$F$23/Main!$K$3</f>
        <v>300.23913266383607</v>
      </c>
    </row>
    <row r="908" spans="1:3" x14ac:dyDescent="0.2">
      <c r="A908" s="41">
        <f t="shared" si="14"/>
        <v>898</v>
      </c>
      <c r="B908" s="41">
        <v>3495.2446777579171</v>
      </c>
      <c r="C908" s="41">
        <f>($F$22+B908)*$F$23/Main!$K$3</f>
        <v>268.18589781441705</v>
      </c>
    </row>
    <row r="909" spans="1:3" x14ac:dyDescent="0.2">
      <c r="A909" s="41">
        <f t="shared" si="14"/>
        <v>899</v>
      </c>
      <c r="B909" s="41">
        <v>3771.3326230501034</v>
      </c>
      <c r="C909" s="41">
        <f>($F$22+B909)*$F$23/Main!$K$3</f>
        <v>270.58022932535539</v>
      </c>
    </row>
    <row r="910" spans="1:3" x14ac:dyDescent="0.2">
      <c r="A910" s="41">
        <f t="shared" si="14"/>
        <v>900</v>
      </c>
      <c r="B910" s="41">
        <v>9977.9314150941063</v>
      </c>
      <c r="C910" s="41">
        <f>($F$22+B910)*$F$23/Main!$K$3</f>
        <v>324.40603127341058</v>
      </c>
    </row>
    <row r="911" spans="1:3" x14ac:dyDescent="0.2">
      <c r="A911" s="41">
        <f t="shared" si="14"/>
        <v>901</v>
      </c>
      <c r="B911" s="41">
        <v>10531.983159289814</v>
      </c>
      <c r="C911" s="41">
        <f>($F$22+B911)*$F$23/Main!$K$3</f>
        <v>329.21096235583855</v>
      </c>
    </row>
    <row r="912" spans="1:3" x14ac:dyDescent="0.2">
      <c r="A912" s="41">
        <f t="shared" si="14"/>
        <v>902</v>
      </c>
      <c r="B912" s="41">
        <v>6477.6324776033671</v>
      </c>
      <c r="C912" s="41">
        <f>($F$22+B912)*$F$23/Main!$K$3</f>
        <v>294.05021101161509</v>
      </c>
    </row>
    <row r="913" spans="1:3" x14ac:dyDescent="0.2">
      <c r="A913" s="41">
        <f t="shared" si="14"/>
        <v>903</v>
      </c>
      <c r="B913" s="41">
        <v>7686.9146382609415</v>
      </c>
      <c r="C913" s="41">
        <f>($F$22+B913)*$F$23/Main!$K$3</f>
        <v>304.53753011500351</v>
      </c>
    </row>
    <row r="914" spans="1:3" x14ac:dyDescent="0.2">
      <c r="A914" s="41">
        <f t="shared" si="14"/>
        <v>904</v>
      </c>
      <c r="B914" s="41">
        <v>7088.406055198242</v>
      </c>
      <c r="C914" s="41">
        <f>($F$22+B914)*$F$23/Main!$K$3</f>
        <v>299.34705373083005</v>
      </c>
    </row>
    <row r="915" spans="1:3" x14ac:dyDescent="0.2">
      <c r="A915" s="41">
        <f t="shared" si="14"/>
        <v>905</v>
      </c>
      <c r="B915" s="41">
        <v>16238.263764171654</v>
      </c>
      <c r="C915" s="41">
        <f>($F$22+B915)*$F$23/Main!$K$3</f>
        <v>378.6978294773474</v>
      </c>
    </row>
    <row r="916" spans="1:3" x14ac:dyDescent="0.2">
      <c r="A916" s="41">
        <f t="shared" ref="A916:A979" si="15">A915+1</f>
        <v>906</v>
      </c>
      <c r="B916" s="41">
        <v>6680.6389595610681</v>
      </c>
      <c r="C916" s="41">
        <f>($F$22+B916)*$F$23/Main!$K$3</f>
        <v>295.81075443614469</v>
      </c>
    </row>
    <row r="917" spans="1:3" x14ac:dyDescent="0.2">
      <c r="A917" s="41">
        <f t="shared" si="15"/>
        <v>907</v>
      </c>
      <c r="B917" s="41">
        <v>2599.1509157338792</v>
      </c>
      <c r="C917" s="41">
        <f>($F$22+B917)*$F$23/Main!$K$3</f>
        <v>260.41465836787484</v>
      </c>
    </row>
    <row r="918" spans="1:3" x14ac:dyDescent="0.2">
      <c r="A918" s="41">
        <f t="shared" si="15"/>
        <v>908</v>
      </c>
      <c r="B918" s="41">
        <v>5627.882131352686</v>
      </c>
      <c r="C918" s="41">
        <f>($F$22+B918)*$F$23/Main!$K$3</f>
        <v>286.68087792354584</v>
      </c>
    </row>
    <row r="919" spans="1:3" x14ac:dyDescent="0.2">
      <c r="A919" s="41">
        <f t="shared" si="15"/>
        <v>909</v>
      </c>
      <c r="B919" s="41">
        <v>6127.6230077152268</v>
      </c>
      <c r="C919" s="41">
        <f>($F$22+B919)*$F$23/Main!$K$3</f>
        <v>291.01480610832209</v>
      </c>
    </row>
    <row r="920" spans="1:3" x14ac:dyDescent="0.2">
      <c r="A920" s="41">
        <f t="shared" si="15"/>
        <v>910</v>
      </c>
      <c r="B920" s="41">
        <v>3323.4176386301451</v>
      </c>
      <c r="C920" s="41">
        <f>($F$22+B920)*$F$23/Main!$K$3</f>
        <v>266.69575345559883</v>
      </c>
    </row>
    <row r="921" spans="1:3" x14ac:dyDescent="0.2">
      <c r="A921" s="41">
        <f t="shared" si="15"/>
        <v>911</v>
      </c>
      <c r="B921" s="41">
        <v>9466.296655488246</v>
      </c>
      <c r="C921" s="41">
        <f>($F$22+B921)*$F$23/Main!$K$3</f>
        <v>319.9689551608725</v>
      </c>
    </row>
    <row r="922" spans="1:3" x14ac:dyDescent="0.2">
      <c r="A922" s="41">
        <f t="shared" si="15"/>
        <v>912</v>
      </c>
      <c r="B922" s="41">
        <v>11459.804248293865</v>
      </c>
      <c r="C922" s="41">
        <f>($F$22+B922)*$F$23/Main!$K$3</f>
        <v>337.25735231163497</v>
      </c>
    </row>
    <row r="923" spans="1:3" x14ac:dyDescent="0.2">
      <c r="A923" s="41">
        <f t="shared" si="15"/>
        <v>913</v>
      </c>
      <c r="B923" s="41">
        <v>7837.6871979821062</v>
      </c>
      <c r="C923" s="41">
        <f>($F$22+B923)*$F$23/Main!$K$3</f>
        <v>305.84508264267066</v>
      </c>
    </row>
    <row r="924" spans="1:3" x14ac:dyDescent="0.2">
      <c r="A924" s="41">
        <f t="shared" si="15"/>
        <v>914</v>
      </c>
      <c r="B924" s="41">
        <v>12201.593370377093</v>
      </c>
      <c r="C924" s="41">
        <f>($F$22+B924)*$F$23/Main!$K$3</f>
        <v>343.69040779182086</v>
      </c>
    </row>
    <row r="925" spans="1:3" x14ac:dyDescent="0.2">
      <c r="A925" s="41">
        <f t="shared" si="15"/>
        <v>915</v>
      </c>
      <c r="B925" s="41">
        <v>21342.075875481136</v>
      </c>
      <c r="C925" s="41">
        <f>($F$22+B925)*$F$23/Main!$K$3</f>
        <v>422.95987848163912</v>
      </c>
    </row>
    <row r="926" spans="1:3" x14ac:dyDescent="0.2">
      <c r="A926" s="41">
        <f t="shared" si="15"/>
        <v>916</v>
      </c>
      <c r="B926" s="41">
        <v>8220.004335104155</v>
      </c>
      <c r="C926" s="41">
        <f>($F$22+B926)*$F$23/Main!$K$3</f>
        <v>309.16067096947819</v>
      </c>
    </row>
    <row r="927" spans="1:3" x14ac:dyDescent="0.2">
      <c r="A927" s="41">
        <f t="shared" si="15"/>
        <v>917</v>
      </c>
      <c r="B927" s="41">
        <v>5010.6786613654713</v>
      </c>
      <c r="C927" s="41">
        <f>($F$22+B927)*$F$23/Main!$K$3</f>
        <v>281.32827292195145</v>
      </c>
    </row>
    <row r="928" spans="1:3" x14ac:dyDescent="0.2">
      <c r="A928" s="41">
        <f t="shared" si="15"/>
        <v>918</v>
      </c>
      <c r="B928" s="41">
        <v>11201.387562194399</v>
      </c>
      <c r="C928" s="41">
        <f>($F$22+B928)*$F$23/Main!$K$3</f>
        <v>335.0162721593473</v>
      </c>
    </row>
    <row r="929" spans="1:3" x14ac:dyDescent="0.2">
      <c r="A929" s="41">
        <f t="shared" si="15"/>
        <v>919</v>
      </c>
      <c r="B929" s="41">
        <v>17732.637612506795</v>
      </c>
      <c r="C929" s="41">
        <f>($F$22+B929)*$F$23/Main!$K$3</f>
        <v>391.65756370407837</v>
      </c>
    </row>
    <row r="930" spans="1:3" x14ac:dyDescent="0.2">
      <c r="A930" s="41">
        <f t="shared" si="15"/>
        <v>920</v>
      </c>
      <c r="B930" s="41">
        <v>9373.2024115226905</v>
      </c>
      <c r="C930" s="41">
        <f>($F$22+B930)*$F$23/Main!$K$3</f>
        <v>319.16160922051347</v>
      </c>
    </row>
    <row r="931" spans="1:3" x14ac:dyDescent="0.2">
      <c r="A931" s="41">
        <f t="shared" si="15"/>
        <v>921</v>
      </c>
      <c r="B931" s="41">
        <v>16986.371309404622</v>
      </c>
      <c r="C931" s="41">
        <f>($F$22+B931)*$F$23/Main!$K$3</f>
        <v>385.18568053953828</v>
      </c>
    </row>
    <row r="932" spans="1:3" x14ac:dyDescent="0.2">
      <c r="A932" s="41">
        <f t="shared" si="15"/>
        <v>922</v>
      </c>
      <c r="B932" s="41">
        <v>1515.7272987478332</v>
      </c>
      <c r="C932" s="41">
        <f>($F$22+B932)*$F$23/Main!$K$3</f>
        <v>251.01882870534052</v>
      </c>
    </row>
    <row r="933" spans="1:3" x14ac:dyDescent="0.2">
      <c r="A933" s="41">
        <f t="shared" si="15"/>
        <v>923</v>
      </c>
      <c r="B933" s="41">
        <v>12998.907950616973</v>
      </c>
      <c r="C933" s="41">
        <f>($F$22+B933)*$F$23/Main!$K$3</f>
        <v>350.604999523012</v>
      </c>
    </row>
    <row r="934" spans="1:3" x14ac:dyDescent="0.2">
      <c r="A934" s="41">
        <f t="shared" si="15"/>
        <v>924</v>
      </c>
      <c r="B934" s="41">
        <v>2288.8496433940345</v>
      </c>
      <c r="C934" s="41">
        <f>($F$22+B934)*$F$23/Main!$K$3</f>
        <v>257.72361688302743</v>
      </c>
    </row>
    <row r="935" spans="1:3" x14ac:dyDescent="0.2">
      <c r="A935" s="41">
        <f t="shared" si="15"/>
        <v>925</v>
      </c>
      <c r="B935" s="41">
        <v>902.91641243836375</v>
      </c>
      <c r="C935" s="41">
        <f>($F$22+B935)*$F$23/Main!$K$3</f>
        <v>245.70431773028156</v>
      </c>
    </row>
    <row r="936" spans="1:3" x14ac:dyDescent="0.2">
      <c r="A936" s="41">
        <f t="shared" si="15"/>
        <v>926</v>
      </c>
      <c r="B936" s="41">
        <v>12737.481978205868</v>
      </c>
      <c r="C936" s="41">
        <f>($F$22+B936)*$F$23/Main!$K$3</f>
        <v>348.33782178419705</v>
      </c>
    </row>
    <row r="937" spans="1:3" x14ac:dyDescent="0.2">
      <c r="A937" s="41">
        <f t="shared" si="15"/>
        <v>927</v>
      </c>
      <c r="B937" s="41">
        <v>9069.1075572657446</v>
      </c>
      <c r="C937" s="41">
        <f>($F$22+B937)*$F$23/Main!$K$3</f>
        <v>316.52439197044106</v>
      </c>
    </row>
    <row r="938" spans="1:3" x14ac:dyDescent="0.2">
      <c r="A938" s="41">
        <f t="shared" si="15"/>
        <v>928</v>
      </c>
      <c r="B938" s="41">
        <v>4125.5263242131405</v>
      </c>
      <c r="C938" s="41">
        <f>($F$22+B938)*$F$23/Main!$K$3</f>
        <v>273.65192135005793</v>
      </c>
    </row>
    <row r="939" spans="1:3" x14ac:dyDescent="0.2">
      <c r="A939" s="41">
        <f t="shared" si="15"/>
        <v>929</v>
      </c>
      <c r="B939" s="41">
        <v>3548.4678183066003</v>
      </c>
      <c r="C939" s="41">
        <f>($F$22+B939)*$F$23/Main!$K$3</f>
        <v>268.64746755949204</v>
      </c>
    </row>
    <row r="940" spans="1:3" x14ac:dyDescent="0.2">
      <c r="A940" s="41">
        <f t="shared" si="15"/>
        <v>930</v>
      </c>
      <c r="B940" s="41">
        <v>9020.0612625716749</v>
      </c>
      <c r="C940" s="41">
        <f>($F$22+B940)*$F$23/Main!$K$3</f>
        <v>316.09904529782017</v>
      </c>
    </row>
    <row r="941" spans="1:3" x14ac:dyDescent="0.2">
      <c r="A941" s="41">
        <f t="shared" si="15"/>
        <v>931</v>
      </c>
      <c r="B941" s="41">
        <v>3410.6810581304808</v>
      </c>
      <c r="C941" s="41">
        <f>($F$22+B941)*$F$23/Main!$K$3</f>
        <v>267.45253244079055</v>
      </c>
    </row>
    <row r="942" spans="1:3" x14ac:dyDescent="0.2">
      <c r="A942" s="41">
        <f t="shared" si="15"/>
        <v>932</v>
      </c>
      <c r="B942" s="41">
        <v>16351.142062226189</v>
      </c>
      <c r="C942" s="41">
        <f>($F$22+B942)*$F$23/Main!$K$3</f>
        <v>379.67674967484828</v>
      </c>
    </row>
    <row r="943" spans="1:3" x14ac:dyDescent="0.2">
      <c r="A943" s="41">
        <f t="shared" si="15"/>
        <v>933</v>
      </c>
      <c r="B943" s="41">
        <v>7275.8438227685456</v>
      </c>
      <c r="C943" s="41">
        <f>($F$22+B943)*$F$23/Main!$K$3</f>
        <v>300.97257980281614</v>
      </c>
    </row>
    <row r="944" spans="1:3" x14ac:dyDescent="0.2">
      <c r="A944" s="41">
        <f t="shared" si="15"/>
        <v>934</v>
      </c>
      <c r="B944" s="41">
        <v>4802.4635582126512</v>
      </c>
      <c r="C944" s="41">
        <f>($F$22+B944)*$F$23/Main!$K$3</f>
        <v>279.52255850727659</v>
      </c>
    </row>
    <row r="945" spans="1:3" x14ac:dyDescent="0.2">
      <c r="A945" s="41">
        <f t="shared" si="15"/>
        <v>935</v>
      </c>
      <c r="B945" s="41">
        <v>3505.3586315566081</v>
      </c>
      <c r="C945" s="41">
        <f>($F$22+B945)*$F$23/Main!$K$3</f>
        <v>268.27360956965049</v>
      </c>
    </row>
    <row r="946" spans="1:3" x14ac:dyDescent="0.2">
      <c r="A946" s="41">
        <f t="shared" si="15"/>
        <v>936</v>
      </c>
      <c r="B946" s="41">
        <v>6939.3510771213714</v>
      </c>
      <c r="C946" s="41">
        <f>($F$22+B946)*$F$23/Main!$K$3</f>
        <v>298.05439667369569</v>
      </c>
    </row>
    <row r="947" spans="1:3" x14ac:dyDescent="0.2">
      <c r="A947" s="41">
        <f t="shared" si="15"/>
        <v>937</v>
      </c>
      <c r="B947" s="41">
        <v>12342.51930604325</v>
      </c>
      <c r="C947" s="41">
        <f>($F$22+B947)*$F$23/Main!$K$3</f>
        <v>344.91256694156874</v>
      </c>
    </row>
    <row r="948" spans="1:3" x14ac:dyDescent="0.2">
      <c r="A948" s="41">
        <f t="shared" si="15"/>
        <v>938</v>
      </c>
      <c r="B948" s="41">
        <v>6671.0920347792744</v>
      </c>
      <c r="C948" s="41">
        <f>($F$22+B948)*$F$23/Main!$K$3</f>
        <v>295.72796015545481</v>
      </c>
    </row>
    <row r="949" spans="1:3" x14ac:dyDescent="0.2">
      <c r="A949" s="41">
        <f t="shared" si="15"/>
        <v>939</v>
      </c>
      <c r="B949" s="41">
        <v>6686.0549445848628</v>
      </c>
      <c r="C949" s="41">
        <f>($F$22+B949)*$F$23/Main!$K$3</f>
        <v>295.85772375815372</v>
      </c>
    </row>
    <row r="950" spans="1:3" x14ac:dyDescent="0.2">
      <c r="A950" s="41">
        <f t="shared" si="15"/>
        <v>940</v>
      </c>
      <c r="B950" s="41">
        <v>8053.3552018202899</v>
      </c>
      <c r="C950" s="41">
        <f>($F$22+B950)*$F$23/Main!$K$3</f>
        <v>307.71543122650485</v>
      </c>
    </row>
    <row r="951" spans="1:3" x14ac:dyDescent="0.2">
      <c r="A951" s="41">
        <f t="shared" si="15"/>
        <v>941</v>
      </c>
      <c r="B951" s="41">
        <v>4245.1588044782029</v>
      </c>
      <c r="C951" s="41">
        <f>($F$22+B951)*$F$23/Main!$K$3</f>
        <v>274.6894161849998</v>
      </c>
    </row>
    <row r="952" spans="1:3" x14ac:dyDescent="0.2">
      <c r="A952" s="41">
        <f t="shared" si="15"/>
        <v>942</v>
      </c>
      <c r="B952" s="41">
        <v>12919.394531244661</v>
      </c>
      <c r="C952" s="41">
        <f>($F$22+B952)*$F$23/Main!$K$3</f>
        <v>349.91543125756635</v>
      </c>
    </row>
    <row r="953" spans="1:3" x14ac:dyDescent="0.2">
      <c r="A953" s="41">
        <f t="shared" si="15"/>
        <v>943</v>
      </c>
      <c r="B953" s="41">
        <v>16854.949066021123</v>
      </c>
      <c r="C953" s="41">
        <f>($F$22+B953)*$F$23/Main!$K$3</f>
        <v>384.0459407430821</v>
      </c>
    </row>
    <row r="954" spans="1:3" x14ac:dyDescent="0.2">
      <c r="A954" s="41">
        <f t="shared" si="15"/>
        <v>944</v>
      </c>
      <c r="B954" s="41">
        <v>6102.4126747902637</v>
      </c>
      <c r="C954" s="41">
        <f>($F$22+B954)*$F$23/Main!$K$3</f>
        <v>290.79617325762081</v>
      </c>
    </row>
    <row r="955" spans="1:3" x14ac:dyDescent="0.2">
      <c r="A955" s="41">
        <f t="shared" si="15"/>
        <v>945</v>
      </c>
      <c r="B955" s="41">
        <v>5188.3939263221519</v>
      </c>
      <c r="C955" s="41">
        <f>($F$22+B955)*$F$23/Main!$K$3</f>
        <v>282.86948204069881</v>
      </c>
    </row>
    <row r="956" spans="1:3" x14ac:dyDescent="0.2">
      <c r="A956" s="41">
        <f t="shared" si="15"/>
        <v>946</v>
      </c>
      <c r="B956" s="41">
        <v>3686.360968835208</v>
      </c>
      <c r="C956" s="41">
        <f>($F$22+B956)*$F$23/Main!$K$3</f>
        <v>269.84332533265126</v>
      </c>
    </row>
    <row r="957" spans="1:3" x14ac:dyDescent="0.2">
      <c r="A957" s="41">
        <f t="shared" si="15"/>
        <v>947</v>
      </c>
      <c r="B957" s="41">
        <v>9619.1572011514618</v>
      </c>
      <c r="C957" s="41">
        <f>($F$22+B957)*$F$23/Main!$K$3</f>
        <v>321.29461543507728</v>
      </c>
    </row>
    <row r="958" spans="1:3" x14ac:dyDescent="0.2">
      <c r="A958" s="41">
        <f t="shared" si="15"/>
        <v>948</v>
      </c>
      <c r="B958" s="41">
        <v>6187.168950708734</v>
      </c>
      <c r="C958" s="41">
        <f>($F$22+B958)*$F$23/Main!$K$3</f>
        <v>291.53120941418535</v>
      </c>
    </row>
    <row r="959" spans="1:3" x14ac:dyDescent="0.2">
      <c r="A959" s="41">
        <f t="shared" si="15"/>
        <v>949</v>
      </c>
      <c r="B959" s="41">
        <v>7218.101070085464</v>
      </c>
      <c r="C959" s="41">
        <f>($F$22+B959)*$F$23/Main!$K$3</f>
        <v>300.4718143958691</v>
      </c>
    </row>
    <row r="960" spans="1:3" x14ac:dyDescent="0.2">
      <c r="A960" s="41">
        <f t="shared" si="15"/>
        <v>950</v>
      </c>
      <c r="B960" s="41">
        <v>11783.210497358379</v>
      </c>
      <c r="C960" s="41">
        <f>($F$22+B960)*$F$23/Main!$K$3</f>
        <v>340.06204475175593</v>
      </c>
    </row>
    <row r="961" spans="1:3" x14ac:dyDescent="0.2">
      <c r="A961" s="41">
        <f t="shared" si="15"/>
        <v>951</v>
      </c>
      <c r="B961" s="41">
        <v>20147.976117737217</v>
      </c>
      <c r="C961" s="41">
        <f>($F$22+B961)*$F$23/Main!$K$3</f>
        <v>412.60422650217902</v>
      </c>
    </row>
    <row r="962" spans="1:3" x14ac:dyDescent="0.2">
      <c r="A962" s="41">
        <f t="shared" si="15"/>
        <v>952</v>
      </c>
      <c r="B962" s="41">
        <v>9662.9831464085564</v>
      </c>
      <c r="C962" s="41">
        <f>($F$22+B962)*$F$23/Main!$K$3</f>
        <v>321.67468940612537</v>
      </c>
    </row>
    <row r="963" spans="1:3" x14ac:dyDescent="0.2">
      <c r="A963" s="41">
        <f t="shared" si="15"/>
        <v>953</v>
      </c>
      <c r="B963" s="41">
        <v>8007.7713188612306</v>
      </c>
      <c r="C963" s="41">
        <f>($F$22+B963)*$F$23/Main!$K$3</f>
        <v>307.32011180303527</v>
      </c>
    </row>
    <row r="964" spans="1:3" x14ac:dyDescent="0.2">
      <c r="A964" s="41">
        <f t="shared" si="15"/>
        <v>954</v>
      </c>
      <c r="B964" s="41">
        <v>11270.963947094644</v>
      </c>
      <c r="C964" s="41">
        <f>($F$22+B964)*$F$23/Main!$K$3</f>
        <v>335.61966297602174</v>
      </c>
    </row>
    <row r="965" spans="1:3" x14ac:dyDescent="0.2">
      <c r="A965" s="41">
        <f t="shared" si="15"/>
        <v>955</v>
      </c>
      <c r="B965" s="41">
        <v>4654.843980431915</v>
      </c>
      <c r="C965" s="41">
        <f>($F$22+B965)*$F$23/Main!$K$3</f>
        <v>278.24234974503685</v>
      </c>
    </row>
    <row r="966" spans="1:3" x14ac:dyDescent="0.2">
      <c r="A966" s="41">
        <f t="shared" si="15"/>
        <v>956</v>
      </c>
      <c r="B966" s="41">
        <v>10948.818559587407</v>
      </c>
      <c r="C966" s="41">
        <f>($F$22+B966)*$F$23/Main!$K$3</f>
        <v>332.82590516962529</v>
      </c>
    </row>
    <row r="967" spans="1:3" x14ac:dyDescent="0.2">
      <c r="A967" s="41">
        <f t="shared" si="15"/>
        <v>957</v>
      </c>
      <c r="B967" s="41">
        <v>5747.6955867334136</v>
      </c>
      <c r="C967" s="41">
        <f>($F$22+B967)*$F$23/Main!$K$3</f>
        <v>287.71994223817529</v>
      </c>
    </row>
    <row r="968" spans="1:3" x14ac:dyDescent="0.2">
      <c r="A968" s="41">
        <f t="shared" si="15"/>
        <v>958</v>
      </c>
      <c r="B968" s="41">
        <v>7269.7225073346608</v>
      </c>
      <c r="C968" s="41">
        <f>($F$22+B968)*$F$23/Main!$K$3</f>
        <v>300.91949360806677</v>
      </c>
    </row>
    <row r="969" spans="1:3" x14ac:dyDescent="0.2">
      <c r="A969" s="41">
        <f t="shared" si="15"/>
        <v>959</v>
      </c>
      <c r="B969" s="41">
        <v>21452.880405234784</v>
      </c>
      <c r="C969" s="41">
        <f>($F$22+B969)*$F$23/Main!$K$3</f>
        <v>423.92081423297407</v>
      </c>
    </row>
    <row r="970" spans="1:3" x14ac:dyDescent="0.2">
      <c r="A970" s="41">
        <f t="shared" si="15"/>
        <v>960</v>
      </c>
      <c r="B970" s="41">
        <v>4134.9290307300043</v>
      </c>
      <c r="C970" s="41">
        <f>($F$22+B970)*$F$23/Main!$K$3</f>
        <v>273.73346491936377</v>
      </c>
    </row>
    <row r="971" spans="1:3" x14ac:dyDescent="0.2">
      <c r="A971" s="41">
        <f t="shared" si="15"/>
        <v>961</v>
      </c>
      <c r="B971" s="41">
        <v>3171.1345760183922</v>
      </c>
      <c r="C971" s="41">
        <f>($F$22+B971)*$F$23/Main!$K$3</f>
        <v>265.37510131699264</v>
      </c>
    </row>
    <row r="972" spans="1:3" x14ac:dyDescent="0.2">
      <c r="A972" s="41">
        <f t="shared" si="15"/>
        <v>962</v>
      </c>
      <c r="B972" s="41">
        <v>9231.2980836349507</v>
      </c>
      <c r="C972" s="41">
        <f>($F$22+B972)*$F$23/Main!$K$3</f>
        <v>317.93096511020809</v>
      </c>
    </row>
    <row r="973" spans="1:3" x14ac:dyDescent="0.2">
      <c r="A973" s="41">
        <f t="shared" si="15"/>
        <v>963</v>
      </c>
      <c r="B973" s="41">
        <v>8522.1690150166451</v>
      </c>
      <c r="C973" s="41">
        <f>($F$22+B973)*$F$23/Main!$K$3</f>
        <v>311.78114907054629</v>
      </c>
    </row>
    <row r="974" spans="1:3" x14ac:dyDescent="0.2">
      <c r="A974" s="41">
        <f t="shared" si="15"/>
        <v>964</v>
      </c>
      <c r="B974" s="41">
        <v>11917.377938767446</v>
      </c>
      <c r="C974" s="41">
        <f>($F$22+B974)*$F$23/Main!$K$3</f>
        <v>341.22559186848264</v>
      </c>
    </row>
    <row r="975" spans="1:3" x14ac:dyDescent="0.2">
      <c r="A975" s="41">
        <f t="shared" si="15"/>
        <v>965</v>
      </c>
      <c r="B975" s="41">
        <v>14290.711159561701</v>
      </c>
      <c r="C975" s="41">
        <f>($F$22+B975)*$F$23/Main!$K$3</f>
        <v>361.8079701048469</v>
      </c>
    </row>
    <row r="976" spans="1:3" x14ac:dyDescent="0.2">
      <c r="A976" s="41">
        <f t="shared" si="15"/>
        <v>966</v>
      </c>
      <c r="B976" s="41">
        <v>6861.0751358378038</v>
      </c>
      <c r="C976" s="41">
        <f>($F$22+B976)*$F$23/Main!$K$3</f>
        <v>297.37556025233272</v>
      </c>
    </row>
    <row r="977" spans="1:3" x14ac:dyDescent="0.2">
      <c r="A977" s="41">
        <f t="shared" si="15"/>
        <v>967</v>
      </c>
      <c r="B977" s="41">
        <v>8715.944430614094</v>
      </c>
      <c r="C977" s="41">
        <f>($F$22+B977)*$F$23/Main!$K$3</f>
        <v>313.46163744941822</v>
      </c>
    </row>
    <row r="978" spans="1:3" x14ac:dyDescent="0.2">
      <c r="A978" s="41">
        <f t="shared" si="15"/>
        <v>968</v>
      </c>
      <c r="B978" s="41">
        <v>13236.492787322881</v>
      </c>
      <c r="C978" s="41">
        <f>($F$22+B978)*$F$23/Main!$K$3</f>
        <v>352.66541856971855</v>
      </c>
    </row>
    <row r="979" spans="1:3" x14ac:dyDescent="0.2">
      <c r="A979" s="41">
        <f t="shared" si="15"/>
        <v>969</v>
      </c>
      <c r="B979" s="41">
        <v>2670.3374289147196</v>
      </c>
      <c r="C979" s="41">
        <f>($F$22+B979)*$F$23/Main!$K$3</f>
        <v>261.03201278181825</v>
      </c>
    </row>
    <row r="980" spans="1:3" x14ac:dyDescent="0.2">
      <c r="A980" s="41">
        <f t="shared" ref="A980:A996" si="16">A979+1</f>
        <v>970</v>
      </c>
      <c r="B980" s="41">
        <v>8411.9954757570376</v>
      </c>
      <c r="C980" s="41">
        <f>($F$22+B980)*$F$23/Main!$K$3</f>
        <v>310.82568549012194</v>
      </c>
    </row>
    <row r="981" spans="1:3" x14ac:dyDescent="0.2">
      <c r="A981" s="41">
        <f t="shared" si="16"/>
        <v>971</v>
      </c>
      <c r="B981" s="41">
        <v>13428.006136011878</v>
      </c>
      <c r="C981" s="41">
        <f>($F$22+B981)*$F$23/Main!$K$3</f>
        <v>354.32628951084598</v>
      </c>
    </row>
    <row r="982" spans="1:3" x14ac:dyDescent="0.2">
      <c r="A982" s="41">
        <f t="shared" si="16"/>
        <v>972</v>
      </c>
      <c r="B982" s="41">
        <v>8338.3635404827128</v>
      </c>
      <c r="C982" s="41">
        <f>($F$22+B982)*$F$23/Main!$K$3</f>
        <v>310.18712351794994</v>
      </c>
    </row>
    <row r="983" spans="1:3" x14ac:dyDescent="0.2">
      <c r="A983" s="41">
        <f t="shared" si="16"/>
        <v>973</v>
      </c>
      <c r="B983" s="41">
        <v>3401.975595465281</v>
      </c>
      <c r="C983" s="41">
        <f>($F$22+B983)*$F$23/Main!$K$3</f>
        <v>267.37703561475371</v>
      </c>
    </row>
    <row r="984" spans="1:3" x14ac:dyDescent="0.2">
      <c r="A984" s="41">
        <f t="shared" si="16"/>
        <v>974</v>
      </c>
      <c r="B984" s="41">
        <v>16536.33795377129</v>
      </c>
      <c r="C984" s="41">
        <f>($F$22+B984)*$F$23/Main!$K$3</f>
        <v>381.28283341151229</v>
      </c>
    </row>
    <row r="985" spans="1:3" x14ac:dyDescent="0.2">
      <c r="A985" s="41">
        <f t="shared" si="16"/>
        <v>975</v>
      </c>
      <c r="B985" s="41">
        <v>10520.888899204125</v>
      </c>
      <c r="C985" s="41">
        <f>($F$22+B985)*$F$23/Main!$K$3</f>
        <v>329.11474904060094</v>
      </c>
    </row>
    <row r="986" spans="1:3" x14ac:dyDescent="0.2">
      <c r="A986" s="41">
        <f t="shared" si="16"/>
        <v>976</v>
      </c>
      <c r="B986" s="41">
        <v>13995.010126452691</v>
      </c>
      <c r="C986" s="41">
        <f>($F$22+B986)*$F$23/Main!$K$3</f>
        <v>359.24354701625231</v>
      </c>
    </row>
    <row r="987" spans="1:3" x14ac:dyDescent="0.2">
      <c r="A987" s="41">
        <f t="shared" si="16"/>
        <v>977</v>
      </c>
      <c r="B987" s="41">
        <v>16817.880421732301</v>
      </c>
      <c r="C987" s="41">
        <f>($F$22+B987)*$F$23/Main!$K$3</f>
        <v>383.72446845643611</v>
      </c>
    </row>
    <row r="988" spans="1:3" x14ac:dyDescent="0.2">
      <c r="A988" s="41">
        <f t="shared" si="16"/>
        <v>978</v>
      </c>
      <c r="B988" s="41">
        <v>2889.180900182278</v>
      </c>
      <c r="C988" s="41">
        <f>($F$22+B988)*$F$23/Main!$K$3</f>
        <v>262.92990013312766</v>
      </c>
    </row>
    <row r="989" spans="1:3" x14ac:dyDescent="0.2">
      <c r="A989" s="41">
        <f t="shared" si="16"/>
        <v>979</v>
      </c>
      <c r="B989" s="41">
        <v>5525.6460679341772</v>
      </c>
      <c r="C989" s="41">
        <f>($F$22+B989)*$F$23/Main!$K$3</f>
        <v>285.79425091801625</v>
      </c>
    </row>
    <row r="990" spans="1:3" x14ac:dyDescent="0.2">
      <c r="A990" s="41">
        <f t="shared" si="16"/>
        <v>980</v>
      </c>
      <c r="B990" s="41">
        <v>8837.7895585501865</v>
      </c>
      <c r="C990" s="41">
        <f>($F$22+B990)*$F$23/Main!$K$3</f>
        <v>314.51832114114166</v>
      </c>
    </row>
    <row r="991" spans="1:3" x14ac:dyDescent="0.2">
      <c r="A991" s="41">
        <f t="shared" si="16"/>
        <v>981</v>
      </c>
      <c r="B991" s="41">
        <v>2592.2503359729749</v>
      </c>
      <c r="C991" s="41">
        <f>($F$22+B991)*$F$23/Main!$K$3</f>
        <v>260.35481411952202</v>
      </c>
    </row>
    <row r="992" spans="1:3" x14ac:dyDescent="0.2">
      <c r="A992" s="41">
        <f t="shared" si="16"/>
        <v>982</v>
      </c>
      <c r="B992" s="41">
        <v>11273.460390040736</v>
      </c>
      <c r="C992" s="41">
        <f>($F$22+B992)*$F$23/Main!$K$3</f>
        <v>335.64131300498184</v>
      </c>
    </row>
    <row r="993" spans="1:3" x14ac:dyDescent="0.2">
      <c r="A993" s="41">
        <f t="shared" si="16"/>
        <v>983</v>
      </c>
      <c r="B993" s="41">
        <v>5630.6446232070784</v>
      </c>
      <c r="C993" s="41">
        <f>($F$22+B993)*$F$23/Main!$K$3</f>
        <v>286.70483522196639</v>
      </c>
    </row>
    <row r="994" spans="1:3" x14ac:dyDescent="0.2">
      <c r="A994" s="41">
        <f t="shared" si="16"/>
        <v>984</v>
      </c>
      <c r="B994" s="41">
        <v>5183.9082650132805</v>
      </c>
      <c r="C994" s="41">
        <f>($F$22+B994)*$F$23/Main!$K$3</f>
        <v>282.83058081229547</v>
      </c>
    </row>
    <row r="995" spans="1:3" x14ac:dyDescent="0.2">
      <c r="A995" s="41">
        <f t="shared" si="16"/>
        <v>985</v>
      </c>
      <c r="B995" s="41">
        <v>3601.4697578401306</v>
      </c>
      <c r="C995" s="41">
        <f>($F$22+B995)*$F$23/Main!$K$3</f>
        <v>269.10711897176827</v>
      </c>
    </row>
    <row r="996" spans="1:3" x14ac:dyDescent="0.2">
      <c r="A996" s="41">
        <f t="shared" si="16"/>
        <v>986</v>
      </c>
      <c r="B996" s="41">
        <v>7808.1686936918213</v>
      </c>
      <c r="C996" s="41">
        <f>($F$22+B996)*$F$23/Main!$K$3</f>
        <v>305.58908781861845</v>
      </c>
    </row>
    <row r="997" spans="1:3" x14ac:dyDescent="0.2">
      <c r="A997" s="41">
        <f t="shared" ref="A997:A1006" si="17">A996+1</f>
        <v>987</v>
      </c>
      <c r="B997" s="41">
        <v>2668.762114955709</v>
      </c>
      <c r="C997" s="41">
        <f>($F$22+B997)*$F$23/Main!$K$3</f>
        <v>261.01835110655861</v>
      </c>
    </row>
    <row r="998" spans="1:3" x14ac:dyDescent="0.2">
      <c r="A998" s="41">
        <f t="shared" si="17"/>
        <v>988</v>
      </c>
      <c r="B998" s="41">
        <v>1489.6813882801118</v>
      </c>
      <c r="C998" s="41">
        <f>($F$22+B998)*$F$23/Main!$K$3</f>
        <v>250.79294943307477</v>
      </c>
    </row>
    <row r="999" spans="1:3" x14ac:dyDescent="0.2">
      <c r="A999" s="41">
        <f t="shared" si="17"/>
        <v>989</v>
      </c>
      <c r="B999" s="41">
        <v>7289.2098832165702</v>
      </c>
      <c r="C999" s="41">
        <f>($F$22+B999)*$F$23/Main!$K$3</f>
        <v>301.08849496772473</v>
      </c>
    </row>
    <row r="1000" spans="1:3" x14ac:dyDescent="0.2">
      <c r="A1000" s="41">
        <f t="shared" si="17"/>
        <v>990</v>
      </c>
      <c r="B1000" s="41">
        <v>12205.255787310829</v>
      </c>
      <c r="C1000" s="41">
        <f>($F$22+B1000)*$F$23/Main!$K$3</f>
        <v>343.7221695562157</v>
      </c>
    </row>
    <row r="1001" spans="1:3" x14ac:dyDescent="0.2">
      <c r="A1001" s="41">
        <f t="shared" si="17"/>
        <v>991</v>
      </c>
      <c r="B1001" s="41">
        <v>3758.3059380690224</v>
      </c>
      <c r="C1001" s="41">
        <f>($F$22+B1001)*$F$23/Main!$K$3</f>
        <v>270.46725734354624</v>
      </c>
    </row>
    <row r="1002" spans="1:3" x14ac:dyDescent="0.2">
      <c r="A1002" s="41">
        <f t="shared" si="17"/>
        <v>992</v>
      </c>
      <c r="B1002" s="41">
        <v>8726.7173247156716</v>
      </c>
      <c r="C1002" s="41">
        <f>($F$22+B1002)*$F$23/Main!$K$3</f>
        <v>313.55506376610913</v>
      </c>
    </row>
    <row r="1003" spans="1:3" x14ac:dyDescent="0.2">
      <c r="A1003" s="41">
        <f t="shared" si="17"/>
        <v>993</v>
      </c>
      <c r="B1003" s="41">
        <v>2407.5620114435496</v>
      </c>
      <c r="C1003" s="41">
        <f>($F$22+B1003)*$F$23/Main!$K$3</f>
        <v>258.75313218206833</v>
      </c>
    </row>
    <row r="1004" spans="1:3" x14ac:dyDescent="0.2">
      <c r="A1004" s="41">
        <f t="shared" si="17"/>
        <v>994</v>
      </c>
      <c r="B1004" s="41">
        <v>9016.1593410757378</v>
      </c>
      <c r="C1004" s="41">
        <f>($F$22+B1004)*$F$23/Main!$K$3</f>
        <v>316.06520646584562</v>
      </c>
    </row>
    <row r="1005" spans="1:3" x14ac:dyDescent="0.2">
      <c r="A1005" s="41">
        <f t="shared" si="17"/>
        <v>995</v>
      </c>
      <c r="B1005" s="41">
        <v>3190.2018771093103</v>
      </c>
      <c r="C1005" s="41">
        <f>($F$22+B1005)*$F$23/Main!$K$3</f>
        <v>265.5404596407044</v>
      </c>
    </row>
    <row r="1006" spans="1:3" x14ac:dyDescent="0.2">
      <c r="A1006" s="41">
        <f t="shared" si="17"/>
        <v>996</v>
      </c>
      <c r="B1006" s="41">
        <v>6353.6336928319852</v>
      </c>
      <c r="C1006" s="41">
        <f>($F$22+B1006)*$F$23/Main!$K$3</f>
        <v>292.97485005233102</v>
      </c>
    </row>
    <row r="1007" spans="1:3" x14ac:dyDescent="0.2">
      <c r="A1007" s="41">
        <f t="shared" ref="A1007:A1009" si="18">A1006+1</f>
        <v>997</v>
      </c>
      <c r="B1007" s="41">
        <v>9246.9644547559637</v>
      </c>
      <c r="C1007" s="41">
        <f>($F$22+B1007)*$F$23/Main!$K$3</f>
        <v>318.06682937620275</v>
      </c>
    </row>
    <row r="1008" spans="1:3" x14ac:dyDescent="0.2">
      <c r="A1008" s="41">
        <f t="shared" si="18"/>
        <v>998</v>
      </c>
      <c r="B1008" s="41">
        <v>5531.9933933361563</v>
      </c>
      <c r="C1008" s="41">
        <f>($F$22+B1008)*$F$23/Main!$K$3</f>
        <v>285.84929715049134</v>
      </c>
    </row>
    <row r="1009" spans="1:4" x14ac:dyDescent="0.2">
      <c r="A1009" s="41">
        <f t="shared" si="18"/>
        <v>999</v>
      </c>
      <c r="B1009" s="41">
        <v>11308.857471705604</v>
      </c>
      <c r="C1009" s="41">
        <f>($F$22+B1009)*$F$23/Main!$K$3</f>
        <v>335.94828891418263</v>
      </c>
    </row>
    <row r="1010" spans="1:4" x14ac:dyDescent="0.2">
      <c r="A1010" s="41">
        <f t="shared" ref="A1010" si="19">A1009+1</f>
        <v>1000</v>
      </c>
      <c r="B1010" s="41">
        <v>3688.0959577475137</v>
      </c>
      <c r="C1010" s="41">
        <f>($F$22+B1010)*$F$23/Main!$K$3</f>
        <v>269.85837176511853</v>
      </c>
      <c r="D1010" s="41" t="s">
        <v>204</v>
      </c>
    </row>
  </sheetData>
  <hyperlinks>
    <hyperlink ref="A1" location="Main!A1" display="Main" xr:uid="{38F51FC6-9BC8-4E1B-AFF0-6F5DC11B6E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CC Model</vt:lpstr>
      <vt:lpstr>Literature</vt:lpstr>
      <vt:lpstr>Management</vt:lpstr>
      <vt:lpstr>Q&amp;A</vt:lpstr>
      <vt:lpstr>Monte Carlo Simulation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2026-03-05T04:36:07Z</dcterms:modified>
</cp:coreProperties>
</file>