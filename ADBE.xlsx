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DE9AB539-665F-4384-8B7C-8507FDCBF59B}" xr6:coauthVersionLast="47" xr6:coauthVersionMax="47" xr10:uidLastSave="{00000000-0000-0000-0000-000000000000}"/>
  <bookViews>
    <workbookView xWindow="-120" yWindow="-120" windowWidth="29040" windowHeight="15720" activeTab="6" xr2:uid="{B5255683-9904-4B96-B116-504FB2085B5B}"/>
  </bookViews>
  <sheets>
    <sheet name="Main" sheetId="1" r:id="rId1"/>
    <sheet name="Model" sheetId="2" r:id="rId2"/>
    <sheet name="CC Model" sheetId="4" r:id="rId3"/>
    <sheet name="Literature" sheetId="3" r:id="rId4"/>
    <sheet name="Management" sheetId="6" r:id="rId5"/>
    <sheet name="Q&amp;A" sheetId="7" r:id="rId6"/>
    <sheet name="Monte Carlo Simulation"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2" l="1"/>
  <c r="AC11" i="2" s="1"/>
  <c r="AD11" i="2" s="1"/>
  <c r="AA14" i="2"/>
  <c r="C1010" i="8"/>
  <c r="C1007" i="8"/>
  <c r="C1008" i="8"/>
  <c r="C1009" i="8"/>
  <c r="C997" i="8"/>
  <c r="C998" i="8"/>
  <c r="C999" i="8"/>
  <c r="C1000" i="8"/>
  <c r="C1001" i="8"/>
  <c r="C1002" i="8"/>
  <c r="C1003" i="8"/>
  <c r="C1004" i="8"/>
  <c r="C1005" i="8"/>
  <c r="C1006"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11" i="8"/>
  <c r="F30" i="8" s="1"/>
  <c r="E11" i="8"/>
  <c r="A12" i="8"/>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228" i="8" s="1"/>
  <c r="A229" i="8" s="1"/>
  <c r="A230" i="8" s="1"/>
  <c r="A231" i="8" s="1"/>
  <c r="A232" i="8" s="1"/>
  <c r="A233" i="8" s="1"/>
  <c r="A234" i="8" s="1"/>
  <c r="A235" i="8" s="1"/>
  <c r="A236" i="8" s="1"/>
  <c r="A237" i="8" s="1"/>
  <c r="A238" i="8" s="1"/>
  <c r="A239" i="8" s="1"/>
  <c r="A240" i="8" s="1"/>
  <c r="A241" i="8" s="1"/>
  <c r="A242" i="8" s="1"/>
  <c r="A243" i="8" s="1"/>
  <c r="A244" i="8" s="1"/>
  <c r="A245" i="8" s="1"/>
  <c r="A246" i="8" s="1"/>
  <c r="A247" i="8" s="1"/>
  <c r="A248" i="8" s="1"/>
  <c r="A249" i="8" s="1"/>
  <c r="A250" i="8" s="1"/>
  <c r="A251" i="8" s="1"/>
  <c r="A252" i="8" s="1"/>
  <c r="A253" i="8" s="1"/>
  <c r="A254" i="8" s="1"/>
  <c r="A255" i="8" s="1"/>
  <c r="A256" i="8" s="1"/>
  <c r="A257" i="8" s="1"/>
  <c r="A258" i="8" s="1"/>
  <c r="A259" i="8" s="1"/>
  <c r="A260" i="8" s="1"/>
  <c r="A261" i="8" s="1"/>
  <c r="A262" i="8" s="1"/>
  <c r="A263" i="8" s="1"/>
  <c r="A264" i="8" s="1"/>
  <c r="A265" i="8" s="1"/>
  <c r="A266" i="8" s="1"/>
  <c r="A267" i="8" s="1"/>
  <c r="A268" i="8" s="1"/>
  <c r="A269" i="8" s="1"/>
  <c r="A270" i="8" s="1"/>
  <c r="A271" i="8" s="1"/>
  <c r="A272" i="8" s="1"/>
  <c r="A273" i="8" s="1"/>
  <c r="A274" i="8" s="1"/>
  <c r="A275" i="8" s="1"/>
  <c r="A276" i="8" s="1"/>
  <c r="A277" i="8" s="1"/>
  <c r="A278" i="8" s="1"/>
  <c r="A279" i="8" s="1"/>
  <c r="A280" i="8" s="1"/>
  <c r="A281" i="8" s="1"/>
  <c r="A282" i="8" s="1"/>
  <c r="A283" i="8" s="1"/>
  <c r="A284" i="8" s="1"/>
  <c r="A285" i="8" s="1"/>
  <c r="A286" i="8" s="1"/>
  <c r="A287" i="8" s="1"/>
  <c r="A288" i="8" s="1"/>
  <c r="A289" i="8" s="1"/>
  <c r="A290" i="8" s="1"/>
  <c r="A291" i="8" s="1"/>
  <c r="A292" i="8" s="1"/>
  <c r="A293" i="8" s="1"/>
  <c r="A294" i="8" s="1"/>
  <c r="A295" i="8" s="1"/>
  <c r="A296" i="8" s="1"/>
  <c r="A297" i="8" s="1"/>
  <c r="A298" i="8" s="1"/>
  <c r="A299" i="8" s="1"/>
  <c r="A300" i="8" s="1"/>
  <c r="A301" i="8" s="1"/>
  <c r="A302" i="8" s="1"/>
  <c r="A303" i="8" s="1"/>
  <c r="A304" i="8" s="1"/>
  <c r="A305" i="8" s="1"/>
  <c r="A306" i="8" s="1"/>
  <c r="A307" i="8" s="1"/>
  <c r="A308" i="8" s="1"/>
  <c r="A309" i="8" s="1"/>
  <c r="A310" i="8" s="1"/>
  <c r="A311" i="8" s="1"/>
  <c r="A312" i="8" s="1"/>
  <c r="A313" i="8" s="1"/>
  <c r="A314" i="8" s="1"/>
  <c r="A315" i="8" s="1"/>
  <c r="A316" i="8" s="1"/>
  <c r="A317" i="8" s="1"/>
  <c r="A318" i="8" s="1"/>
  <c r="A319" i="8" s="1"/>
  <c r="A320" i="8" s="1"/>
  <c r="A321" i="8" s="1"/>
  <c r="A322" i="8" s="1"/>
  <c r="A323" i="8" s="1"/>
  <c r="A324" i="8" s="1"/>
  <c r="A325" i="8" s="1"/>
  <c r="A326" i="8" s="1"/>
  <c r="A327" i="8" s="1"/>
  <c r="A328" i="8" s="1"/>
  <c r="A329" i="8" s="1"/>
  <c r="A330" i="8" s="1"/>
  <c r="A331" i="8" s="1"/>
  <c r="A332" i="8" s="1"/>
  <c r="A333" i="8" s="1"/>
  <c r="A334" i="8" s="1"/>
  <c r="A335" i="8" s="1"/>
  <c r="A336" i="8" s="1"/>
  <c r="A337" i="8" s="1"/>
  <c r="A338" i="8" s="1"/>
  <c r="A339" i="8" s="1"/>
  <c r="A340" i="8" s="1"/>
  <c r="A341" i="8" s="1"/>
  <c r="A342" i="8" s="1"/>
  <c r="A343" i="8" s="1"/>
  <c r="A344" i="8" s="1"/>
  <c r="A345" i="8" s="1"/>
  <c r="A346" i="8" s="1"/>
  <c r="A347" i="8" s="1"/>
  <c r="A348" i="8" s="1"/>
  <c r="A349" i="8" s="1"/>
  <c r="A350" i="8" s="1"/>
  <c r="A351" i="8" s="1"/>
  <c r="A352" i="8" s="1"/>
  <c r="A353" i="8" s="1"/>
  <c r="A354" i="8" s="1"/>
  <c r="A355" i="8" s="1"/>
  <c r="A356" i="8" s="1"/>
  <c r="A357" i="8" s="1"/>
  <c r="A358" i="8" s="1"/>
  <c r="A359" i="8" s="1"/>
  <c r="A360" i="8" s="1"/>
  <c r="A361" i="8" s="1"/>
  <c r="A362" i="8" s="1"/>
  <c r="A363" i="8" s="1"/>
  <c r="A364" i="8" s="1"/>
  <c r="A365" i="8" s="1"/>
  <c r="A366" i="8" s="1"/>
  <c r="A367" i="8" s="1"/>
  <c r="A368" i="8" s="1"/>
  <c r="A369" i="8" s="1"/>
  <c r="A370" i="8" s="1"/>
  <c r="A371" i="8" s="1"/>
  <c r="A372" i="8" s="1"/>
  <c r="A373" i="8" s="1"/>
  <c r="A374" i="8" s="1"/>
  <c r="A375" i="8" s="1"/>
  <c r="A376" i="8" s="1"/>
  <c r="A377" i="8" s="1"/>
  <c r="A378" i="8" s="1"/>
  <c r="A379" i="8" s="1"/>
  <c r="A380" i="8" s="1"/>
  <c r="A381" i="8" s="1"/>
  <c r="A382" i="8" s="1"/>
  <c r="A383" i="8" s="1"/>
  <c r="A384" i="8" s="1"/>
  <c r="A385" i="8" s="1"/>
  <c r="A386" i="8" s="1"/>
  <c r="A387" i="8" s="1"/>
  <c r="A388" i="8" s="1"/>
  <c r="A389" i="8" s="1"/>
  <c r="A390" i="8" s="1"/>
  <c r="A391" i="8" s="1"/>
  <c r="A392" i="8" s="1"/>
  <c r="A393" i="8" s="1"/>
  <c r="A394" i="8" s="1"/>
  <c r="A395" i="8" s="1"/>
  <c r="A396" i="8" s="1"/>
  <c r="A397" i="8" s="1"/>
  <c r="A398" i="8" s="1"/>
  <c r="A399" i="8" s="1"/>
  <c r="A400" i="8" s="1"/>
  <c r="A401" i="8" s="1"/>
  <c r="A402" i="8" s="1"/>
  <c r="A403" i="8" s="1"/>
  <c r="A404" i="8" s="1"/>
  <c r="A405" i="8" s="1"/>
  <c r="A406" i="8" s="1"/>
  <c r="A407" i="8" s="1"/>
  <c r="A408" i="8" s="1"/>
  <c r="A409" i="8" s="1"/>
  <c r="A410" i="8" s="1"/>
  <c r="A411" i="8" s="1"/>
  <c r="A412" i="8" s="1"/>
  <c r="A413" i="8" s="1"/>
  <c r="A414" i="8" s="1"/>
  <c r="A415" i="8" s="1"/>
  <c r="A416" i="8" s="1"/>
  <c r="A417" i="8" s="1"/>
  <c r="A418" i="8" s="1"/>
  <c r="A419" i="8" s="1"/>
  <c r="A420" i="8" s="1"/>
  <c r="A421" i="8" s="1"/>
  <c r="A422" i="8" s="1"/>
  <c r="A423" i="8" s="1"/>
  <c r="A424" i="8" s="1"/>
  <c r="A425" i="8" s="1"/>
  <c r="A426" i="8" s="1"/>
  <c r="A427" i="8" s="1"/>
  <c r="A428" i="8" s="1"/>
  <c r="A429" i="8" s="1"/>
  <c r="A430" i="8" s="1"/>
  <c r="A431" i="8" s="1"/>
  <c r="A432" i="8" s="1"/>
  <c r="A433" i="8" s="1"/>
  <c r="A434" i="8" s="1"/>
  <c r="A435" i="8" s="1"/>
  <c r="A436" i="8" s="1"/>
  <c r="A437" i="8" s="1"/>
  <c r="A438" i="8" s="1"/>
  <c r="A439" i="8" s="1"/>
  <c r="A440" i="8" s="1"/>
  <c r="A441" i="8" s="1"/>
  <c r="A442" i="8" s="1"/>
  <c r="A443" i="8" s="1"/>
  <c r="A444" i="8" s="1"/>
  <c r="A445" i="8" s="1"/>
  <c r="A446" i="8" s="1"/>
  <c r="A447" i="8" s="1"/>
  <c r="A448" i="8" s="1"/>
  <c r="A449" i="8" s="1"/>
  <c r="A450" i="8" s="1"/>
  <c r="A451" i="8" s="1"/>
  <c r="A452" i="8" s="1"/>
  <c r="A453" i="8" s="1"/>
  <c r="A454" i="8" s="1"/>
  <c r="A455" i="8" s="1"/>
  <c r="A456" i="8" s="1"/>
  <c r="A457" i="8" s="1"/>
  <c r="A458" i="8" s="1"/>
  <c r="A459" i="8" s="1"/>
  <c r="A460" i="8" s="1"/>
  <c r="A461" i="8" s="1"/>
  <c r="A462" i="8" s="1"/>
  <c r="A463" i="8" s="1"/>
  <c r="A464" i="8" s="1"/>
  <c r="A465" i="8" s="1"/>
  <c r="A466" i="8" s="1"/>
  <c r="A467" i="8" s="1"/>
  <c r="A468" i="8" s="1"/>
  <c r="A469" i="8" s="1"/>
  <c r="A470" i="8" s="1"/>
  <c r="A471" i="8" s="1"/>
  <c r="A472" i="8" s="1"/>
  <c r="A473" i="8" s="1"/>
  <c r="A474" i="8" s="1"/>
  <c r="A475" i="8" s="1"/>
  <c r="A476" i="8" s="1"/>
  <c r="A477" i="8" s="1"/>
  <c r="A478" i="8" s="1"/>
  <c r="A479" i="8" s="1"/>
  <c r="A480" i="8" s="1"/>
  <c r="A481" i="8" s="1"/>
  <c r="A482" i="8" s="1"/>
  <c r="A483" i="8" s="1"/>
  <c r="A484" i="8" s="1"/>
  <c r="A485" i="8" s="1"/>
  <c r="A486" i="8" s="1"/>
  <c r="A487" i="8" s="1"/>
  <c r="A488" i="8" s="1"/>
  <c r="A489" i="8" s="1"/>
  <c r="A490" i="8" s="1"/>
  <c r="A491" i="8" s="1"/>
  <c r="A492" i="8" s="1"/>
  <c r="A493" i="8" s="1"/>
  <c r="A494" i="8" s="1"/>
  <c r="A495" i="8" s="1"/>
  <c r="A496" i="8" s="1"/>
  <c r="A497" i="8" s="1"/>
  <c r="A498" i="8" s="1"/>
  <c r="A499" i="8" s="1"/>
  <c r="A500" i="8" s="1"/>
  <c r="A501" i="8" s="1"/>
  <c r="A502" i="8" s="1"/>
  <c r="A503" i="8" s="1"/>
  <c r="A504" i="8" s="1"/>
  <c r="A505" i="8" s="1"/>
  <c r="A506" i="8" s="1"/>
  <c r="A507" i="8" s="1"/>
  <c r="A508" i="8" s="1"/>
  <c r="A509" i="8" s="1"/>
  <c r="A510" i="8" s="1"/>
  <c r="A511" i="8" s="1"/>
  <c r="A512" i="8" s="1"/>
  <c r="A513" i="8" s="1"/>
  <c r="A514" i="8" s="1"/>
  <c r="A515" i="8" s="1"/>
  <c r="A516" i="8" s="1"/>
  <c r="A517" i="8" s="1"/>
  <c r="A518" i="8" s="1"/>
  <c r="A519" i="8" s="1"/>
  <c r="A520" i="8" s="1"/>
  <c r="A521" i="8" s="1"/>
  <c r="A522" i="8" s="1"/>
  <c r="A523" i="8" s="1"/>
  <c r="A524" i="8" s="1"/>
  <c r="A525" i="8" s="1"/>
  <c r="A526" i="8" s="1"/>
  <c r="A527" i="8" s="1"/>
  <c r="A528" i="8" s="1"/>
  <c r="A529" i="8" s="1"/>
  <c r="A530" i="8" s="1"/>
  <c r="A531" i="8" s="1"/>
  <c r="A532" i="8" s="1"/>
  <c r="A533" i="8" s="1"/>
  <c r="A534" i="8" s="1"/>
  <c r="A535" i="8" s="1"/>
  <c r="A536" i="8" s="1"/>
  <c r="A537" i="8" s="1"/>
  <c r="A538" i="8" s="1"/>
  <c r="A539" i="8" s="1"/>
  <c r="A540" i="8" s="1"/>
  <c r="A541" i="8" s="1"/>
  <c r="A542" i="8" s="1"/>
  <c r="A543" i="8" s="1"/>
  <c r="A544" i="8" s="1"/>
  <c r="A545" i="8" s="1"/>
  <c r="A546" i="8" s="1"/>
  <c r="A547" i="8" s="1"/>
  <c r="A548" i="8" s="1"/>
  <c r="A549" i="8" s="1"/>
  <c r="A550" i="8" s="1"/>
  <c r="A551" i="8" s="1"/>
  <c r="A552" i="8" s="1"/>
  <c r="A553" i="8" s="1"/>
  <c r="A554" i="8" s="1"/>
  <c r="A555" i="8" s="1"/>
  <c r="A556" i="8" s="1"/>
  <c r="A557" i="8" s="1"/>
  <c r="A558" i="8" s="1"/>
  <c r="A559" i="8" s="1"/>
  <c r="A560" i="8" s="1"/>
  <c r="A561" i="8" s="1"/>
  <c r="A562" i="8" s="1"/>
  <c r="A563" i="8" s="1"/>
  <c r="A564" i="8" s="1"/>
  <c r="A565" i="8" s="1"/>
  <c r="A566" i="8" s="1"/>
  <c r="A567" i="8" s="1"/>
  <c r="A568" i="8" s="1"/>
  <c r="A569" i="8" s="1"/>
  <c r="A570" i="8" s="1"/>
  <c r="A571" i="8" s="1"/>
  <c r="A572" i="8" s="1"/>
  <c r="A573" i="8" s="1"/>
  <c r="A574" i="8" s="1"/>
  <c r="A575" i="8" s="1"/>
  <c r="A576" i="8" s="1"/>
  <c r="A577" i="8" s="1"/>
  <c r="A578" i="8" s="1"/>
  <c r="A579" i="8" s="1"/>
  <c r="A580" i="8" s="1"/>
  <c r="A581" i="8" s="1"/>
  <c r="A582" i="8" s="1"/>
  <c r="A583" i="8" s="1"/>
  <c r="A584" i="8" s="1"/>
  <c r="A585" i="8" s="1"/>
  <c r="A586" i="8" s="1"/>
  <c r="A587" i="8" s="1"/>
  <c r="A588" i="8" s="1"/>
  <c r="A589" i="8" s="1"/>
  <c r="A590" i="8" s="1"/>
  <c r="A591" i="8" s="1"/>
  <c r="A592" i="8" s="1"/>
  <c r="A593" i="8" s="1"/>
  <c r="A594" i="8" s="1"/>
  <c r="A595" i="8" s="1"/>
  <c r="A596" i="8" s="1"/>
  <c r="A597" i="8" s="1"/>
  <c r="A598" i="8" s="1"/>
  <c r="A599" i="8" s="1"/>
  <c r="A600" i="8" s="1"/>
  <c r="A601" i="8" s="1"/>
  <c r="A602" i="8" s="1"/>
  <c r="A603" i="8" s="1"/>
  <c r="A604" i="8" s="1"/>
  <c r="A605" i="8" s="1"/>
  <c r="A606" i="8" s="1"/>
  <c r="A607" i="8" s="1"/>
  <c r="A608" i="8" s="1"/>
  <c r="A609" i="8" s="1"/>
  <c r="A610" i="8" s="1"/>
  <c r="A611" i="8" s="1"/>
  <c r="A612" i="8" s="1"/>
  <c r="A613" i="8" s="1"/>
  <c r="A614" i="8" s="1"/>
  <c r="A615" i="8" s="1"/>
  <c r="A616" i="8" s="1"/>
  <c r="A617" i="8" s="1"/>
  <c r="A618" i="8" s="1"/>
  <c r="A619" i="8" s="1"/>
  <c r="A620" i="8" s="1"/>
  <c r="A621" i="8" s="1"/>
  <c r="A622" i="8" s="1"/>
  <c r="A623" i="8" s="1"/>
  <c r="A624" i="8" s="1"/>
  <c r="A625" i="8" s="1"/>
  <c r="A626" i="8" s="1"/>
  <c r="A627" i="8" s="1"/>
  <c r="A628" i="8" s="1"/>
  <c r="A629" i="8" s="1"/>
  <c r="A630" i="8" s="1"/>
  <c r="A631" i="8" s="1"/>
  <c r="A632" i="8" s="1"/>
  <c r="A633" i="8" s="1"/>
  <c r="A634" i="8" s="1"/>
  <c r="A635" i="8" s="1"/>
  <c r="A636" i="8" s="1"/>
  <c r="A637" i="8" s="1"/>
  <c r="A638" i="8" s="1"/>
  <c r="A639" i="8" s="1"/>
  <c r="A640" i="8" s="1"/>
  <c r="A641" i="8" s="1"/>
  <c r="A642" i="8" s="1"/>
  <c r="A643" i="8" s="1"/>
  <c r="A644" i="8" s="1"/>
  <c r="A645" i="8" s="1"/>
  <c r="A646" i="8" s="1"/>
  <c r="A647" i="8" s="1"/>
  <c r="A648" i="8" s="1"/>
  <c r="A649" i="8" s="1"/>
  <c r="A650" i="8" s="1"/>
  <c r="A651" i="8" s="1"/>
  <c r="A652" i="8" s="1"/>
  <c r="A653" i="8" s="1"/>
  <c r="A654" i="8" s="1"/>
  <c r="A655" i="8" s="1"/>
  <c r="A656" i="8" s="1"/>
  <c r="A657" i="8" s="1"/>
  <c r="A658" i="8" s="1"/>
  <c r="A659" i="8" s="1"/>
  <c r="A660" i="8" s="1"/>
  <c r="A661" i="8" s="1"/>
  <c r="A662" i="8" s="1"/>
  <c r="A663" i="8" s="1"/>
  <c r="A664" i="8" s="1"/>
  <c r="A665" i="8" s="1"/>
  <c r="A666" i="8" s="1"/>
  <c r="A667" i="8" s="1"/>
  <c r="A668" i="8" s="1"/>
  <c r="A669" i="8" s="1"/>
  <c r="A670" i="8" s="1"/>
  <c r="A671" i="8" s="1"/>
  <c r="A672" i="8" s="1"/>
  <c r="A673" i="8" s="1"/>
  <c r="A674" i="8" s="1"/>
  <c r="A675" i="8" s="1"/>
  <c r="A676" i="8" s="1"/>
  <c r="A677" i="8" s="1"/>
  <c r="A678" i="8" s="1"/>
  <c r="A679" i="8" s="1"/>
  <c r="A680" i="8" s="1"/>
  <c r="A681" i="8" s="1"/>
  <c r="A682" i="8" s="1"/>
  <c r="A683" i="8" s="1"/>
  <c r="A684" i="8" s="1"/>
  <c r="A685" i="8" s="1"/>
  <c r="A686" i="8" s="1"/>
  <c r="A687" i="8" s="1"/>
  <c r="A688" i="8" s="1"/>
  <c r="A689" i="8" s="1"/>
  <c r="A690" i="8" s="1"/>
  <c r="A691" i="8" s="1"/>
  <c r="A692" i="8" s="1"/>
  <c r="A693" i="8" s="1"/>
  <c r="A694" i="8" s="1"/>
  <c r="A695" i="8" s="1"/>
  <c r="A696" i="8" s="1"/>
  <c r="A697" i="8" s="1"/>
  <c r="A698" i="8" s="1"/>
  <c r="A699" i="8" s="1"/>
  <c r="A700" i="8" s="1"/>
  <c r="A701" i="8" s="1"/>
  <c r="A702" i="8" s="1"/>
  <c r="A703" i="8" s="1"/>
  <c r="A704" i="8" s="1"/>
  <c r="A705" i="8" s="1"/>
  <c r="A706" i="8" s="1"/>
  <c r="A707" i="8" s="1"/>
  <c r="A708" i="8" s="1"/>
  <c r="A709" i="8" s="1"/>
  <c r="A710" i="8" s="1"/>
  <c r="A711" i="8" s="1"/>
  <c r="A712" i="8" s="1"/>
  <c r="A713" i="8" s="1"/>
  <c r="A714" i="8" s="1"/>
  <c r="A715" i="8" s="1"/>
  <c r="A716" i="8" s="1"/>
  <c r="A717" i="8" s="1"/>
  <c r="A718" i="8" s="1"/>
  <c r="A719" i="8" s="1"/>
  <c r="A720" i="8" s="1"/>
  <c r="A721" i="8" s="1"/>
  <c r="A722" i="8" s="1"/>
  <c r="A723" i="8" s="1"/>
  <c r="A724" i="8" s="1"/>
  <c r="A725" i="8" s="1"/>
  <c r="A726" i="8" s="1"/>
  <c r="A727" i="8" s="1"/>
  <c r="A728" i="8" s="1"/>
  <c r="A729" i="8" s="1"/>
  <c r="A730" i="8" s="1"/>
  <c r="A731" i="8" s="1"/>
  <c r="A732" i="8" s="1"/>
  <c r="A733" i="8" s="1"/>
  <c r="A734" i="8" s="1"/>
  <c r="A735" i="8" s="1"/>
  <c r="A736" i="8" s="1"/>
  <c r="A737" i="8" s="1"/>
  <c r="A738" i="8" s="1"/>
  <c r="A739" i="8" s="1"/>
  <c r="A740" i="8" s="1"/>
  <c r="A741" i="8" s="1"/>
  <c r="A742" i="8" s="1"/>
  <c r="A743" i="8" s="1"/>
  <c r="A744" i="8" s="1"/>
  <c r="A745" i="8" s="1"/>
  <c r="A746" i="8" s="1"/>
  <c r="A747" i="8" s="1"/>
  <c r="A748" i="8" s="1"/>
  <c r="A749" i="8" s="1"/>
  <c r="A750" i="8" s="1"/>
  <c r="A751" i="8" s="1"/>
  <c r="A752" i="8" s="1"/>
  <c r="A753" i="8" s="1"/>
  <c r="A754" i="8" s="1"/>
  <c r="A755" i="8" s="1"/>
  <c r="A756" i="8" s="1"/>
  <c r="A757" i="8" s="1"/>
  <c r="A758" i="8" s="1"/>
  <c r="A759" i="8" s="1"/>
  <c r="A760" i="8" s="1"/>
  <c r="A761" i="8" s="1"/>
  <c r="A762" i="8" s="1"/>
  <c r="A763" i="8" s="1"/>
  <c r="A764" i="8" s="1"/>
  <c r="A765" i="8" s="1"/>
  <c r="A766" i="8" s="1"/>
  <c r="A767" i="8" s="1"/>
  <c r="A768" i="8" s="1"/>
  <c r="A769" i="8" s="1"/>
  <c r="A770" i="8" s="1"/>
  <c r="A771" i="8" s="1"/>
  <c r="A772" i="8" s="1"/>
  <c r="A773" i="8" s="1"/>
  <c r="A774" i="8" s="1"/>
  <c r="A775" i="8" s="1"/>
  <c r="A776" i="8" s="1"/>
  <c r="A777" i="8" s="1"/>
  <c r="A778" i="8" s="1"/>
  <c r="A779" i="8" s="1"/>
  <c r="A780" i="8" s="1"/>
  <c r="A781" i="8" s="1"/>
  <c r="A782" i="8" s="1"/>
  <c r="A783" i="8" s="1"/>
  <c r="A784" i="8" s="1"/>
  <c r="A785" i="8" s="1"/>
  <c r="A786" i="8" s="1"/>
  <c r="A787" i="8" s="1"/>
  <c r="A788" i="8" s="1"/>
  <c r="A789" i="8" s="1"/>
  <c r="A790" i="8" s="1"/>
  <c r="A791" i="8" s="1"/>
  <c r="A792" i="8" s="1"/>
  <c r="A793" i="8" s="1"/>
  <c r="A794" i="8" s="1"/>
  <c r="A795" i="8" s="1"/>
  <c r="A796" i="8" s="1"/>
  <c r="A797" i="8" s="1"/>
  <c r="A798" i="8" s="1"/>
  <c r="A799" i="8" s="1"/>
  <c r="A800" i="8" s="1"/>
  <c r="A801" i="8" s="1"/>
  <c r="A802" i="8" s="1"/>
  <c r="A803" i="8" s="1"/>
  <c r="A804" i="8" s="1"/>
  <c r="A805" i="8" s="1"/>
  <c r="A806" i="8" s="1"/>
  <c r="A807" i="8" s="1"/>
  <c r="A808" i="8" s="1"/>
  <c r="A809" i="8" s="1"/>
  <c r="A810" i="8" s="1"/>
  <c r="A811" i="8" s="1"/>
  <c r="A812" i="8" s="1"/>
  <c r="A813" i="8" s="1"/>
  <c r="A814" i="8" s="1"/>
  <c r="A815" i="8" s="1"/>
  <c r="A816" i="8" s="1"/>
  <c r="A817" i="8" s="1"/>
  <c r="A818" i="8" s="1"/>
  <c r="A819" i="8" s="1"/>
  <c r="A820" i="8" s="1"/>
  <c r="A821" i="8" s="1"/>
  <c r="A822" i="8" s="1"/>
  <c r="A823" i="8" s="1"/>
  <c r="A824" i="8" s="1"/>
  <c r="A825" i="8" s="1"/>
  <c r="A826" i="8" s="1"/>
  <c r="A827" i="8" s="1"/>
  <c r="A828" i="8" s="1"/>
  <c r="A829" i="8" s="1"/>
  <c r="A830" i="8" s="1"/>
  <c r="A831" i="8" s="1"/>
  <c r="A832" i="8" s="1"/>
  <c r="A833" i="8" s="1"/>
  <c r="A834" i="8" s="1"/>
  <c r="A835" i="8" s="1"/>
  <c r="A836" i="8" s="1"/>
  <c r="A837" i="8" s="1"/>
  <c r="A838" i="8" s="1"/>
  <c r="A839" i="8" s="1"/>
  <c r="A840" i="8" s="1"/>
  <c r="A841" i="8" s="1"/>
  <c r="A842" i="8" s="1"/>
  <c r="A843" i="8" s="1"/>
  <c r="A844" i="8" s="1"/>
  <c r="A845" i="8" s="1"/>
  <c r="A846" i="8" s="1"/>
  <c r="A847" i="8" s="1"/>
  <c r="A848" i="8" s="1"/>
  <c r="A849" i="8" s="1"/>
  <c r="A850" i="8" s="1"/>
  <c r="A851" i="8" s="1"/>
  <c r="A852" i="8" s="1"/>
  <c r="A853" i="8" s="1"/>
  <c r="A854" i="8" s="1"/>
  <c r="A855" i="8" s="1"/>
  <c r="A856" i="8" s="1"/>
  <c r="A857" i="8" s="1"/>
  <c r="A858" i="8" s="1"/>
  <c r="A859" i="8" s="1"/>
  <c r="A860" i="8" s="1"/>
  <c r="A861" i="8" s="1"/>
  <c r="A862" i="8" s="1"/>
  <c r="A863" i="8" s="1"/>
  <c r="A864" i="8" s="1"/>
  <c r="A865" i="8" s="1"/>
  <c r="A866" i="8" s="1"/>
  <c r="A867" i="8" s="1"/>
  <c r="A868" i="8" s="1"/>
  <c r="A869" i="8" s="1"/>
  <c r="A870" i="8" s="1"/>
  <c r="A871" i="8" s="1"/>
  <c r="A872" i="8" s="1"/>
  <c r="A873" i="8" s="1"/>
  <c r="A874" i="8" s="1"/>
  <c r="A875" i="8" s="1"/>
  <c r="A876" i="8" s="1"/>
  <c r="A877" i="8" s="1"/>
  <c r="A878" i="8" s="1"/>
  <c r="A879" i="8" s="1"/>
  <c r="A880" i="8" s="1"/>
  <c r="A881" i="8" s="1"/>
  <c r="A882" i="8" s="1"/>
  <c r="A883" i="8" s="1"/>
  <c r="A884" i="8" s="1"/>
  <c r="A885" i="8" s="1"/>
  <c r="A886" i="8" s="1"/>
  <c r="A887" i="8" s="1"/>
  <c r="A888" i="8" s="1"/>
  <c r="A889" i="8" s="1"/>
  <c r="A890" i="8" s="1"/>
  <c r="A891" i="8" s="1"/>
  <c r="A892" i="8" s="1"/>
  <c r="A893" i="8" s="1"/>
  <c r="A894" i="8" s="1"/>
  <c r="A895" i="8" s="1"/>
  <c r="A896" i="8" s="1"/>
  <c r="A897" i="8" s="1"/>
  <c r="A898" i="8" s="1"/>
  <c r="A899" i="8" s="1"/>
  <c r="A900" i="8" s="1"/>
  <c r="A901" i="8" s="1"/>
  <c r="A902" i="8" s="1"/>
  <c r="A903" i="8" s="1"/>
  <c r="A904" i="8" s="1"/>
  <c r="A905" i="8" s="1"/>
  <c r="A906" i="8" s="1"/>
  <c r="A907" i="8" s="1"/>
  <c r="A908" i="8" s="1"/>
  <c r="A909" i="8" s="1"/>
  <c r="A910" i="8" s="1"/>
  <c r="A911" i="8" s="1"/>
  <c r="A912" i="8" s="1"/>
  <c r="A913" i="8" s="1"/>
  <c r="A914" i="8" s="1"/>
  <c r="A915" i="8" s="1"/>
  <c r="A916" i="8" s="1"/>
  <c r="A917" i="8" s="1"/>
  <c r="A918" i="8" s="1"/>
  <c r="A919" i="8" s="1"/>
  <c r="A920" i="8" s="1"/>
  <c r="A921" i="8" s="1"/>
  <c r="A922" i="8" s="1"/>
  <c r="A923" i="8" s="1"/>
  <c r="A924" i="8" s="1"/>
  <c r="A925" i="8" s="1"/>
  <c r="A926" i="8" s="1"/>
  <c r="A927" i="8" s="1"/>
  <c r="A928" i="8" s="1"/>
  <c r="A929" i="8" s="1"/>
  <c r="A930" i="8" s="1"/>
  <c r="A931" i="8" s="1"/>
  <c r="A932" i="8" s="1"/>
  <c r="A933" i="8" s="1"/>
  <c r="A934" i="8" s="1"/>
  <c r="A935" i="8" s="1"/>
  <c r="A936" i="8" s="1"/>
  <c r="A937" i="8" s="1"/>
  <c r="A938" i="8" s="1"/>
  <c r="A939" i="8" s="1"/>
  <c r="A940" i="8" s="1"/>
  <c r="A941" i="8" s="1"/>
  <c r="A942" i="8" s="1"/>
  <c r="A943" i="8" s="1"/>
  <c r="A944" i="8" s="1"/>
  <c r="A945" i="8" s="1"/>
  <c r="A946" i="8" s="1"/>
  <c r="A947" i="8" s="1"/>
  <c r="A948" i="8" s="1"/>
  <c r="A949" i="8" s="1"/>
  <c r="A950" i="8" s="1"/>
  <c r="A951" i="8" s="1"/>
  <c r="A952" i="8" s="1"/>
  <c r="A953" i="8" s="1"/>
  <c r="A954" i="8" s="1"/>
  <c r="A955" i="8" s="1"/>
  <c r="A956" i="8" s="1"/>
  <c r="A957" i="8" s="1"/>
  <c r="A958" i="8" s="1"/>
  <c r="A959" i="8" s="1"/>
  <c r="A960" i="8" s="1"/>
  <c r="A961" i="8" s="1"/>
  <c r="A962" i="8" s="1"/>
  <c r="A963" i="8" s="1"/>
  <c r="A964" i="8" s="1"/>
  <c r="A965" i="8" s="1"/>
  <c r="A966" i="8" s="1"/>
  <c r="A967" i="8" s="1"/>
  <c r="A968" i="8" s="1"/>
  <c r="A969" i="8" s="1"/>
  <c r="A970" i="8" s="1"/>
  <c r="A971" i="8" s="1"/>
  <c r="A972" i="8" s="1"/>
  <c r="A973" i="8" s="1"/>
  <c r="A974" i="8" s="1"/>
  <c r="A975" i="8" s="1"/>
  <c r="A976" i="8" s="1"/>
  <c r="A977" i="8" s="1"/>
  <c r="A978" i="8" s="1"/>
  <c r="A979" i="8" s="1"/>
  <c r="A980" i="8" s="1"/>
  <c r="A981" i="8" s="1"/>
  <c r="A982" i="8" s="1"/>
  <c r="A983" i="8" s="1"/>
  <c r="A984" i="8" s="1"/>
  <c r="A985" i="8" s="1"/>
  <c r="A986" i="8" s="1"/>
  <c r="A987" i="8" s="1"/>
  <c r="A988" i="8" s="1"/>
  <c r="A989" i="8" s="1"/>
  <c r="A990" i="8" s="1"/>
  <c r="A991" i="8" s="1"/>
  <c r="A992" i="8" s="1"/>
  <c r="A993" i="8" s="1"/>
  <c r="A994" i="8" s="1"/>
  <c r="A995" i="8" s="1"/>
  <c r="A996" i="8" s="1"/>
  <c r="A997" i="8" s="1"/>
  <c r="A998" i="8" s="1"/>
  <c r="A999" i="8" s="1"/>
  <c r="A1000" i="8" s="1"/>
  <c r="A1001" i="8" s="1"/>
  <c r="A1002" i="8" s="1"/>
  <c r="A1003" i="8" s="1"/>
  <c r="A1004" i="8" s="1"/>
  <c r="A1005" i="8" s="1"/>
  <c r="A1006" i="8" s="1"/>
  <c r="A1007" i="8" s="1"/>
  <c r="A1008" i="8" s="1"/>
  <c r="A1009" i="8" s="1"/>
  <c r="A1010" i="8" s="1"/>
  <c r="Z17" i="2"/>
  <c r="E6" i="8"/>
  <c r="E4" i="8"/>
  <c r="E2" i="8"/>
  <c r="AE85" i="2"/>
  <c r="AK115" i="2"/>
  <c r="AB12" i="2"/>
  <c r="AC12" i="2" s="1"/>
  <c r="AD12" i="2" s="1"/>
  <c r="Y10" i="2"/>
  <c r="Y12" i="2"/>
  <c r="C6" i="4"/>
  <c r="C7" i="4" s="1"/>
  <c r="AE99" i="2"/>
  <c r="X103" i="2"/>
  <c r="Y69" i="2"/>
  <c r="W86" i="2"/>
  <c r="X86" i="2"/>
  <c r="V86" i="2"/>
  <c r="F27" i="8" l="1"/>
  <c r="F28" i="8" s="1"/>
  <c r="E17" i="8"/>
  <c r="F31" i="8"/>
  <c r="E19" i="8"/>
  <c r="AD17" i="2"/>
  <c r="E15" i="8"/>
  <c r="E8" i="8"/>
  <c r="B10" i="8" s="1"/>
  <c r="C28" i="4"/>
  <c r="Y11" i="2"/>
  <c r="Y9" i="2" s="1"/>
  <c r="W85" i="2"/>
  <c r="X85" i="2"/>
  <c r="X87" i="2" s="1"/>
  <c r="V85" i="2"/>
  <c r="W99" i="2"/>
  <c r="X99" i="2"/>
  <c r="Y99" i="2"/>
  <c r="Z99" i="2"/>
  <c r="AA99" i="2"/>
  <c r="AB99" i="2"/>
  <c r="AC99" i="2"/>
  <c r="AD99" i="2"/>
  <c r="V99" i="2"/>
  <c r="W93" i="2"/>
  <c r="X93" i="2"/>
  <c r="Y93" i="2"/>
  <c r="V93" i="2"/>
  <c r="F32" i="8" l="1"/>
  <c r="E12" i="8"/>
  <c r="X66" i="2"/>
  <c r="W66" i="2"/>
  <c r="W71" i="2" s="1"/>
  <c r="X64" i="2"/>
  <c r="W55" i="2"/>
  <c r="Y18" i="2"/>
  <c r="Z18" i="2" s="1"/>
  <c r="Y81" i="2"/>
  <c r="F34" i="8" l="1"/>
  <c r="F35" i="8" s="1"/>
  <c r="W64" i="2"/>
  <c r="W72" i="2" s="1"/>
  <c r="W54" i="2"/>
  <c r="X71" i="2"/>
  <c r="X54" i="2"/>
  <c r="X101" i="2"/>
  <c r="V101" i="2"/>
  <c r="V103" i="2"/>
  <c r="W101" i="2"/>
  <c r="W103" i="2"/>
  <c r="X72" i="2"/>
  <c r="W73" i="2"/>
  <c r="X73" i="2"/>
  <c r="Z9" i="2"/>
  <c r="AA9" i="2" s="1"/>
  <c r="AA18" i="2" s="1"/>
  <c r="U23" i="2"/>
  <c r="V23" i="2" s="1"/>
  <c r="R23" i="2"/>
  <c r="L16" i="2"/>
  <c r="M16" i="2" s="1"/>
  <c r="N16" i="2" s="1"/>
  <c r="O16" i="2" s="1"/>
  <c r="P16" i="2" s="1"/>
  <c r="Q16" i="2" s="1"/>
  <c r="R16" i="2" s="1"/>
  <c r="S16" i="2" s="1"/>
  <c r="T16" i="2" s="1"/>
  <c r="U16" i="2" s="1"/>
  <c r="V16" i="2" s="1"/>
  <c r="W16" i="2" s="1"/>
  <c r="X16" i="2" s="1"/>
  <c r="M2" i="2"/>
  <c r="N2" i="2" s="1"/>
  <c r="O2" i="2" s="1"/>
  <c r="P2" i="2" s="1"/>
  <c r="Q2" i="2" s="1"/>
  <c r="R2" i="2" s="1"/>
  <c r="Y14" i="2"/>
  <c r="Y15" i="2"/>
  <c r="Y19" i="2"/>
  <c r="Z19" i="2" s="1"/>
  <c r="Y4" i="2"/>
  <c r="Y5" i="2"/>
  <c r="K6" i="1"/>
  <c r="K5" i="1"/>
  <c r="Y36" i="2"/>
  <c r="Y37" i="2"/>
  <c r="Z37" i="2" s="1"/>
  <c r="AA37" i="2" s="1"/>
  <c r="AB37" i="2" s="1"/>
  <c r="AC37" i="2" s="1"/>
  <c r="AD37" i="2" s="1"/>
  <c r="T49" i="2"/>
  <c r="U49" i="2"/>
  <c r="V49" i="2"/>
  <c r="S38" i="2"/>
  <c r="S39" i="2" s="1"/>
  <c r="S41" i="2" s="1"/>
  <c r="S43" i="2" s="1"/>
  <c r="S45" i="2" s="1"/>
  <c r="T38" i="2"/>
  <c r="T39" i="2" s="1"/>
  <c r="T41" i="2" s="1"/>
  <c r="T43" i="2" s="1"/>
  <c r="T45" i="2" s="1"/>
  <c r="U38" i="2"/>
  <c r="U39" i="2" s="1"/>
  <c r="U41" i="2" s="1"/>
  <c r="U43" i="2" s="1"/>
  <c r="U45" i="2" s="1"/>
  <c r="S33" i="2"/>
  <c r="T33" i="2"/>
  <c r="U33" i="2"/>
  <c r="S29" i="2"/>
  <c r="T29" i="2"/>
  <c r="U29" i="2"/>
  <c r="I37" i="2"/>
  <c r="J37" i="2" s="1"/>
  <c r="I36" i="2"/>
  <c r="J36" i="2" s="1"/>
  <c r="I35" i="2"/>
  <c r="J35" i="2" s="1"/>
  <c r="I44" i="2"/>
  <c r="J44" i="2" s="1"/>
  <c r="D38" i="2"/>
  <c r="E38" i="2"/>
  <c r="F38" i="2"/>
  <c r="G38" i="2"/>
  <c r="H38" i="2"/>
  <c r="C38" i="2"/>
  <c r="H56" i="2"/>
  <c r="H55" i="2"/>
  <c r="C54" i="2"/>
  <c r="D54" i="2"/>
  <c r="E54" i="2"/>
  <c r="F54" i="2"/>
  <c r="E33" i="2"/>
  <c r="F33" i="2"/>
  <c r="G33" i="2"/>
  <c r="G34" i="2" s="1"/>
  <c r="G51" i="2" s="1"/>
  <c r="H33" i="2"/>
  <c r="C33" i="2"/>
  <c r="D33" i="2"/>
  <c r="H29" i="2"/>
  <c r="H48" i="2" s="1"/>
  <c r="F29" i="2"/>
  <c r="E29" i="2"/>
  <c r="C29" i="2"/>
  <c r="G47" i="2" s="1"/>
  <c r="D29" i="2"/>
  <c r="W29" i="2"/>
  <c r="X29" i="2" s="1"/>
  <c r="X49" i="2"/>
  <c r="W49" i="2"/>
  <c r="X40" i="2"/>
  <c r="W40" i="2"/>
  <c r="V40" i="2"/>
  <c r="W38" i="2"/>
  <c r="X38" i="2"/>
  <c r="V38" i="2"/>
  <c r="W33" i="2"/>
  <c r="X76" i="2" s="1"/>
  <c r="X33" i="2"/>
  <c r="V33" i="2"/>
  <c r="W76" i="2" s="1"/>
  <c r="V29" i="2"/>
  <c r="G56" i="2"/>
  <c r="G55" i="2"/>
  <c r="U2" i="2"/>
  <c r="V2" i="2" s="1"/>
  <c r="W2" i="2" s="1"/>
  <c r="X2" i="2" s="1"/>
  <c r="Y2" i="2" s="1"/>
  <c r="Z2" i="2" s="1"/>
  <c r="AA2" i="2" s="1"/>
  <c r="AB2" i="2" s="1"/>
  <c r="AC2" i="2" s="1"/>
  <c r="AD2" i="2" s="1"/>
  <c r="K4" i="1"/>
  <c r="Y68" i="2" l="1"/>
  <c r="Z36" i="2"/>
  <c r="Z68" i="2" s="1"/>
  <c r="AB9" i="2"/>
  <c r="AB18" i="2" s="1"/>
  <c r="Z11" i="2"/>
  <c r="Y17" i="2"/>
  <c r="Z16" i="2" s="1"/>
  <c r="U47" i="2"/>
  <c r="Z14" i="2"/>
  <c r="Y20" i="2"/>
  <c r="Y21" i="2" s="1"/>
  <c r="T47" i="2"/>
  <c r="V47" i="2"/>
  <c r="K7" i="1"/>
  <c r="F48" i="2"/>
  <c r="C34" i="2"/>
  <c r="C51" i="2" s="1"/>
  <c r="G48" i="2"/>
  <c r="J29" i="2"/>
  <c r="J47" i="2" s="1"/>
  <c r="H47" i="2"/>
  <c r="H54" i="2"/>
  <c r="I40" i="2" s="1"/>
  <c r="I38" i="2"/>
  <c r="J38" i="2"/>
  <c r="I48" i="2"/>
  <c r="I33" i="2"/>
  <c r="I34" i="2" s="1"/>
  <c r="G39" i="2"/>
  <c r="E48" i="2"/>
  <c r="H34" i="2"/>
  <c r="F34" i="2"/>
  <c r="D48" i="2"/>
  <c r="E34" i="2"/>
  <c r="D34" i="2"/>
  <c r="I47" i="2"/>
  <c r="Y49" i="2"/>
  <c r="X75" i="2"/>
  <c r="W75" i="2"/>
  <c r="V34" i="2"/>
  <c r="V51" i="2" s="1"/>
  <c r="G54" i="2"/>
  <c r="X47" i="2"/>
  <c r="W47" i="2"/>
  <c r="Y47" i="2"/>
  <c r="Y33" i="2"/>
  <c r="X34" i="2"/>
  <c r="X51" i="2" s="1"/>
  <c r="W34" i="2"/>
  <c r="W51" i="2" s="1"/>
  <c r="AA36" i="2" l="1"/>
  <c r="Y34" i="2"/>
  <c r="Y67" i="2"/>
  <c r="AB14" i="2"/>
  <c r="AC14" i="2" s="1"/>
  <c r="AD14" i="2" s="1"/>
  <c r="AA11" i="2"/>
  <c r="Z7" i="2"/>
  <c r="Z8" i="2" s="1"/>
  <c r="AC9" i="2"/>
  <c r="AC18" i="2" s="1"/>
  <c r="Z20" i="2"/>
  <c r="Z21" i="2" s="1"/>
  <c r="AA21" i="2" s="1"/>
  <c r="AB21" i="2" s="1"/>
  <c r="AC21" i="2" s="1"/>
  <c r="AD21" i="2" s="1"/>
  <c r="Y16" i="2"/>
  <c r="Y8" i="2" s="1"/>
  <c r="Z24" i="2"/>
  <c r="J48" i="2"/>
  <c r="C39" i="2"/>
  <c r="C41" i="2" s="1"/>
  <c r="C43" i="2" s="1"/>
  <c r="C45" i="2" s="1"/>
  <c r="I39" i="2"/>
  <c r="I41" i="2" s="1"/>
  <c r="I42" i="2" s="1"/>
  <c r="I43" i="2" s="1"/>
  <c r="I54" i="2" s="1"/>
  <c r="J33" i="2"/>
  <c r="J34" i="2" s="1"/>
  <c r="J39" i="2" s="1"/>
  <c r="J52" i="2" s="1"/>
  <c r="E51" i="2"/>
  <c r="E39" i="2"/>
  <c r="D51" i="2"/>
  <c r="D39" i="2"/>
  <c r="F51" i="2"/>
  <c r="F39" i="2"/>
  <c r="G52" i="2"/>
  <c r="G41" i="2"/>
  <c r="G43" i="2" s="1"/>
  <c r="G45" i="2" s="1"/>
  <c r="K8" i="1" s="1"/>
  <c r="H51" i="2"/>
  <c r="H39" i="2"/>
  <c r="V39" i="2"/>
  <c r="V41" i="2" s="1"/>
  <c r="Y35" i="2"/>
  <c r="Y38" i="2" s="1"/>
  <c r="Y83" i="2"/>
  <c r="Y82" i="2"/>
  <c r="Y80" i="2"/>
  <c r="Y84" i="2"/>
  <c r="W39" i="2"/>
  <c r="X39" i="2"/>
  <c r="Y76" i="2" l="1"/>
  <c r="Y85" i="2"/>
  <c r="Y87" i="2" s="1"/>
  <c r="AA68" i="2"/>
  <c r="AB36" i="2"/>
  <c r="Z29" i="2"/>
  <c r="Z80" i="2" s="1"/>
  <c r="AD9" i="2"/>
  <c r="AD18" i="2" s="1"/>
  <c r="C52" i="2"/>
  <c r="AA17" i="2"/>
  <c r="AA7" i="2"/>
  <c r="I52" i="2"/>
  <c r="Z33" i="2"/>
  <c r="Z47" i="2"/>
  <c r="H52" i="2"/>
  <c r="H41" i="2"/>
  <c r="H43" i="2" s="1"/>
  <c r="H45" i="2" s="1"/>
  <c r="F41" i="2"/>
  <c r="F43" i="2" s="1"/>
  <c r="F45" i="2" s="1"/>
  <c r="F52" i="2"/>
  <c r="D41" i="2"/>
  <c r="D43" i="2" s="1"/>
  <c r="D45" i="2" s="1"/>
  <c r="D52" i="2"/>
  <c r="E41" i="2"/>
  <c r="E43" i="2" s="1"/>
  <c r="E45" i="2" s="1"/>
  <c r="E52" i="2"/>
  <c r="I45" i="2"/>
  <c r="J40" i="2"/>
  <c r="V52" i="2"/>
  <c r="W41" i="2"/>
  <c r="W43" i="2" s="1"/>
  <c r="W52" i="2"/>
  <c r="V43" i="2"/>
  <c r="X41" i="2"/>
  <c r="X52" i="2"/>
  <c r="Z34" i="2" l="1"/>
  <c r="Z38" i="2" s="1"/>
  <c r="Z67" i="2"/>
  <c r="Z76" i="2" s="1"/>
  <c r="AC36" i="2"/>
  <c r="AB68" i="2"/>
  <c r="Z89" i="2"/>
  <c r="Z93" i="2" s="1"/>
  <c r="Z69" i="2"/>
  <c r="Z85" i="2" s="1"/>
  <c r="AB17" i="2"/>
  <c r="AB16" i="2" s="1"/>
  <c r="AB7" i="2"/>
  <c r="AA16" i="2"/>
  <c r="J41" i="2"/>
  <c r="J42" i="2" s="1"/>
  <c r="J43" i="2" s="1"/>
  <c r="Y40" i="2"/>
  <c r="X43" i="2"/>
  <c r="X45" i="2" s="1"/>
  <c r="V45" i="2"/>
  <c r="V78" i="2"/>
  <c r="W45" i="2"/>
  <c r="W78" i="2"/>
  <c r="Z39" i="2"/>
  <c r="Z52" i="2" s="1"/>
  <c r="Z87" i="2" l="1"/>
  <c r="AD36" i="2"/>
  <c r="AD68" i="2" s="1"/>
  <c r="AC68" i="2"/>
  <c r="AC17" i="2"/>
  <c r="AC7" i="2"/>
  <c r="AB29" i="2"/>
  <c r="AB80" i="2" s="1"/>
  <c r="AB8" i="2"/>
  <c r="AA29" i="2"/>
  <c r="AA80" i="2" s="1"/>
  <c r="AA8" i="2"/>
  <c r="AC16" i="2"/>
  <c r="AC8" i="2" s="1"/>
  <c r="X78" i="2"/>
  <c r="J45" i="2"/>
  <c r="J54" i="2"/>
  <c r="Y54" i="2" s="1"/>
  <c r="AB33" i="2" l="1"/>
  <c r="AB34" i="2" s="1"/>
  <c r="AB38" i="2" s="1"/>
  <c r="AB47" i="2"/>
  <c r="AA69" i="2"/>
  <c r="AB89" i="2"/>
  <c r="AB93" i="2" s="1"/>
  <c r="AB69" i="2"/>
  <c r="AD16" i="2"/>
  <c r="AD7" i="2"/>
  <c r="AC29" i="2"/>
  <c r="AC47" i="2" s="1"/>
  <c r="AA47" i="2"/>
  <c r="AA89" i="2"/>
  <c r="AA93" i="2" s="1"/>
  <c r="AA33" i="2"/>
  <c r="Z40" i="2"/>
  <c r="Z41" i="2" s="1"/>
  <c r="Z42" i="2" s="1"/>
  <c r="AB67" i="2" l="1"/>
  <c r="AB85" i="2" s="1"/>
  <c r="AC33" i="2"/>
  <c r="AC89" i="2"/>
  <c r="AC93" i="2" s="1"/>
  <c r="AC69" i="2"/>
  <c r="AC80" i="2"/>
  <c r="AA34" i="2"/>
  <c r="AA38" i="2" s="1"/>
  <c r="AA39" i="2" s="1"/>
  <c r="AA52" i="2" s="1"/>
  <c r="AA67" i="2"/>
  <c r="AA76" i="2" s="1"/>
  <c r="AB76" i="2"/>
  <c r="AC34" i="2"/>
  <c r="AC38" i="2" s="1"/>
  <c r="AC67" i="2"/>
  <c r="AC76" i="2" s="1"/>
  <c r="AD8" i="2"/>
  <c r="AD29" i="2"/>
  <c r="Z43" i="2"/>
  <c r="Z78" i="2" s="1"/>
  <c r="Z86" i="2" s="1"/>
  <c r="Z103" i="2" s="1"/>
  <c r="AB39" i="2"/>
  <c r="AB52" i="2" s="1"/>
  <c r="AA85" i="2" l="1"/>
  <c r="AA87" i="2" s="1"/>
  <c r="AC39" i="2"/>
  <c r="AC52" i="2" s="1"/>
  <c r="AC85" i="2"/>
  <c r="AC87" i="2" s="1"/>
  <c r="AD69" i="2"/>
  <c r="AE29" i="2"/>
  <c r="AE80" i="2" s="1"/>
  <c r="AE89" i="2" s="1"/>
  <c r="AE93" i="2" s="1"/>
  <c r="AD80" i="2"/>
  <c r="AD89" i="2"/>
  <c r="AD33" i="2"/>
  <c r="AD47" i="2"/>
  <c r="Z54" i="2"/>
  <c r="AA40" i="2" s="1"/>
  <c r="AA41" i="2" s="1"/>
  <c r="AA42" i="2" s="1"/>
  <c r="Z45" i="2"/>
  <c r="AB87" i="2" l="1"/>
  <c r="AD93" i="2"/>
  <c r="AD34" i="2"/>
  <c r="AD67" i="2"/>
  <c r="Z101" i="2"/>
  <c r="AA43" i="2"/>
  <c r="AA78" i="2" s="1"/>
  <c r="AA86" i="2" s="1"/>
  <c r="AA103" i="2" s="1"/>
  <c r="AA101" i="2" l="1"/>
  <c r="AD76" i="2"/>
  <c r="AD85" i="2"/>
  <c r="AD87" i="2" s="1"/>
  <c r="AD38" i="2"/>
  <c r="AD39" i="2" s="1"/>
  <c r="AA54" i="2"/>
  <c r="AB40" i="2" s="1"/>
  <c r="AB41" i="2" s="1"/>
  <c r="AB42" i="2" s="1"/>
  <c r="AA45" i="2"/>
  <c r="AD52" i="2" l="1"/>
  <c r="AE39" i="2"/>
  <c r="AE41" i="2" s="1"/>
  <c r="AE42" i="2" s="1"/>
  <c r="AE43" i="2" s="1"/>
  <c r="AE78" i="2" s="1"/>
  <c r="AE86" i="2" s="1"/>
  <c r="AB43" i="2"/>
  <c r="AE103" i="2" l="1"/>
  <c r="AF103" i="2" s="1"/>
  <c r="AE101" i="2"/>
  <c r="AB78" i="2"/>
  <c r="AB86" i="2" s="1"/>
  <c r="AB103" i="2" s="1"/>
  <c r="AB54" i="2"/>
  <c r="AC40" i="2" s="1"/>
  <c r="AC41" i="2" s="1"/>
  <c r="AC42" i="2" s="1"/>
  <c r="AB45" i="2"/>
  <c r="AC43" i="2" l="1"/>
  <c r="AB101" i="2" l="1"/>
  <c r="AC78" i="2"/>
  <c r="AC86" i="2" s="1"/>
  <c r="AC103" i="2" s="1"/>
  <c r="AC45" i="2"/>
  <c r="AC54" i="2"/>
  <c r="AD40" i="2" l="1"/>
  <c r="AD41" i="2" s="1"/>
  <c r="AD42" i="2" s="1"/>
  <c r="AC101" i="2" l="1"/>
  <c r="AD43" i="2"/>
  <c r="AD78" i="2" l="1"/>
  <c r="AD86" i="2" s="1"/>
  <c r="AD103" i="2" s="1"/>
  <c r="AD45" i="2"/>
  <c r="AD54" i="2"/>
  <c r="AG103" i="2" l="1"/>
  <c r="AH103" i="2" s="1"/>
  <c r="AI103" i="2" s="1"/>
  <c r="AJ103" i="2" s="1"/>
  <c r="AK103" i="2" s="1"/>
  <c r="AL103" i="2" s="1"/>
  <c r="AM103" i="2" s="1"/>
  <c r="AN103" i="2" s="1"/>
  <c r="AO103" i="2" s="1"/>
  <c r="AP103" i="2" s="1"/>
  <c r="AQ103" i="2" s="1"/>
  <c r="AR103" i="2" s="1"/>
  <c r="AS103" i="2" s="1"/>
  <c r="AT103" i="2" s="1"/>
  <c r="AU103" i="2" s="1"/>
  <c r="AV103" i="2" s="1"/>
  <c r="AW103" i="2" s="1"/>
  <c r="AX103" i="2" s="1"/>
  <c r="AY103" i="2" s="1"/>
  <c r="AZ103" i="2" s="1"/>
  <c r="BA103" i="2" s="1"/>
  <c r="BB103" i="2" s="1"/>
  <c r="BC103" i="2" s="1"/>
  <c r="BD103" i="2" s="1"/>
  <c r="BE103" i="2" s="1"/>
  <c r="BF103" i="2" s="1"/>
  <c r="BG103" i="2" s="1"/>
  <c r="BH103" i="2" s="1"/>
  <c r="BI103" i="2" s="1"/>
  <c r="BJ103" i="2" s="1"/>
  <c r="BK103" i="2" s="1"/>
  <c r="BL103" i="2" s="1"/>
  <c r="BM103" i="2" s="1"/>
  <c r="BN103" i="2" s="1"/>
  <c r="BO103" i="2" s="1"/>
  <c r="BP103" i="2" s="1"/>
  <c r="BQ103" i="2" s="1"/>
  <c r="BR103" i="2" s="1"/>
  <c r="BS103" i="2" s="1"/>
  <c r="BT103" i="2" s="1"/>
  <c r="BU103" i="2" s="1"/>
  <c r="BV103" i="2" s="1"/>
  <c r="BW103" i="2" s="1"/>
  <c r="BX103" i="2" s="1"/>
  <c r="BY103" i="2" s="1"/>
  <c r="BZ103" i="2" s="1"/>
  <c r="CA103" i="2" s="1"/>
  <c r="CB103" i="2" s="1"/>
  <c r="CC103" i="2" s="1"/>
  <c r="CD103" i="2" s="1"/>
  <c r="CE103" i="2" s="1"/>
  <c r="CF103" i="2" s="1"/>
  <c r="CG103" i="2" s="1"/>
  <c r="CH103" i="2" s="1"/>
  <c r="CI103" i="2" s="1"/>
  <c r="CJ103" i="2" s="1"/>
  <c r="CK103" i="2" s="1"/>
  <c r="CL103" i="2" s="1"/>
  <c r="CM103" i="2" s="1"/>
  <c r="CN103" i="2" s="1"/>
  <c r="CO103" i="2" s="1"/>
  <c r="CP103" i="2" s="1"/>
  <c r="CQ103" i="2" s="1"/>
  <c r="CR103" i="2" s="1"/>
  <c r="CS103" i="2" s="1"/>
  <c r="CT103" i="2" s="1"/>
  <c r="CU103" i="2" s="1"/>
  <c r="CV103" i="2" s="1"/>
  <c r="CW103" i="2" s="1"/>
  <c r="CX103" i="2" s="1"/>
  <c r="CY103" i="2" s="1"/>
  <c r="CZ103" i="2" s="1"/>
  <c r="DA103" i="2" s="1"/>
  <c r="DB103" i="2" s="1"/>
  <c r="DC103" i="2" s="1"/>
  <c r="DD103" i="2" s="1"/>
  <c r="DE103" i="2" s="1"/>
  <c r="DF103" i="2" s="1"/>
  <c r="DG103" i="2" s="1"/>
  <c r="DH103" i="2" s="1"/>
  <c r="DI103" i="2" s="1"/>
  <c r="AD101" i="2"/>
  <c r="Y39" i="2"/>
  <c r="Y52" i="2" s="1"/>
  <c r="AG105" i="2" l="1"/>
  <c r="AH98" i="2"/>
  <c r="Y41" i="2"/>
  <c r="Y43" i="2" s="1"/>
  <c r="Y45" i="2" s="1"/>
  <c r="Y78" i="2"/>
  <c r="Y86" i="2" s="1"/>
  <c r="Y103" i="2" s="1"/>
  <c r="AH99" i="2" l="1"/>
  <c r="Y101" i="2"/>
  <c r="AH100" i="2" l="1"/>
  <c r="E18" i="8"/>
  <c r="E16" i="8"/>
  <c r="E2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tc={47EEF720-4C0B-45BB-8636-3C393FD966F1}</author>
    <author>tc={A1AC085D-6825-4B37-8D01-4B2B2237006B}</author>
    <author>tc={94532EAC-8F13-4889-AAA0-70FC0C11077E}</author>
    <author>tc={579D2475-8567-4E48-BB9B-9F5FA93F9BAE}</author>
    <author>tc={0C8D69BF-FC7E-49A8-9710-5453D28F245F}</author>
    <author>tc={039CF15E-A2F2-4AB9-BED3-79C4EA0446D8}</author>
    <author>tc={8DBC8CD6-1AF2-4E50-B99B-EDC1B76D28A6}</author>
    <author>tc={F007FFDD-AFCC-4115-9860-68DC6499D0AF}</author>
  </authors>
  <commentList>
    <comment ref="AA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9" authorId="1"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A9" authorId="2"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A10" authorId="3"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11" authorId="4"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A11" authorId="5"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A12" authorId="6"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A14" authorId="7" shapeId="0" xr:uid="{47EEF720-4C0B-45BB-8636-3C393FD966F1}">
      <text>
        <t>[Threaded comment]
Your version of Excel allows you to read this threaded comment; however, any edits to it will get removed if the file is opened in a newer version of Excel. Learn more: https://go.microsoft.com/fwlink/?linkid=870924
Comment:
    Not assumed a 50% drop as the others, currently 25% drop due to the nature of the software -&gt; more ai compute being used, more storage and use of enterprise systems. Even though still less due to less people.</t>
      </text>
    </comment>
    <comment ref="X15" authorId="8"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Y16" authorId="9" shapeId="0" xr:uid="{94532EAC-8F13-4889-AAA0-70FC0C11077E}">
      <text>
        <t>[Threaded comment]
Your version of Excel allows you to read this threaded comment; however, any edits to it will get removed if the file is opened in a newer version of Excel. Learn more: https://go.microsoft.com/fwlink/?linkid=870924
Comment:
    Seperated out from creative&amp;marketing using previous q424 segements to estimate current creative cloud only vs marketing only</t>
      </text>
    </comment>
    <comment ref="Z29" authorId="10"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Z38" authorId="11"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Z67" authorId="12"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Z68" authorId="13"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Z69" authorId="14"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List>
</comments>
</file>

<file path=xl/sharedStrings.xml><?xml version="1.0" encoding="utf-8"?>
<sst xmlns="http://schemas.openxmlformats.org/spreadsheetml/2006/main" count="270" uniqueCount="242">
  <si>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</si>
  <si>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</si>
  <si>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</si>
  <si>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</si>
  <si>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</si>
  <si>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</si>
  <si>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</si>
  <si>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</si>
  <si>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</si>
  <si>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</si>
  <si>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</si>
  <si>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</si>
  <si>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</si>
  <si>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</si>
  <si>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</si>
  <si>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</si>
  <si>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</si>
  <si>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</si>
  <si>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</si>
  <si>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</si>
  <si>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</si>
  <si>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</si>
  <si>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</si>
  <si>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</si>
  <si>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</si>
  <si>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</si>
  <si>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</si>
  <si>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</si>
  <si>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</si>
  <si>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</si>
  <si>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</si>
  <si>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</si>
  <si>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</si>
  <si>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</si>
  <si>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</si>
  <si>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</si>
  <si>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</si>
  <si>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</si>
  <si>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</si>
  <si>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</si>
  <si>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</si>
  <si>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</si>
  <si>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</si>
  <si>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</si>
  <si>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</si>
  <si>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</si>
  <si>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</si>
  <si>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</si>
  <si>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</si>
  <si>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</si>
  <si>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</si>
  <si>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</si>
  <si>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</si>
  <si>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</si>
  <si>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</si>
  <si>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</si>
  <si>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</si>
  <si>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</si>
  <si>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</si>
  <si>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</si>
  <si>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</si>
  <si>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</si>
  <si>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Industry: High growth rate</t>
  </si>
  <si>
    <t>Management Quality:</t>
  </si>
  <si>
    <t>Innovation:</t>
  </si>
  <si>
    <t>Art/visual media is highly elastic meaning more producivity will in the long run lead to a higher consumption/ growth rate.</t>
  </si>
  <si>
    <t>Jevon's Paradox</t>
  </si>
  <si>
    <t>https://doi.org/10.1093/pnasnexus/pgae052</t>
  </si>
  <si>
    <t>Creative &amp; Marketing</t>
  </si>
  <si>
    <t>Business &amp; Consumers</t>
  </si>
  <si>
    <t>ARR (measured end of year)</t>
  </si>
  <si>
    <t>Marketing (AEP, AEM)</t>
  </si>
  <si>
    <t>Creators &amp; Creative (Creative Cloud)</t>
  </si>
  <si>
    <t>Business &amp; Consumers (Acrobat, Express)</t>
  </si>
  <si>
    <t>Creative Cloud</t>
  </si>
  <si>
    <t>Acrobat</t>
  </si>
  <si>
    <t>Consumer Creative</t>
  </si>
  <si>
    <t>Acrobat+Consumer</t>
  </si>
  <si>
    <t>Consumer</t>
  </si>
  <si>
    <t>They need the juniors to train for the next generation of lead artists</t>
  </si>
  <si>
    <t>They also need to execute the concept well and add their own ideas to help refine the concept</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</si>
  <si>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</si>
  <si>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</si>
  <si>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</si>
  <si>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</si>
  <si>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</si>
  <si>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</si>
  <si>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</si>
  <si>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</si>
  <si>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</si>
  <si>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</si>
  <si>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</si>
  <si>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</si>
  <si>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</si>
  <si>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</si>
  <si>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</si>
  <si>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</si>
  <si>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</si>
  <si>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</si>
  <si>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</si>
  <si>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</si>
  <si>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</si>
  <si>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</si>
  <si>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</si>
  <si>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</si>
  <si>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</si>
  <si>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</si>
  <si>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</si>
  <si>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</si>
  <si>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</si>
  <si>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</si>
  <si>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</si>
  <si>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</si>
  <si>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</si>
  <si>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DPO</t>
  </si>
  <si>
    <t>CIWC</t>
  </si>
  <si>
    <t>T</t>
  </si>
  <si>
    <t>180x+720y=10638</t>
  </si>
  <si>
    <t>180x+720(40-x)=10638</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</si>
  <si>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</si>
  <si>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</si>
  <si>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</si>
  <si>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</si>
  <si>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</si>
  <si>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</si>
  <si>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</si>
  <si>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</si>
  <si>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</si>
  <si>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</si>
  <si>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</si>
  <si>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</si>
  <si>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</si>
  <si>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</si>
  <si>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</si>
  <si>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Limits:</t>
  </si>
  <si>
    <t>as Enterprise Seats -&gt; 0; Non-Ent ARPU -&gt; 22.1625⁻</t>
  </si>
  <si>
    <t>as Non-Ent Seats -&gt; 0; Ent ARPU -&gt; 22.1625⁺</t>
  </si>
  <si>
    <t>Ent-ARPU cannot be less than 22.1625</t>
  </si>
  <si>
    <t>Non-Ent ARPU cannot be greater than 22.1625</t>
  </si>
  <si>
    <t>Ent ARPU</t>
  </si>
  <si>
    <t>NonENT ARPU</t>
  </si>
  <si>
    <t>Sensitivity Analysis; End Value = ENT Revenue</t>
  </si>
  <si>
    <t>Takeaways:</t>
  </si>
  <si>
    <t>25% of rev</t>
  </si>
  <si>
    <t>46% of rev</t>
  </si>
  <si>
    <t>15% of rev</t>
  </si>
  <si>
    <t>14% of rev</t>
  </si>
  <si>
    <t xml:space="preserve"> CC Enterprise</t>
  </si>
  <si>
    <t xml:space="preserve"> CC NonEnt</t>
  </si>
  <si>
    <t>43% of CC</t>
  </si>
  <si>
    <t>57% of CC</t>
  </si>
  <si>
    <t>Enterprise Software/ Marketing</t>
  </si>
  <si>
    <t>Random Notes:</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</si>
  <si>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</si>
  <si>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</si>
  <si>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</si>
  <si>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</si>
  <si>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</si>
  <si>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Notes:</t>
  </si>
  <si>
    <t>Current Opinion:</t>
  </si>
  <si>
    <t>Adobe's future is highly dependent on the mangement's execution and if Jevon's Paradox will accelerate growth after seat diminishment</t>
  </si>
  <si>
    <t>Firefly: Adobe's AI Suite</t>
  </si>
  <si>
    <t>Creative Cloud: Digital Art, Visual Media, Digital Editing, etc. Suite of tools package</t>
  </si>
  <si>
    <t>AEP, AEM: Adobe's Enterprise Software</t>
  </si>
  <si>
    <t>Firefly trained on images Adobe had the legal right to train on; Most AI models are trained on data skimmed from the internet</t>
  </si>
  <si>
    <t>The key drivers are: Enterprise Firefly adoption, AI generated content legality, Jevon's Paradox increasing industry adoption of tools, and Firefly/Adobe's GenAI ability to raise ARPU through increased use of gen tokens.</t>
  </si>
  <si>
    <t>Acrobat: Industry Standard Document Tool</t>
  </si>
  <si>
    <t>Explainations of The Main Assumptions:</t>
  </si>
  <si>
    <t>CC Enterprise Revenue drops 50% due to 50% seat reduction from a 100% increase in productivity from AI tools.</t>
  </si>
  <si>
    <t>CC Non-Enterprise Revenue &amp; ARPU is basically unchanged due to the elasticity of Digital Art/Visual Media jobs in non-corporate settings. This assumption is very conservative as GenAI and producitvity could lead to a lot higher adoption rate.</t>
  </si>
  <si>
    <t>AEP, AEM Revenue drops 25% to be conservative for less enterprise software seats even though more generated content could provide somewhat of a protection for these contracts.</t>
  </si>
  <si>
    <t>Acrobat Revenue grows at a normal rate, industry standard tool not likely to be changed.</t>
  </si>
  <si>
    <t>CC Enterprise and Non-Enterprise was reconstructed through some logic explained in the CC Model and sensitivity tested where the max limit in both directions would only result in a &lt;30% difference in calculated share price</t>
  </si>
  <si>
    <t>CC Enterprise ARPU grows 65% due to GenAI tokens and its ability to replace employees. This could be a key driver if GenAI legality becomes more questionable. 65% is also very conservative if you take into account that I am modeling this tool replaceing half of workers, Adobe could easily justify 200% or more depending on execution and market dynamics. This is also not sensitive at all and only really changes the share price drastically at a very large increase in ARPU.</t>
  </si>
  <si>
    <t>Base Case: Firefly gets some adoption in enterprise clients and enterprise seats get drastically cut. The stock remains relatively unchanged around 300</t>
  </si>
  <si>
    <t>Bear Case: Jevon's Paradox never kicks in, enterprise clients don’t adopt firefly, and even non enterprise seats are cut. Drop to around the low 200s</t>
  </si>
  <si>
    <t>ARPU Sensitivity Analysis</t>
  </si>
  <si>
    <t>Firefly?</t>
  </si>
  <si>
    <t>Adobe GenAI seat reduction fears stock collapses ~40%</t>
  </si>
  <si>
    <t>ENT ARPU</t>
  </si>
  <si>
    <t>Percent Change In Share Price NPV as Discount Rate and Enterprise ARPU Exit Rate Change</t>
  </si>
  <si>
    <t>Todo:</t>
  </si>
  <si>
    <t xml:space="preserve"> Channel Checks &amp; Literature Review for</t>
  </si>
  <si>
    <t xml:space="preserve"> better/verified number assumptions</t>
  </si>
  <si>
    <t xml:space="preserve"> Management Research &amp; Company History</t>
  </si>
  <si>
    <t xml:space="preserve"> Conference Calls &amp; Q&amp;A Indepth</t>
  </si>
  <si>
    <t>Adobe Firefly Enterprise: 200/mo without special pricing</t>
  </si>
  <si>
    <t>Creative Cloud Enterprise: 100/mo without special pricing</t>
  </si>
  <si>
    <t>Creative Cloud: 70/mo without special pricing, individual apps ~20/mo, schools 35/mo</t>
  </si>
  <si>
    <t>Bull Case: Adobe's management executes Firefly well and GenAI legality increases Firefly adoption among enterprise clients and allows them to drastically raise ARPU through the cost savings of increased productivity and less seats and Jevon's Paradox helps regain some seats. Depending on market dynamics it could raise the price from 350-400+</t>
  </si>
  <si>
    <t xml:space="preserve"> Questions for Mangement</t>
  </si>
  <si>
    <t>If it was very likely that due to GenAI regulations most models like OpenAI cant be used for commerical GenAI due to their training</t>
  </si>
  <si>
    <t>If enterprises start getting a lot of firefly licenses or firefly use rockets</t>
  </si>
  <si>
    <t>If companies don’t replace as many jobs/licenses because AI isnt as effective as it seems</t>
  </si>
  <si>
    <t>Things that would make the stock bullish:</t>
  </si>
  <si>
    <t>If Jevon's Paradox increases adoption heavily</t>
  </si>
  <si>
    <t xml:space="preserve"> GenAI current legality and future</t>
  </si>
  <si>
    <t xml:space="preserve"> Jevon's Paradox AI research/figures</t>
  </si>
  <si>
    <t>GenAI:</t>
  </si>
  <si>
    <t>Jevon's Paradox:</t>
  </si>
  <si>
    <t>SaaSpocalyse:</t>
  </si>
  <si>
    <t>For Creative Cloud companies cannot replace junior artists and let the lead/concept artists work their ideas (non enterprise)</t>
  </si>
  <si>
    <t>Moat: Barrier to entry -&gt; complex software refined industry standard many functions and large suite providing the best bargain for a lot of tools; User switching cost -&gt; takes time to learn the tools and long standing company provides updates and longevity users want to not want to learn new tools;</t>
  </si>
  <si>
    <t>Adobe is slightly undervalued with conservative values. Not undervalued enough to be a buy. Potential to grow back to previous highs if mangement executes firefly really well and jevon's paradox accelerates growth.</t>
  </si>
  <si>
    <t>If NonENT  ARPU avg is &lt;= 10 then ADBE is worth slightly more</t>
  </si>
  <si>
    <t>If NonENT ARPU avg is &gt;=20 ADBE is worth slightly less</t>
  </si>
  <si>
    <t>Mean ARPU</t>
  </si>
  <si>
    <t>SD ARPU</t>
  </si>
  <si>
    <t>Mean Growth</t>
  </si>
  <si>
    <t>SD Growth</t>
  </si>
  <si>
    <t>Mean ENT Seats</t>
  </si>
  <si>
    <t>SD ENT Seats</t>
  </si>
  <si>
    <t>a</t>
  </si>
  <si>
    <t>nonEnt Rev</t>
  </si>
  <si>
    <t>Share Price</t>
  </si>
  <si>
    <t>1000 iterations average</t>
  </si>
  <si>
    <t>Multiple</t>
  </si>
  <si>
    <t>ENT Revenue</t>
  </si>
  <si>
    <t>Bottom 25% Price</t>
  </si>
  <si>
    <t>Top 25% Price</t>
  </si>
  <si>
    <t>Diff</t>
  </si>
  <si>
    <t>Add covariance to show correlation between ARPU and Seats instead of complete randomness</t>
  </si>
  <si>
    <t>Add limits to remove numbers that cannot occur such as negative seats</t>
  </si>
  <si>
    <t>Optimal Portfolio Allocation</t>
  </si>
  <si>
    <t>WinRate</t>
  </si>
  <si>
    <t>LossRate</t>
  </si>
  <si>
    <t>W/L Ratio</t>
  </si>
  <si>
    <t xml:space="preserve">Avg Win </t>
  </si>
  <si>
    <t xml:space="preserve">Avg Loss </t>
  </si>
  <si>
    <t>Optimal Kelly Allocation</t>
  </si>
  <si>
    <t>Half-Kelly</t>
  </si>
  <si>
    <t>Rethink the simulation or add a margin of safety on top of it to account for assumed revenues non included in the simulation</t>
  </si>
  <si>
    <t>Go over SDs and Means used</t>
  </si>
  <si>
    <t>DOI</t>
  </si>
  <si>
    <t>Title</t>
  </si>
  <si>
    <t>Description</t>
  </si>
  <si>
    <t>Question</t>
  </si>
  <si>
    <t>Answer</t>
  </si>
  <si>
    <t>Date</t>
  </si>
  <si>
    <t>Interviewee</t>
  </si>
  <si>
    <t>&lt;- including 30% MoS to be a win</t>
  </si>
  <si>
    <t>not a good long @262, was a long &lt;=245 allocating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</si>
</sst>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164" formatCode="0.0%"/>
    <numFmt numFmtId="169" formatCode="m/d;@"/>
  </numFmts>
  <fonts count="23"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18" fillId="0" borderId="0" applyNumberFormat="0" applyFill="0" applyBorder="0" applyAlignment="0" applyProtection="0"/>
    <xf numFmtId="0" fontId="5" fillId="0" borderId="0"/>
    <xf numFmtId="0" fontId="20" fillId="0" borderId="0" applyNumberFormat="0" applyFill="0" applyBorder="0" applyAlignment="0" applyProtection="0"/>
  </cellStyleXfs>
  <cellXfs count="47">
    <xf numFmtId="0" fontId="0" fillId="0" borderId="0" xfId="0"/>
    <xf numFmtId="0" fontId="19" fillId="0" borderId="0" xfId="0" applyFont="1"/>
    <xf numFmtId="0" fontId="17" fillId="0" borderId="0" xfId="0" applyFont="1"/>
    <xf numFmtId="4" fontId="17" fillId="0" borderId="0" xfId="0" applyNumberFormat="1" applyFont="1"/>
    <xf numFmtId="3" fontId="17" fillId="0" borderId="0" xfId="0" applyNumberFormat="1" applyFont="1"/>
    <xf numFmtId="3" fontId="20" fillId="0" borderId="0" xfId="1" applyNumberFormat="1" applyFont="1"/>
    <xf numFmtId="3" fontId="16" fillId="0" borderId="0" xfId="0" applyNumberFormat="1" applyFont="1"/>
    <xf numFmtId="0" fontId="16" fillId="0" borderId="0" xfId="0" applyFont="1"/>
    <xf numFmtId="1" fontId="16" fillId="0" borderId="0" xfId="0" applyNumberFormat="1" applyFont="1"/>
    <xf numFmtId="4" fontId="16" fillId="0" borderId="0" xfId="0" applyNumberFormat="1" applyFont="1"/>
    <xf numFmtId="3" fontId="19" fillId="0" borderId="0" xfId="0" applyNumberFormat="1" applyFont="1"/>
    <xf numFmtId="10" fontId="16" fillId="0" borderId="0" xfId="0" applyNumberFormat="1" applyFont="1"/>
    <xf numFmtId="9" fontId="19" fillId="0" borderId="0" xfId="0" applyNumberFormat="1" applyFont="1"/>
    <xf numFmtId="164" fontId="19" fillId="0" borderId="0" xfId="0" applyNumberFormat="1" applyFont="1"/>
    <xf numFmtId="9" fontId="16" fillId="0" borderId="0" xfId="0" applyNumberFormat="1" applyFont="1"/>
    <xf numFmtId="164" fontId="16" fillId="0" borderId="0" xfId="0" applyNumberFormat="1" applyFont="1"/>
    <xf numFmtId="3" fontId="15" fillId="0" borderId="0" xfId="0" applyNumberFormat="1" applyFont="1"/>
    <xf numFmtId="0" fontId="14" fillId="0" borderId="0" xfId="0" applyFont="1"/>
    <xf numFmtId="3" fontId="14" fillId="0" borderId="0" xfId="0" applyNumberFormat="1" applyFont="1"/>
    <xf numFmtId="3" fontId="13" fillId="0" borderId="0" xfId="0" applyNumberFormat="1" applyFont="1"/>
    <xf numFmtId="3" fontId="12" fillId="0" borderId="0" xfId="0" applyNumberFormat="1" applyFont="1"/>
    <xf numFmtId="0" fontId="11" fillId="0" borderId="0" xfId="0" applyFont="1"/>
    <xf numFmtId="3" fontId="11" fillId="0" borderId="0" xfId="0" applyNumberFormat="1" applyFont="1"/>
    <xf numFmtId="0" fontId="10" fillId="0" borderId="0" xfId="0" applyFont="1"/>
    <xf numFmtId="0" fontId="9" fillId="0" borderId="0" xfId="0" applyFont="1"/>
    <xf numFmtId="0" fontId="8" fillId="0" borderId="0" xfId="0" applyFont="1"/>
    <xf numFmtId="3" fontId="7" fillId="0" borderId="0" xfId="0" applyNumberFormat="1" applyFont="1"/>
    <xf numFmtId="0" fontId="7" fillId="0" borderId="0" xfId="0" applyFont="1"/>
    <xf numFmtId="1" fontId="19" fillId="0" borderId="0" xfId="0" applyNumberFormat="1" applyFont="1"/>
    <xf numFmtId="0" fontId="6" fillId="0" borderId="0" xfId="0" applyFont="1"/>
    <xf numFmtId="8" fontId="16" fillId="0" borderId="0" xfId="0" applyNumberFormat="1" applyFont="1"/>
    <xf numFmtId="3" fontId="5" fillId="0" borderId="0" xfId="0" applyNumberFormat="1" applyFont="1"/>
    <xf numFmtId="0" fontId="5" fillId="0" borderId="0" xfId="0" applyFont="1"/>
    <xf numFmtId="1" fontId="5" fillId="0" borderId="0" xfId="0" applyNumberFormat="1" applyFont="1"/>
    <xf numFmtId="9" fontId="5" fillId="0" borderId="0" xfId="0" applyNumberFormat="1" applyFont="1"/>
    <xf numFmtId="3" fontId="5" fillId="0" borderId="0" xfId="2" applyNumberFormat="1"/>
    <xf numFmtId="0" fontId="21" fillId="0" borderId="0" xfId="0" applyFont="1"/>
    <xf numFmtId="0" fontId="22" fillId="0" borderId="0" xfId="0" applyFont="1"/>
    <xf numFmtId="0" fontId="20" fillId="0" borderId="0" xfId="1" applyFont="1"/>
    <xf numFmtId="0" fontId="4" fillId="0" borderId="0" xfId="0" applyFont="1"/>
    <xf numFmtId="0" fontId="3" fillId="0" borderId="0" xfId="0" applyFont="1"/>
    <xf numFmtId="0" fontId="2" fillId="0" borderId="0" xfId="0" applyFont="1"/>
    <xf numFmtId="3" fontId="1" fillId="0" borderId="0" xfId="0" applyNumberFormat="1" applyFont="1"/>
    <xf numFmtId="0" fontId="1" fillId="0" borderId="0" xfId="0" applyFont="1"/>
    <xf numFmtId="9" fontId="1" fillId="0" borderId="0" xfId="0" applyNumberFormat="1" applyFont="1"/>
    <xf numFmtId="4" fontId="1" fillId="0" borderId="0" xfId="0" applyNumberFormat="1" applyFont="1"/>
    <xf numFmtId="169" fontId="1" fillId="0" borderId="0" xfId="0" applyNumberFormat="1"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25</xdr:col>
      <xdr:colOff>2198</xdr:colOff>
      <xdr:row>1</xdr:row>
      <xdr:rowOff>57883</xdr:rowOff>
    </xdr:from>
    <xdr:to>
      <xdr:col>25</xdr:col>
      <xdr:colOff>7327</xdr:colOff>
      <xdr:row>108</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632313</xdr:colOff>
      <xdr:row>1</xdr:row>
      <xdr:rowOff>0</xdr:rowOff>
    </xdr:from>
    <xdr:to>
      <xdr:col>8</xdr:col>
      <xdr:colOff>4396</xdr:colOff>
      <xdr:row>80</xdr:row>
      <xdr:rowOff>66675</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flipH="1">
          <a:off x="5871063" y="0"/>
          <a:ext cx="9525" cy="113501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9"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A9"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A10" dT="2026-03-02T03:12:15.85" personId="{CD58ED4A-AE3D-49F0-854E-D35C7D332244}" id="{3BD375D7-0B10-42FC-9699-90B801AF29CC}">
    <text>Likely small increase in ARPU due to user gen tokens</text>
  </threadedComment>
  <threadedComment ref="B11" dT="2026-03-02T02:49:18.15" personId="{CD58ED4A-AE3D-49F0-854E-D35C7D332244}" id="{0C61AB74-6410-4899-92DB-71CC8802C6FA}">
    <text>millions</text>
  </threadedComment>
  <threadedComment ref="AA11" dT="2026-03-02T03:13:44.29" personId="{CD58ED4A-AE3D-49F0-854E-D35C7D332244}" id="{9110625B-A20F-4814-80C6-6F1F6BAF5A5E}">
    <text>50% decrease in seats as companies transition to ai -&gt; 100% increased productivity</text>
  </threadedComment>
  <threadedComment ref="AA12"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A14" dT="2026-03-02T03:32:55.66" personId="{CD58ED4A-AE3D-49F0-854E-D35C7D332244}" id="{47EEF720-4C0B-45BB-8636-3C393FD966F1}">
    <text>Not assumed a 50% drop as the others, currently 25% drop due to the nature of the software -&gt; more ai compute being used, more storage and use of enterprise systems. Even though still less due to less people.</text>
  </threadedComment>
  <threadedComment ref="X15" dT="2026-02-28T07:47:32.23" personId="{CD58ED4A-AE3D-49F0-854E-D35C7D332244}" id="{A1AC085D-6825-4B37-8D01-4B2B2237006B}">
    <text>From Q424 end of year segments</text>
  </threadedComment>
  <threadedComment ref="Y16" dT="2026-02-28T07:48:38.19" personId="{CD58ED4A-AE3D-49F0-854E-D35C7D332244}" id="{94532EAC-8F13-4889-AAA0-70FC0C11077E}">
    <text>Seperated out from creative&amp;marketing using previous q424 segements to estimate current creative cloud only vs marketing only</text>
  </threadedComment>
  <threadedComment ref="Z29" dT="2026-02-28T07:54:37.47" personId="{CD58ED4A-AE3D-49F0-854E-D35C7D332244}" id="{579D2475-8567-4E48-BB9B-9F5FA93F9BAE}">
    <text>26,000 guidance</text>
  </threadedComment>
  <threadedComment ref="Z38" dT="2026-03-02T04:38:57.44" personId="{CD58ED4A-AE3D-49F0-854E-D35C7D332244}" id="{0C8D69BF-FC7E-49A8-9710-5453D28F245F}">
    <text>Operating margin stable</text>
  </threadedComment>
  <threadedComment ref="Z67" dT="2026-03-02T04:37:17.19" personId="{CD58ED4A-AE3D-49F0-854E-D35C7D332244}" id="{039CF15E-A2F2-4AB9-BED3-79C4EA0446D8}">
    <text>Dpo from cogs</text>
  </threadedComment>
  <threadedComment ref="Z68" dT="2026-03-02T04:36:57.79" personId="{CD58ED4A-AE3D-49F0-854E-D35C7D332244}" id="{8DBC8CD6-1AF2-4E50-B99B-EDC1B76D28A6}">
    <text>Percent of sg&amp;a</text>
  </threadedComment>
  <threadedComment ref="Z69" dT="2026-03-02T04:37:24.16" personId="{CD58ED4A-AE3D-49F0-854E-D35C7D332244}" id="{F007FFDD-AFCC-4115-9860-68DC6499D0AF}">
    <text>Percent of rev</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93/pnasnexus/pgae0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2"/>
  <sheetViews>
    <sheetView zoomScale="115" zoomScaleNormal="115" workbookViewId="0">
      <selection activeCell="N27" sqref="N27"/>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260</v>
      </c>
    </row>
    <row r="3" spans="1:12" x14ac:dyDescent="0.2">
      <c r="A3" s="24"/>
      <c r="B3" s="32" t="s">
        <v>161</v>
      </c>
      <c r="F3" s="1" t="s">
        <v>151</v>
      </c>
      <c r="G3" s="1" t="s">
        <v>143</v>
      </c>
      <c r="J3" s="2" t="s">
        <v>1</v>
      </c>
      <c r="K3" s="4">
        <v>410.5</v>
      </c>
      <c r="L3" s="23" t="s">
        <v>46</v>
      </c>
    </row>
    <row r="4" spans="1:12" x14ac:dyDescent="0.2">
      <c r="B4" s="32" t="s">
        <v>162</v>
      </c>
      <c r="F4" s="12" t="s">
        <v>74</v>
      </c>
      <c r="G4" s="1" t="s">
        <v>144</v>
      </c>
      <c r="J4" s="2" t="s">
        <v>2</v>
      </c>
      <c r="K4" s="4">
        <f>K3*K2</f>
        <v>106730</v>
      </c>
      <c r="L4" s="23"/>
    </row>
    <row r="5" spans="1:12" x14ac:dyDescent="0.2">
      <c r="B5" s="32" t="s">
        <v>163</v>
      </c>
      <c r="F5" s="34" t="s">
        <v>147</v>
      </c>
      <c r="G5" s="32" t="s">
        <v>149</v>
      </c>
      <c r="J5" s="2" t="s">
        <v>3</v>
      </c>
      <c r="K5" s="4">
        <f>5431+1164</f>
        <v>6595</v>
      </c>
      <c r="L5" s="23" t="s">
        <v>46</v>
      </c>
    </row>
    <row r="6" spans="1:12" x14ac:dyDescent="0.2">
      <c r="B6" s="32" t="s">
        <v>166</v>
      </c>
      <c r="F6" s="34" t="s">
        <v>148</v>
      </c>
      <c r="G6" s="32" t="s">
        <v>150</v>
      </c>
      <c r="J6" s="2" t="s">
        <v>4</v>
      </c>
      <c r="K6" s="4">
        <f>6210+469+125+361+508</f>
        <v>7673</v>
      </c>
      <c r="L6" s="23" t="s">
        <v>46</v>
      </c>
    </row>
    <row r="7" spans="1:12" x14ac:dyDescent="0.2">
      <c r="F7" s="12" t="s">
        <v>75</v>
      </c>
      <c r="G7" s="1" t="s">
        <v>145</v>
      </c>
      <c r="J7" s="2" t="s">
        <v>5</v>
      </c>
      <c r="K7" s="4">
        <f>K4+K6-K5</f>
        <v>107808</v>
      </c>
    </row>
    <row r="8" spans="1:12" x14ac:dyDescent="0.2">
      <c r="F8" s="1" t="s">
        <v>78</v>
      </c>
      <c r="G8" s="1" t="s">
        <v>146</v>
      </c>
      <c r="K8" s="3" t="e">
        <f>K2/(1.1*4*Model!G45)</f>
        <v>#DIV/0!</v>
      </c>
    </row>
    <row r="9" spans="1:12" x14ac:dyDescent="0.2">
      <c r="J9" s="32" t="s">
        <v>60</v>
      </c>
    </row>
    <row r="10" spans="1:12" x14ac:dyDescent="0.2">
      <c r="B10" s="32" t="s">
        <v>181</v>
      </c>
      <c r="F10" s="32" t="s">
        <v>159</v>
      </c>
      <c r="J10" s="17"/>
    </row>
    <row r="11" spans="1:12" x14ac:dyDescent="0.2">
      <c r="A11" s="24"/>
      <c r="B11" s="32" t="s">
        <v>182</v>
      </c>
      <c r="F11" s="41" t="s">
        <v>203</v>
      </c>
    </row>
    <row r="12" spans="1:12" x14ac:dyDescent="0.2">
      <c r="B12" s="32" t="s">
        <v>183</v>
      </c>
      <c r="F12" s="32" t="s">
        <v>160</v>
      </c>
    </row>
    <row r="13" spans="1:12" x14ac:dyDescent="0.2">
      <c r="F13" s="32" t="s">
        <v>165</v>
      </c>
    </row>
    <row r="14" spans="1:12" x14ac:dyDescent="0.2">
      <c r="B14" s="32" t="s">
        <v>184</v>
      </c>
    </row>
    <row r="15" spans="1:12" x14ac:dyDescent="0.2">
      <c r="F15" s="32" t="s">
        <v>167</v>
      </c>
    </row>
    <row r="16" spans="1:12" x14ac:dyDescent="0.2">
      <c r="B16" s="32" t="s">
        <v>185</v>
      </c>
      <c r="F16" s="32" t="s">
        <v>168</v>
      </c>
    </row>
    <row r="17" spans="2:6" x14ac:dyDescent="0.2">
      <c r="F17" s="32" t="s">
        <v>173</v>
      </c>
    </row>
    <row r="18" spans="2:6" x14ac:dyDescent="0.2">
      <c r="B18" s="39" t="s">
        <v>190</v>
      </c>
      <c r="F18" s="32" t="s">
        <v>169</v>
      </c>
    </row>
    <row r="19" spans="2:6" x14ac:dyDescent="0.2">
      <c r="F19" s="32" t="s">
        <v>170</v>
      </c>
    </row>
    <row r="20" spans="2:6" x14ac:dyDescent="0.2">
      <c r="B20" s="40" t="s">
        <v>196</v>
      </c>
      <c r="F20" s="32" t="s">
        <v>171</v>
      </c>
    </row>
    <row r="21" spans="2:6" x14ac:dyDescent="0.2">
      <c r="F21" s="32" t="s">
        <v>172</v>
      </c>
    </row>
    <row r="22" spans="2:6" x14ac:dyDescent="0.2">
      <c r="B22" s="40" t="s">
        <v>197</v>
      </c>
      <c r="F22" s="32"/>
    </row>
    <row r="23" spans="2:6" x14ac:dyDescent="0.2">
      <c r="F23" s="41" t="s">
        <v>189</v>
      </c>
    </row>
    <row r="24" spans="2:6" x14ac:dyDescent="0.2">
      <c r="F24" s="32" t="s">
        <v>174</v>
      </c>
    </row>
    <row r="25" spans="2:6" x14ac:dyDescent="0.2">
      <c r="F25" s="32" t="s">
        <v>175</v>
      </c>
    </row>
    <row r="26" spans="2:6" x14ac:dyDescent="0.2">
      <c r="F26" s="32"/>
    </row>
    <row r="27" spans="2:6" x14ac:dyDescent="0.2">
      <c r="F27" s="32" t="s">
        <v>158</v>
      </c>
    </row>
    <row r="28" spans="2:6" x14ac:dyDescent="0.2">
      <c r="F28" s="24" t="s">
        <v>66</v>
      </c>
    </row>
    <row r="29" spans="2:6" x14ac:dyDescent="0.2">
      <c r="F29" s="24" t="s">
        <v>65</v>
      </c>
    </row>
    <row r="30" spans="2:6" x14ac:dyDescent="0.2">
      <c r="F30" s="32" t="s">
        <v>164</v>
      </c>
    </row>
    <row r="32" spans="2:6" x14ac:dyDescent="0.2">
      <c r="F32" s="41" t="s">
        <v>202</v>
      </c>
    </row>
    <row r="33" spans="2:6" x14ac:dyDescent="0.2">
      <c r="F33" s="21" t="s">
        <v>63</v>
      </c>
    </row>
    <row r="34" spans="2:6" ht="12" customHeight="1" x14ac:dyDescent="0.2">
      <c r="F34" s="21" t="s">
        <v>64</v>
      </c>
    </row>
    <row r="35" spans="2:6" x14ac:dyDescent="0.2">
      <c r="F35" s="21" t="s">
        <v>62</v>
      </c>
    </row>
    <row r="36" spans="2:6" x14ac:dyDescent="0.2">
      <c r="F36" s="21"/>
    </row>
    <row r="37" spans="2:6" x14ac:dyDescent="0.2">
      <c r="F37" s="32" t="s">
        <v>152</v>
      </c>
    </row>
    <row r="38" spans="2:6" x14ac:dyDescent="0.2">
      <c r="F38" s="41" t="s">
        <v>201</v>
      </c>
    </row>
    <row r="39" spans="2:6" x14ac:dyDescent="0.2">
      <c r="F39" s="29" t="s">
        <v>79</v>
      </c>
    </row>
    <row r="40" spans="2:6" x14ac:dyDescent="0.2">
      <c r="F40" s="29" t="s">
        <v>80</v>
      </c>
    </row>
    <row r="41" spans="2:6" x14ac:dyDescent="0.2">
      <c r="B41" s="24"/>
    </row>
    <row r="42" spans="2:6" x14ac:dyDescent="0.2">
      <c r="C42" s="24"/>
      <c r="F42" s="40" t="s">
        <v>194</v>
      </c>
    </row>
    <row r="43" spans="2:6" x14ac:dyDescent="0.2">
      <c r="C43" s="24"/>
      <c r="F43" s="40" t="s">
        <v>191</v>
      </c>
    </row>
    <row r="44" spans="2:6" x14ac:dyDescent="0.2">
      <c r="C44" s="24"/>
      <c r="F44" s="40" t="s">
        <v>192</v>
      </c>
    </row>
    <row r="45" spans="2:6" x14ac:dyDescent="0.2">
      <c r="B45" s="24"/>
      <c r="F45" s="40" t="s">
        <v>193</v>
      </c>
    </row>
    <row r="46" spans="2:6" x14ac:dyDescent="0.2">
      <c r="C46" s="24"/>
      <c r="F46" s="40" t="s">
        <v>195</v>
      </c>
    </row>
    <row r="47" spans="2:6" x14ac:dyDescent="0.2">
      <c r="C47" s="24"/>
    </row>
    <row r="49" spans="1:5" x14ac:dyDescent="0.2">
      <c r="C49" s="27"/>
    </row>
    <row r="50" spans="1:5" x14ac:dyDescent="0.2">
      <c r="C50" s="27"/>
      <c r="E50" s="25"/>
    </row>
    <row r="51" spans="1:5" x14ac:dyDescent="0.2">
      <c r="C51" s="27"/>
      <c r="E51" s="25"/>
    </row>
    <row r="52" spans="1:5" x14ac:dyDescent="0.2">
      <c r="C52" s="26"/>
    </row>
    <row r="53" spans="1:5" x14ac:dyDescent="0.2">
      <c r="C53" s="26"/>
    </row>
    <row r="54" spans="1:5" x14ac:dyDescent="0.2">
      <c r="B54" s="27"/>
      <c r="C54" s="26"/>
    </row>
    <row r="55" spans="1:5" x14ac:dyDescent="0.2">
      <c r="C55" s="26"/>
    </row>
    <row r="56" spans="1:5" x14ac:dyDescent="0.2">
      <c r="C56" s="27"/>
    </row>
    <row r="57" spans="1:5" x14ac:dyDescent="0.2">
      <c r="C57" s="27"/>
    </row>
    <row r="58" spans="1:5" x14ac:dyDescent="0.2">
      <c r="C58" s="27"/>
      <c r="D58" s="27"/>
    </row>
    <row r="59" spans="1:5" x14ac:dyDescent="0.2">
      <c r="C59" s="27"/>
      <c r="D59" s="27"/>
    </row>
    <row r="60" spans="1:5" x14ac:dyDescent="0.2">
      <c r="A60" s="27"/>
      <c r="C60" s="27"/>
      <c r="D60" s="27"/>
    </row>
    <row r="61" spans="1:5" x14ac:dyDescent="0.2">
      <c r="C61" s="27"/>
      <c r="D61" s="27"/>
    </row>
    <row r="62" spans="1:5" x14ac:dyDescent="0.2">
      <c r="C62" s="27"/>
    </row>
    <row r="63" spans="1:5" x14ac:dyDescent="0.2">
      <c r="C63" s="27"/>
    </row>
    <row r="64" spans="1:5" x14ac:dyDescent="0.2">
      <c r="C64" s="27"/>
    </row>
    <row r="65" spans="3:5" x14ac:dyDescent="0.2">
      <c r="C65" s="27"/>
      <c r="D65" s="4"/>
      <c r="E65" s="26"/>
    </row>
    <row r="66" spans="3:5" x14ac:dyDescent="0.2">
      <c r="C66" s="27"/>
      <c r="D66" s="4"/>
      <c r="E66" s="27"/>
    </row>
    <row r="67" spans="3:5" x14ac:dyDescent="0.2">
      <c r="C67" s="27"/>
      <c r="D67" s="4"/>
      <c r="E67" s="27"/>
    </row>
    <row r="68" spans="3:5" x14ac:dyDescent="0.2">
      <c r="C68" s="27"/>
      <c r="D68" s="4"/>
      <c r="E68" s="27"/>
    </row>
    <row r="69" spans="3:5" x14ac:dyDescent="0.2">
      <c r="C69" s="27"/>
      <c r="D69" s="4"/>
    </row>
    <row r="70" spans="3:5" x14ac:dyDescent="0.2">
      <c r="C70" s="27"/>
    </row>
    <row r="71" spans="3:5" x14ac:dyDescent="0.2">
      <c r="C71" s="27"/>
    </row>
    <row r="72" spans="3:5" x14ac:dyDescent="0.2">
      <c r="C72" s="2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A125"/>
  <sheetViews>
    <sheetView zoomScale="130" zoomScaleNormal="130" workbookViewId="0">
      <pane xSplit="2" ySplit="2" topLeftCell="W3" activePane="bottomRight" state="frozen"/>
      <selection pane="topRight" activeCell="B1" sqref="B1"/>
      <selection pane="bottomLeft" activeCell="A2" sqref="A2"/>
      <selection pane="bottomRight" activeCell="AG21" sqref="AG21"/>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18" width="9.140625" style="7"/>
    <col min="19" max="24" width="9.140625" style="6"/>
    <col min="25" max="25" width="9.5703125" style="6" bestFit="1" customWidth="1"/>
    <col min="26" max="32" width="9.140625" style="6"/>
    <col min="33" max="33" width="10.7109375" style="6" bestFit="1" customWidth="1"/>
    <col min="34" max="16384" width="9.140625" style="6"/>
  </cols>
  <sheetData>
    <row r="1" spans="1:34" x14ac:dyDescent="0.2">
      <c r="A1" s="5" t="s">
        <v>42</v>
      </c>
    </row>
    <row r="2" spans="1:34" x14ac:dyDescent="0.2">
      <c r="C2" s="7" t="s">
        <v>43</v>
      </c>
      <c r="D2" s="7" t="s">
        <v>44</v>
      </c>
      <c r="E2" s="7" t="s">
        <v>45</v>
      </c>
      <c r="F2" s="7" t="s">
        <v>46</v>
      </c>
      <c r="G2" s="6" t="s">
        <v>28</v>
      </c>
      <c r="H2" s="7" t="s">
        <v>47</v>
      </c>
      <c r="I2" s="7" t="s">
        <v>48</v>
      </c>
      <c r="J2" s="7" t="s">
        <v>46</v>
      </c>
      <c r="L2" s="7">
        <v>2012</v>
      </c>
      <c r="M2" s="7">
        <f>L2+1</f>
        <v>2013</v>
      </c>
      <c r="N2" s="7">
        <f t="shared" ref="N2:R2" si="0">M2+1</f>
        <v>2014</v>
      </c>
      <c r="O2" s="7">
        <f t="shared" si="0"/>
        <v>2015</v>
      </c>
      <c r="P2" s="7">
        <f t="shared" si="0"/>
        <v>2016</v>
      </c>
      <c r="Q2" s="7">
        <f t="shared" si="0"/>
        <v>2017</v>
      </c>
      <c r="R2" s="7">
        <f t="shared" si="0"/>
        <v>2018</v>
      </c>
      <c r="S2" s="8">
        <v>2019</v>
      </c>
      <c r="T2" s="8">
        <v>2020</v>
      </c>
      <c r="U2" s="8">
        <f>T2+1</f>
        <v>2021</v>
      </c>
      <c r="V2" s="8">
        <f t="shared" ref="V2:AC2" si="1">U2+1</f>
        <v>2022</v>
      </c>
      <c r="W2" s="8">
        <f t="shared" si="1"/>
        <v>2023</v>
      </c>
      <c r="X2" s="8">
        <f t="shared" si="1"/>
        <v>2024</v>
      </c>
      <c r="Y2" s="8">
        <f t="shared" si="1"/>
        <v>2025</v>
      </c>
      <c r="Z2" s="8">
        <f t="shared" si="1"/>
        <v>2026</v>
      </c>
      <c r="AA2" s="8">
        <f t="shared" si="1"/>
        <v>2027</v>
      </c>
      <c r="AB2" s="8">
        <f t="shared" si="1"/>
        <v>2028</v>
      </c>
      <c r="AC2" s="8">
        <f t="shared" si="1"/>
        <v>2029</v>
      </c>
      <c r="AD2" s="8">
        <f t="shared" ref="AD2" si="2">AC2+1</f>
        <v>2030</v>
      </c>
      <c r="AE2" s="33" t="s">
        <v>116</v>
      </c>
      <c r="AF2" s="8"/>
      <c r="AG2" s="8"/>
      <c r="AH2" s="8"/>
    </row>
    <row r="3" spans="1:34" x14ac:dyDescent="0.2">
      <c r="B3" s="26" t="s">
        <v>70</v>
      </c>
      <c r="S3" s="8"/>
      <c r="T3" s="8"/>
      <c r="U3" s="8"/>
      <c r="V3" s="8"/>
      <c r="W3" s="8"/>
      <c r="X3" s="8"/>
      <c r="Y3" s="8">
        <v>25660</v>
      </c>
      <c r="Z3" s="8"/>
      <c r="AA3" s="8"/>
      <c r="AB3" s="8"/>
      <c r="AC3" s="8"/>
      <c r="AD3" s="8"/>
      <c r="AE3" s="8"/>
      <c r="AG3" s="8"/>
      <c r="AH3" s="8"/>
    </row>
    <row r="4" spans="1:34" x14ac:dyDescent="0.2">
      <c r="B4" s="26" t="s">
        <v>69</v>
      </c>
      <c r="S4" s="8"/>
      <c r="T4" s="8"/>
      <c r="U4" s="8"/>
      <c r="V4" s="8"/>
      <c r="W4" s="8"/>
      <c r="X4" s="8"/>
      <c r="Y4" s="8">
        <f>Z4*0.92</f>
        <v>6808</v>
      </c>
      <c r="Z4" s="8">
        <v>7400</v>
      </c>
      <c r="AA4" s="14"/>
      <c r="AB4" s="8"/>
      <c r="AC4" s="8"/>
      <c r="AD4" s="8"/>
      <c r="AE4" s="8"/>
      <c r="AG4" s="8"/>
      <c r="AH4" s="8"/>
    </row>
    <row r="5" spans="1:34" x14ac:dyDescent="0.2">
      <c r="B5" s="26" t="s">
        <v>68</v>
      </c>
      <c r="S5" s="8"/>
      <c r="T5" s="8"/>
      <c r="U5" s="8"/>
      <c r="V5" s="8"/>
      <c r="W5" s="8"/>
      <c r="X5" s="8"/>
      <c r="Y5" s="8">
        <f>Z5*0.92</f>
        <v>16468</v>
      </c>
      <c r="Z5" s="8">
        <v>17900</v>
      </c>
      <c r="AA5" s="14"/>
      <c r="AB5" s="8"/>
      <c r="AC5" s="8"/>
      <c r="AD5" s="8"/>
      <c r="AE5" s="8"/>
      <c r="AG5" s="8"/>
      <c r="AH5" s="8"/>
    </row>
    <row r="6" spans="1:34" x14ac:dyDescent="0.2">
      <c r="S6" s="8"/>
      <c r="T6" s="8"/>
      <c r="U6" s="8"/>
      <c r="V6" s="8"/>
      <c r="W6" s="8"/>
      <c r="X6" s="8"/>
      <c r="Y6" s="14"/>
      <c r="Z6" s="14"/>
      <c r="AA6" s="12"/>
      <c r="AB6" s="8"/>
      <c r="AC6" s="8"/>
      <c r="AD6" s="8"/>
      <c r="AE6" s="8"/>
      <c r="AG6" s="8"/>
      <c r="AH6" s="8"/>
    </row>
    <row r="7" spans="1:34" x14ac:dyDescent="0.2">
      <c r="B7" s="31" t="s">
        <v>109</v>
      </c>
      <c r="S7" s="8"/>
      <c r="T7" s="8"/>
      <c r="U7" s="8"/>
      <c r="V7" s="8"/>
      <c r="W7" s="8"/>
      <c r="X7" s="8"/>
      <c r="Y7" s="6">
        <v>40</v>
      </c>
      <c r="Z7" s="8">
        <f>Z9+Z11</f>
        <v>43.918333333333337</v>
      </c>
      <c r="AA7" s="8">
        <f t="shared" ref="AA7:AD7" si="3">AA9+AA11</f>
        <v>43.588763333333333</v>
      </c>
      <c r="AB7" s="8">
        <f t="shared" si="3"/>
        <v>47.693202033333336</v>
      </c>
      <c r="AC7" s="8">
        <f t="shared" si="3"/>
        <v>52.192443216333338</v>
      </c>
      <c r="AD7" s="8">
        <f t="shared" si="3"/>
        <v>57.125575525803342</v>
      </c>
      <c r="AE7" s="8"/>
      <c r="AG7" s="8"/>
      <c r="AH7" s="8"/>
    </row>
    <row r="8" spans="1:34" x14ac:dyDescent="0.2">
      <c r="B8" s="31" t="s">
        <v>108</v>
      </c>
      <c r="S8" s="8"/>
      <c r="T8" s="8"/>
      <c r="U8" s="8"/>
      <c r="V8" s="8"/>
      <c r="W8" s="8"/>
      <c r="X8" s="8"/>
      <c r="Y8" s="6">
        <f t="shared" ref="Y8:AD8" si="4">Y16/Y7/12</f>
        <v>22.162500000000005</v>
      </c>
      <c r="Z8" s="6">
        <f t="shared" si="4"/>
        <v>22.4367576183067</v>
      </c>
      <c r="AA8" s="6">
        <f t="shared" si="4"/>
        <v>22.993453741021479</v>
      </c>
      <c r="AB8" s="6">
        <f t="shared" si="4"/>
        <v>23.286427104582305</v>
      </c>
      <c r="AC8" s="6">
        <f t="shared" si="4"/>
        <v>23.590464082279681</v>
      </c>
      <c r="AD8" s="6">
        <f t="shared" si="4"/>
        <v>23.905880030565324</v>
      </c>
      <c r="AE8" s="8"/>
      <c r="AG8" s="8"/>
      <c r="AH8" s="8"/>
    </row>
    <row r="9" spans="1:34" x14ac:dyDescent="0.2">
      <c r="B9" s="31" t="s">
        <v>111</v>
      </c>
      <c r="S9" s="8"/>
      <c r="T9" s="8"/>
      <c r="U9" s="8"/>
      <c r="V9" s="8"/>
      <c r="W9" s="8"/>
      <c r="X9" s="8"/>
      <c r="Y9" s="8">
        <f>Y7-Y11</f>
        <v>33.633333333333333</v>
      </c>
      <c r="Z9" s="8">
        <f>Y9*1.09</f>
        <v>36.660333333333334</v>
      </c>
      <c r="AA9" s="8">
        <f>Z9*1.09</f>
        <v>39.959763333333335</v>
      </c>
      <c r="AB9" s="8">
        <f t="shared" ref="AB9:AD9" si="5">AA9*1.09</f>
        <v>43.556142033333337</v>
      </c>
      <c r="AC9" s="8">
        <f t="shared" si="5"/>
        <v>47.47619481633334</v>
      </c>
      <c r="AD9" s="8">
        <f t="shared" si="5"/>
        <v>51.749052349803343</v>
      </c>
      <c r="AE9" s="8"/>
      <c r="AG9" s="8"/>
      <c r="AH9" s="8"/>
    </row>
    <row r="10" spans="1:34" x14ac:dyDescent="0.2">
      <c r="B10" s="31" t="s">
        <v>110</v>
      </c>
      <c r="S10" s="8"/>
      <c r="T10" s="8"/>
      <c r="U10" s="8"/>
      <c r="V10" s="8"/>
      <c r="W10" s="8"/>
      <c r="X10" s="8"/>
      <c r="Y10" s="6">
        <f>'CC Model'!C4</f>
        <v>15</v>
      </c>
      <c r="Z10" s="6">
        <v>15</v>
      </c>
      <c r="AA10" s="6">
        <v>16</v>
      </c>
      <c r="AB10" s="6">
        <v>16</v>
      </c>
      <c r="AC10" s="6">
        <v>16</v>
      </c>
      <c r="AD10" s="6">
        <v>16</v>
      </c>
      <c r="AE10" s="8"/>
      <c r="AG10" s="8"/>
      <c r="AH10" s="8"/>
    </row>
    <row r="11" spans="1:34" x14ac:dyDescent="0.2">
      <c r="B11" s="31" t="s">
        <v>106</v>
      </c>
      <c r="S11" s="8"/>
      <c r="T11" s="8"/>
      <c r="U11" s="8"/>
      <c r="V11" s="8"/>
      <c r="W11" s="8"/>
      <c r="X11" s="8"/>
      <c r="Y11" s="6">
        <f>'CC Model'!C6</f>
        <v>6.3666666666666663</v>
      </c>
      <c r="Z11" s="6">
        <f>Y11*1.14</f>
        <v>7.2579999999999991</v>
      </c>
      <c r="AA11" s="6">
        <f>Z11*0.5</f>
        <v>3.6289999999999996</v>
      </c>
      <c r="AB11" s="33">
        <f>AA11*1.14</f>
        <v>4.1370599999999991</v>
      </c>
      <c r="AC11" s="33">
        <f t="shared" ref="AC11:AD11" si="6">AB11*1.14</f>
        <v>4.7162483999999987</v>
      </c>
      <c r="AD11" s="33">
        <f t="shared" si="6"/>
        <v>5.3765231759999983</v>
      </c>
      <c r="AE11" s="14"/>
      <c r="AG11" s="8"/>
      <c r="AH11" s="8"/>
    </row>
    <row r="12" spans="1:34" x14ac:dyDescent="0.2">
      <c r="B12" s="31" t="s">
        <v>107</v>
      </c>
      <c r="S12" s="8"/>
      <c r="T12" s="8"/>
      <c r="U12" s="8"/>
      <c r="V12" s="8"/>
      <c r="W12" s="8"/>
      <c r="X12" s="8"/>
      <c r="Y12" s="8">
        <f>'CC Model'!C5</f>
        <v>60</v>
      </c>
      <c r="Z12" s="8">
        <v>60</v>
      </c>
      <c r="AA12" s="8">
        <v>100</v>
      </c>
      <c r="AB12" s="8">
        <f>AA12</f>
        <v>100</v>
      </c>
      <c r="AC12" s="8">
        <f t="shared" ref="AC12:AD12" si="7">AB12</f>
        <v>100</v>
      </c>
      <c r="AD12" s="8">
        <f t="shared" si="7"/>
        <v>100</v>
      </c>
      <c r="AE12" s="8"/>
      <c r="AG12" s="8"/>
      <c r="AH12" s="8"/>
    </row>
    <row r="13" spans="1:34" x14ac:dyDescent="0.2">
      <c r="S13" s="8"/>
      <c r="T13" s="8"/>
      <c r="U13" s="8"/>
      <c r="V13" s="8"/>
      <c r="W13" s="8"/>
      <c r="X13" s="8"/>
      <c r="Y13" s="14"/>
      <c r="Z13" s="9"/>
      <c r="AA13" s="12"/>
      <c r="AC13" s="8"/>
      <c r="AD13" s="8"/>
      <c r="AE13" s="8"/>
      <c r="AF13" s="8"/>
      <c r="AG13" s="8"/>
      <c r="AH13" s="8"/>
    </row>
    <row r="14" spans="1:34" s="10" customFormat="1" x14ac:dyDescent="0.2">
      <c r="A14" s="6"/>
      <c r="B14" s="10" t="s">
        <v>71</v>
      </c>
      <c r="C14" s="1"/>
      <c r="D14" s="1"/>
      <c r="E14" s="1"/>
      <c r="F14" s="1"/>
      <c r="H14" s="1"/>
      <c r="I14" s="1"/>
      <c r="J14" s="1"/>
      <c r="K14" s="1"/>
      <c r="L14" s="1"/>
      <c r="M14" s="1"/>
      <c r="N14" s="1"/>
      <c r="O14" s="1"/>
      <c r="P14" s="1"/>
      <c r="Q14" s="1"/>
      <c r="R14" s="1"/>
      <c r="S14" s="28"/>
      <c r="T14" s="28"/>
      <c r="U14" s="28"/>
      <c r="V14" s="28"/>
      <c r="W14" s="28"/>
      <c r="X14" s="28">
        <v>5370</v>
      </c>
      <c r="Y14" s="28">
        <f>Y24</f>
        <v>5850</v>
      </c>
      <c r="Z14" s="28">
        <f>Y14*1.09</f>
        <v>6376.5000000000009</v>
      </c>
      <c r="AA14" s="28">
        <f>Z14*0.75</f>
        <v>4782.3750000000009</v>
      </c>
      <c r="AB14" s="28">
        <f t="shared" ref="AB14:AD14" si="8">AA14*1.09</f>
        <v>5212.7887500000015</v>
      </c>
      <c r="AC14" s="28">
        <f t="shared" si="8"/>
        <v>5681.9397375000017</v>
      </c>
      <c r="AD14" s="28">
        <f t="shared" si="8"/>
        <v>6193.314313875002</v>
      </c>
      <c r="AE14" s="12"/>
      <c r="AF14" s="28"/>
      <c r="AG14" s="28"/>
      <c r="AH14" s="28"/>
    </row>
    <row r="15" spans="1:34" x14ac:dyDescent="0.2">
      <c r="B15" s="26" t="s">
        <v>72</v>
      </c>
      <c r="S15" s="8"/>
      <c r="T15" s="8"/>
      <c r="U15" s="8"/>
      <c r="V15" s="8"/>
      <c r="W15" s="8"/>
      <c r="X15" s="8">
        <v>12680</v>
      </c>
      <c r="Y15" s="8">
        <f t="shared" ref="Y15:Z19" si="9">X15*1.1</f>
        <v>13948.000000000002</v>
      </c>
      <c r="Z15" s="30"/>
      <c r="AA15" s="8"/>
      <c r="AB15" s="8"/>
      <c r="AC15" s="8"/>
      <c r="AD15" s="8"/>
      <c r="AE15" s="8"/>
      <c r="AF15" s="8"/>
      <c r="AG15" s="8"/>
      <c r="AH15" s="8"/>
    </row>
    <row r="16" spans="1:34" s="10" customFormat="1" x14ac:dyDescent="0.2">
      <c r="A16" s="6"/>
      <c r="B16" s="10" t="s">
        <v>74</v>
      </c>
      <c r="C16" s="1"/>
      <c r="D16" s="1"/>
      <c r="E16" s="1"/>
      <c r="F16" s="1"/>
      <c r="H16" s="1"/>
      <c r="I16" s="1"/>
      <c r="J16" s="1"/>
      <c r="K16" s="1"/>
      <c r="L16" s="10">
        <f>L23-L21</f>
        <v>2600</v>
      </c>
      <c r="M16" s="10">
        <f>L16*1.1</f>
        <v>2860.0000000000005</v>
      </c>
      <c r="N16" s="10">
        <f>M16*1.1</f>
        <v>3146.0000000000009</v>
      </c>
      <c r="O16" s="10">
        <f>N16*1.12</f>
        <v>3523.5200000000013</v>
      </c>
      <c r="P16" s="10">
        <f t="shared" ref="P16:X16" si="10">O16*1.12</f>
        <v>3946.3424000000018</v>
      </c>
      <c r="Q16" s="10">
        <f t="shared" si="10"/>
        <v>4419.9034880000027</v>
      </c>
      <c r="R16" s="10">
        <f t="shared" si="10"/>
        <v>4950.2919065600036</v>
      </c>
      <c r="S16" s="10">
        <f t="shared" si="10"/>
        <v>5544.3269353472042</v>
      </c>
      <c r="T16" s="10">
        <f t="shared" si="10"/>
        <v>6209.6461675888695</v>
      </c>
      <c r="U16" s="10">
        <f t="shared" si="10"/>
        <v>6954.8037076995342</v>
      </c>
      <c r="V16" s="10">
        <f t="shared" si="10"/>
        <v>7789.3801526234793</v>
      </c>
      <c r="W16" s="10">
        <f t="shared" si="10"/>
        <v>8724.1057709382967</v>
      </c>
      <c r="X16" s="10">
        <f t="shared" si="10"/>
        <v>9770.9984634508928</v>
      </c>
      <c r="Y16" s="28">
        <f>Y15-Y20</f>
        <v>10638.000000000002</v>
      </c>
      <c r="Z16" s="28">
        <f>SUM(Z17:Z18)</f>
        <v>11824.619999999999</v>
      </c>
      <c r="AA16" s="28">
        <f>SUM(AA17:AA18)</f>
        <v>12027.074559999999</v>
      </c>
      <c r="AB16" s="28">
        <f t="shared" ref="AB16:AD16" si="11">SUM(AB17:AB18)</f>
        <v>13327.2512704</v>
      </c>
      <c r="AC16" s="28">
        <f t="shared" si="11"/>
        <v>14774.927484735999</v>
      </c>
      <c r="AD16" s="28">
        <f t="shared" si="11"/>
        <v>16387.645862362238</v>
      </c>
      <c r="AE16" s="28"/>
      <c r="AF16" s="28"/>
      <c r="AG16" s="28"/>
      <c r="AH16" s="28"/>
    </row>
    <row r="17" spans="1:35" s="10" customFormat="1" x14ac:dyDescent="0.2">
      <c r="A17" s="6"/>
      <c r="B17" s="31" t="s">
        <v>84</v>
      </c>
      <c r="C17" s="1"/>
      <c r="D17" s="1"/>
      <c r="E17" s="1"/>
      <c r="F17" s="1"/>
      <c r="H17" s="1"/>
      <c r="I17" s="1"/>
      <c r="J17" s="1"/>
      <c r="K17" s="1"/>
      <c r="Y17" s="33">
        <f>Y12*12*Y11</f>
        <v>4584</v>
      </c>
      <c r="Z17" s="33">
        <f>Z12*12*Z11</f>
        <v>5225.7599999999993</v>
      </c>
      <c r="AA17" s="33">
        <f>AA12*12*AA11</f>
        <v>4354.7999999999993</v>
      </c>
      <c r="AB17" s="33">
        <f>AB12*12*AB11</f>
        <v>4964.4719999999988</v>
      </c>
      <c r="AC17" s="33">
        <f>AC12*12*AC11</f>
        <v>5659.4980799999985</v>
      </c>
      <c r="AD17" s="33">
        <f>AD12*12*AD11</f>
        <v>6451.827811199998</v>
      </c>
      <c r="AE17" s="28"/>
      <c r="AF17" s="28"/>
      <c r="AG17" s="28"/>
      <c r="AH17" s="28"/>
    </row>
    <row r="18" spans="1:35" s="10" customFormat="1" x14ac:dyDescent="0.2">
      <c r="A18" s="6"/>
      <c r="B18" s="31" t="s">
        <v>81</v>
      </c>
      <c r="C18" s="1"/>
      <c r="D18" s="1"/>
      <c r="E18" s="1"/>
      <c r="F18" s="1"/>
      <c r="H18" s="1"/>
      <c r="I18" s="1"/>
      <c r="J18" s="1"/>
      <c r="K18" s="1"/>
      <c r="L18" s="32"/>
      <c r="M18" s="31"/>
      <c r="N18" s="31"/>
      <c r="O18" s="31"/>
      <c r="P18" s="31"/>
      <c r="Q18" s="31"/>
      <c r="R18" s="31"/>
      <c r="S18" s="31"/>
      <c r="T18" s="31"/>
      <c r="U18" s="31"/>
      <c r="V18" s="31"/>
      <c r="W18" s="31"/>
      <c r="X18" s="28"/>
      <c r="Y18" s="33">
        <f>Y10*12*Y9</f>
        <v>6054</v>
      </c>
      <c r="Z18" s="33">
        <f>Y18*1.09</f>
        <v>6598.8600000000006</v>
      </c>
      <c r="AA18" s="33">
        <f>AA10*12*AA9</f>
        <v>7672.2745599999998</v>
      </c>
      <c r="AB18" s="33">
        <f>AB10*12*AB9</f>
        <v>8362.7792704000003</v>
      </c>
      <c r="AC18" s="33">
        <f>AC10*12*AC9</f>
        <v>9115.4294047360017</v>
      </c>
      <c r="AD18" s="33">
        <f>AD10*12*AD9</f>
        <v>9935.8180511622413</v>
      </c>
      <c r="AE18" s="28"/>
      <c r="AF18" s="28"/>
      <c r="AG18" s="28"/>
      <c r="AH18" s="28"/>
    </row>
    <row r="19" spans="1:35" x14ac:dyDescent="0.2">
      <c r="B19" s="26" t="s">
        <v>73</v>
      </c>
      <c r="S19" s="8"/>
      <c r="T19" s="8"/>
      <c r="U19" s="8"/>
      <c r="V19" s="8"/>
      <c r="W19" s="8"/>
      <c r="X19" s="8">
        <v>3180</v>
      </c>
      <c r="Y19" s="8">
        <f t="shared" si="9"/>
        <v>3498.0000000000005</v>
      </c>
      <c r="Z19" s="8">
        <f t="shared" si="9"/>
        <v>3847.8000000000006</v>
      </c>
      <c r="AA19" s="8"/>
      <c r="AB19" s="8"/>
      <c r="AC19" s="8"/>
      <c r="AD19" s="8"/>
      <c r="AE19" s="8"/>
      <c r="AF19" s="8"/>
      <c r="AG19" s="8"/>
      <c r="AH19" s="8"/>
    </row>
    <row r="20" spans="1:35" x14ac:dyDescent="0.2">
      <c r="B20" s="26" t="s">
        <v>76</v>
      </c>
      <c r="S20" s="8"/>
      <c r="T20" s="8"/>
      <c r="U20" s="8"/>
      <c r="V20" s="8"/>
      <c r="W20" s="8"/>
      <c r="X20" s="8"/>
      <c r="Y20" s="8">
        <f>Y4-Y19</f>
        <v>3309.9999999999995</v>
      </c>
      <c r="Z20" s="8">
        <f>Y20*1.1</f>
        <v>3641</v>
      </c>
      <c r="AA20" s="8"/>
      <c r="AB20" s="8"/>
      <c r="AC20" s="8"/>
      <c r="AD20" s="8"/>
      <c r="AE20" s="8"/>
      <c r="AF20" s="8"/>
      <c r="AG20" s="8"/>
      <c r="AH20" s="8"/>
    </row>
    <row r="21" spans="1:35" s="10" customFormat="1" x14ac:dyDescent="0.2">
      <c r="A21" s="6"/>
      <c r="B21" s="10" t="s">
        <v>77</v>
      </c>
      <c r="C21" s="1"/>
      <c r="D21" s="1"/>
      <c r="E21" s="1"/>
      <c r="F21" s="1"/>
      <c r="H21" s="1"/>
      <c r="I21" s="1"/>
      <c r="J21" s="1"/>
      <c r="K21" s="1"/>
      <c r="L21" s="1">
        <v>400</v>
      </c>
      <c r="M21" s="1"/>
      <c r="N21" s="1"/>
      <c r="O21" s="1"/>
      <c r="P21" s="1"/>
      <c r="Q21" s="1"/>
      <c r="R21" s="1"/>
      <c r="S21" s="28"/>
      <c r="T21" s="28"/>
      <c r="U21" s="28"/>
      <c r="V21" s="28"/>
      <c r="W21" s="28"/>
      <c r="X21" s="28"/>
      <c r="Y21" s="28">
        <f>SUM(Y19:Y20)</f>
        <v>6808</v>
      </c>
      <c r="Z21" s="28">
        <f>SUM(Z19:Z20)</f>
        <v>7488.8000000000011</v>
      </c>
      <c r="AA21" s="28">
        <f>Z21*1.1</f>
        <v>8237.6800000000021</v>
      </c>
      <c r="AB21" s="28">
        <f t="shared" ref="AB21:AD21" si="12">AA21*1.1</f>
        <v>9061.448000000004</v>
      </c>
      <c r="AC21" s="28">
        <f t="shared" si="12"/>
        <v>9967.5928000000058</v>
      </c>
      <c r="AD21" s="28">
        <f t="shared" si="12"/>
        <v>10964.352080000008</v>
      </c>
      <c r="AE21" s="28"/>
      <c r="AF21" s="28"/>
      <c r="AG21" s="28"/>
      <c r="AH21" s="28"/>
    </row>
    <row r="22" spans="1:35" x14ac:dyDescent="0.2">
      <c r="S22" s="8"/>
      <c r="T22" s="8"/>
      <c r="U22" s="8"/>
      <c r="V22" s="8"/>
      <c r="W22" s="8"/>
      <c r="X22" s="8"/>
      <c r="Y22" s="8"/>
      <c r="Z22" s="9"/>
      <c r="AA22" s="9"/>
      <c r="AB22" s="9"/>
      <c r="AC22" s="9"/>
      <c r="AD22" s="9"/>
      <c r="AE22" s="8"/>
      <c r="AF22" s="8"/>
      <c r="AG22" s="8"/>
      <c r="AH22" s="8"/>
    </row>
    <row r="23" spans="1:35" x14ac:dyDescent="0.2">
      <c r="A23" s="5"/>
      <c r="B23" s="6" t="s">
        <v>55</v>
      </c>
      <c r="H23" s="6">
        <v>4300</v>
      </c>
      <c r="I23" s="6">
        <v>4400</v>
      </c>
      <c r="L23" s="7">
        <v>3000</v>
      </c>
      <c r="P23" s="6">
        <v>3940</v>
      </c>
      <c r="Q23" s="6">
        <v>5010</v>
      </c>
      <c r="R23" s="6">
        <f>Q23*1.26</f>
        <v>6312.6</v>
      </c>
      <c r="S23" s="6">
        <v>7700</v>
      </c>
      <c r="T23" s="8">
        <v>9230</v>
      </c>
      <c r="U23" s="33">
        <f>T23*1.15</f>
        <v>10614.5</v>
      </c>
      <c r="V23" s="6">
        <f>U23*1.16</f>
        <v>12312.82</v>
      </c>
      <c r="W23" s="8">
        <v>14000</v>
      </c>
      <c r="X23" s="8">
        <v>15860</v>
      </c>
      <c r="Y23" s="6">
        <v>17500</v>
      </c>
      <c r="Z23" s="8"/>
      <c r="AA23" s="8"/>
      <c r="AB23" s="8"/>
      <c r="AC23" s="8"/>
      <c r="AD23" s="8"/>
      <c r="AE23" s="8"/>
      <c r="AF23" s="8"/>
      <c r="AG23" s="8"/>
      <c r="AH23" s="8"/>
    </row>
    <row r="24" spans="1:35" x14ac:dyDescent="0.2">
      <c r="A24" s="5"/>
      <c r="B24" s="6" t="s">
        <v>56</v>
      </c>
      <c r="H24" s="6">
        <v>1450</v>
      </c>
      <c r="I24" s="6">
        <v>1450</v>
      </c>
      <c r="T24" s="8"/>
      <c r="U24" s="8"/>
      <c r="V24" s="8"/>
      <c r="W24" s="8"/>
      <c r="X24" s="8">
        <v>5370</v>
      </c>
      <c r="Y24" s="6">
        <v>5850</v>
      </c>
      <c r="Z24" s="8">
        <f>Z14</f>
        <v>6376.5000000000009</v>
      </c>
      <c r="AA24" s="8"/>
      <c r="AB24" s="8"/>
      <c r="AC24" s="8"/>
      <c r="AD24" s="8"/>
      <c r="AE24" s="8"/>
      <c r="AF24" s="8"/>
      <c r="AG24" s="8"/>
      <c r="AH24" s="8"/>
    </row>
    <row r="25" spans="1:35" x14ac:dyDescent="0.2">
      <c r="A25" s="5"/>
      <c r="H25" s="6"/>
      <c r="I25" s="14"/>
      <c r="P25" s="6"/>
      <c r="Q25" s="6"/>
      <c r="R25" s="6"/>
      <c r="T25" s="8"/>
      <c r="U25" s="8"/>
      <c r="V25" s="8"/>
      <c r="W25" s="8"/>
      <c r="X25" s="8"/>
      <c r="Y25" s="8"/>
      <c r="Z25" s="8"/>
      <c r="AA25" s="8"/>
      <c r="AB25" s="8"/>
      <c r="AC25" s="8"/>
      <c r="AD25" s="8"/>
      <c r="AE25" s="8"/>
      <c r="AF25" s="8"/>
      <c r="AG25" s="8"/>
      <c r="AH25" s="8"/>
      <c r="AI25" s="14"/>
    </row>
    <row r="26" spans="1:35" x14ac:dyDescent="0.2">
      <c r="B26" s="6" t="s">
        <v>6</v>
      </c>
      <c r="D26" s="6">
        <v>5060</v>
      </c>
      <c r="H26" s="6">
        <v>5641</v>
      </c>
      <c r="I26" s="6"/>
      <c r="J26" s="6"/>
      <c r="K26" s="6"/>
      <c r="L26" s="6"/>
      <c r="M26" s="6"/>
      <c r="N26" s="6"/>
      <c r="O26" s="6"/>
      <c r="P26" s="6"/>
      <c r="Q26" s="6"/>
      <c r="R26" s="6"/>
      <c r="S26" s="6">
        <v>9634</v>
      </c>
      <c r="T26" s="6">
        <v>11626</v>
      </c>
      <c r="U26" s="6">
        <v>14573</v>
      </c>
      <c r="V26" s="6">
        <v>16388</v>
      </c>
      <c r="W26" s="6">
        <v>18284</v>
      </c>
      <c r="X26" s="6">
        <v>20521</v>
      </c>
    </row>
    <row r="27" spans="1:35" x14ac:dyDescent="0.2">
      <c r="B27" s="6" t="s">
        <v>7</v>
      </c>
      <c r="D27" s="6">
        <v>104</v>
      </c>
      <c r="H27" s="7">
        <v>88</v>
      </c>
      <c r="S27" s="6">
        <v>648</v>
      </c>
      <c r="T27" s="6">
        <v>507</v>
      </c>
      <c r="U27" s="6">
        <v>555</v>
      </c>
      <c r="V27" s="6">
        <v>532</v>
      </c>
      <c r="W27" s="6">
        <v>460</v>
      </c>
      <c r="X27" s="6">
        <v>386</v>
      </c>
    </row>
    <row r="28" spans="1:35" x14ac:dyDescent="0.2">
      <c r="B28" s="6" t="s">
        <v>8</v>
      </c>
      <c r="D28" s="6">
        <v>145</v>
      </c>
      <c r="H28" s="7">
        <v>144</v>
      </c>
      <c r="S28" s="6">
        <v>889</v>
      </c>
      <c r="T28" s="6">
        <v>735</v>
      </c>
      <c r="U28" s="6">
        <v>657</v>
      </c>
      <c r="V28" s="6">
        <v>686</v>
      </c>
      <c r="W28" s="6">
        <v>665</v>
      </c>
      <c r="X28" s="6">
        <v>598</v>
      </c>
    </row>
    <row r="29" spans="1:35" s="10" customFormat="1" x14ac:dyDescent="0.2">
      <c r="B29" s="10" t="s">
        <v>9</v>
      </c>
      <c r="C29" s="10">
        <f>SUM(C26:C28)</f>
        <v>0</v>
      </c>
      <c r="D29" s="10">
        <f>SUM(D26:D28)</f>
        <v>5309</v>
      </c>
      <c r="E29" s="10">
        <f>SUM(E26:E28)</f>
        <v>0</v>
      </c>
      <c r="F29" s="10">
        <f>SUM(F26:F28)</f>
        <v>0</v>
      </c>
      <c r="G29" s="10">
        <v>5710</v>
      </c>
      <c r="H29" s="10">
        <f>SUM(H26:H28)</f>
        <v>5873</v>
      </c>
      <c r="I29" s="10">
        <v>5900</v>
      </c>
      <c r="J29" s="10">
        <f>I29*1.02</f>
        <v>6018</v>
      </c>
      <c r="L29" s="10">
        <v>4400</v>
      </c>
      <c r="M29" s="10">
        <v>4060</v>
      </c>
      <c r="N29" s="10">
        <v>4150</v>
      </c>
      <c r="O29" s="10">
        <v>4800</v>
      </c>
      <c r="P29" s="10">
        <v>5850</v>
      </c>
      <c r="Q29" s="10">
        <v>7300</v>
      </c>
      <c r="R29" s="10">
        <v>9030</v>
      </c>
      <c r="S29" s="10">
        <f>SUM(S26:S28)</f>
        <v>11171</v>
      </c>
      <c r="T29" s="10">
        <f>SUM(T26:T28)</f>
        <v>12868</v>
      </c>
      <c r="U29" s="10">
        <f>SUM(U26:U28)</f>
        <v>15785</v>
      </c>
      <c r="V29" s="10">
        <f>SUM(V26:V28)</f>
        <v>17606</v>
      </c>
      <c r="W29" s="10">
        <f t="shared" ref="W29:X29" si="13">SUM(W26:W28)</f>
        <v>19409</v>
      </c>
      <c r="X29" s="10">
        <f t="shared" si="13"/>
        <v>21505</v>
      </c>
      <c r="Y29" s="10">
        <v>23600</v>
      </c>
      <c r="Z29" s="10">
        <f>Z21+Z16+Z14</f>
        <v>25689.919999999998</v>
      </c>
      <c r="AA29" s="10">
        <f t="shared" ref="AA29:AD29" si="14">AA21+AA16+AA14</f>
        <v>25047.129560000001</v>
      </c>
      <c r="AB29" s="10">
        <f t="shared" si="14"/>
        <v>27601.488020400007</v>
      </c>
      <c r="AC29" s="10">
        <f t="shared" si="14"/>
        <v>30424.460022236006</v>
      </c>
      <c r="AD29" s="10">
        <f t="shared" si="14"/>
        <v>33545.312256237245</v>
      </c>
      <c r="AE29" s="10">
        <f>AD29*(1+$AH$96)</f>
        <v>33880.765378799617</v>
      </c>
    </row>
    <row r="30" spans="1:35" x14ac:dyDescent="0.2">
      <c r="B30" s="6" t="s">
        <v>10</v>
      </c>
      <c r="D30" s="7">
        <v>456</v>
      </c>
      <c r="H30" s="7">
        <v>505</v>
      </c>
      <c r="I30" s="6"/>
      <c r="V30" s="6">
        <v>1646</v>
      </c>
      <c r="W30" s="6">
        <v>1822</v>
      </c>
      <c r="X30" s="6">
        <v>1799</v>
      </c>
      <c r="AH30" s="14"/>
    </row>
    <row r="31" spans="1:35" x14ac:dyDescent="0.2">
      <c r="B31" s="6" t="s">
        <v>11</v>
      </c>
      <c r="D31" s="7">
        <v>8</v>
      </c>
      <c r="H31" s="7">
        <v>6</v>
      </c>
      <c r="V31" s="6">
        <v>35</v>
      </c>
      <c r="W31" s="6">
        <v>29</v>
      </c>
      <c r="X31" s="6">
        <v>25</v>
      </c>
      <c r="Y31" s="14"/>
      <c r="Z31" s="14"/>
    </row>
    <row r="32" spans="1:35" x14ac:dyDescent="0.2">
      <c r="B32" s="6" t="s">
        <v>12</v>
      </c>
      <c r="D32" s="7">
        <v>134</v>
      </c>
      <c r="H32" s="7">
        <v>127</v>
      </c>
      <c r="V32" s="6">
        <v>484</v>
      </c>
      <c r="W32" s="6">
        <v>503</v>
      </c>
      <c r="X32" s="6">
        <v>534</v>
      </c>
    </row>
    <row r="33" spans="2:34" x14ac:dyDescent="0.2">
      <c r="B33" s="6" t="s">
        <v>13</v>
      </c>
      <c r="C33" s="7">
        <f>SUM(C30:C32)</f>
        <v>0</v>
      </c>
      <c r="D33" s="7">
        <f>SUM(D30:D32)</f>
        <v>598</v>
      </c>
      <c r="E33" s="7">
        <f t="shared" ref="E33:H33" si="15">SUM(E30:E32)</f>
        <v>0</v>
      </c>
      <c r="F33" s="7">
        <f t="shared" si="15"/>
        <v>0</v>
      </c>
      <c r="G33" s="7">
        <f t="shared" si="15"/>
        <v>0</v>
      </c>
      <c r="H33" s="7">
        <f t="shared" si="15"/>
        <v>638</v>
      </c>
      <c r="I33" s="6">
        <f>I29*(1-I51)</f>
        <v>648.99999999999989</v>
      </c>
      <c r="J33" s="6">
        <f>J29*(1-J51)</f>
        <v>661.9799999999999</v>
      </c>
      <c r="K33" s="6"/>
      <c r="L33" s="6"/>
      <c r="M33" s="6"/>
      <c r="N33" s="6"/>
      <c r="O33" s="6"/>
      <c r="P33" s="6"/>
      <c r="Q33" s="6"/>
      <c r="R33" s="6"/>
      <c r="S33" s="6">
        <f>SUM(S30:S32)</f>
        <v>0</v>
      </c>
      <c r="T33" s="6">
        <f>SUM(T30:T32)</f>
        <v>0</v>
      </c>
      <c r="U33" s="6">
        <f>SUM(U30:U32)</f>
        <v>0</v>
      </c>
      <c r="V33" s="6">
        <f>SUM(V30:V32)</f>
        <v>2165</v>
      </c>
      <c r="W33" s="6">
        <f t="shared" ref="W33:X33" si="16">SUM(W30:W32)</f>
        <v>2354</v>
      </c>
      <c r="X33" s="6">
        <f t="shared" si="16"/>
        <v>2358</v>
      </c>
      <c r="Y33" s="6">
        <f t="shared" ref="Y33:AD33" si="17">Y29*(1-Y51)</f>
        <v>2595.9999999999995</v>
      </c>
      <c r="Z33" s="6">
        <f t="shared" si="17"/>
        <v>2825.8911999999996</v>
      </c>
      <c r="AA33" s="6">
        <f t="shared" si="17"/>
        <v>2755.1842515999997</v>
      </c>
      <c r="AB33" s="6">
        <f t="shared" si="17"/>
        <v>3036.1636822440005</v>
      </c>
      <c r="AC33" s="6">
        <f t="shared" si="17"/>
        <v>3346.6906024459604</v>
      </c>
      <c r="AD33" s="6">
        <f t="shared" si="17"/>
        <v>3689.9843481860967</v>
      </c>
    </row>
    <row r="34" spans="2:34" x14ac:dyDescent="0.2">
      <c r="B34" s="6" t="s">
        <v>14</v>
      </c>
      <c r="C34" s="6">
        <f>C29-C33</f>
        <v>0</v>
      </c>
      <c r="D34" s="6">
        <f>D29-D33</f>
        <v>4711</v>
      </c>
      <c r="E34" s="6">
        <f t="shared" ref="E34:J34" si="18">E29-E33</f>
        <v>0</v>
      </c>
      <c r="F34" s="6">
        <f t="shared" si="18"/>
        <v>0</v>
      </c>
      <c r="G34" s="6">
        <f t="shared" si="18"/>
        <v>5710</v>
      </c>
      <c r="H34" s="6">
        <f t="shared" si="18"/>
        <v>5235</v>
      </c>
      <c r="I34" s="6">
        <f t="shared" si="18"/>
        <v>5251</v>
      </c>
      <c r="J34" s="6">
        <f t="shared" si="18"/>
        <v>5356.02</v>
      </c>
      <c r="K34" s="6"/>
      <c r="L34" s="6"/>
      <c r="M34" s="6"/>
      <c r="N34" s="6"/>
      <c r="O34" s="6"/>
      <c r="P34" s="6"/>
      <c r="Q34" s="6"/>
      <c r="R34" s="6"/>
      <c r="V34" s="6">
        <f>V29-V33</f>
        <v>15441</v>
      </c>
      <c r="W34" s="6">
        <f t="shared" ref="W34:X34" si="19">W29-W33</f>
        <v>17055</v>
      </c>
      <c r="X34" s="6">
        <f t="shared" si="19"/>
        <v>19147</v>
      </c>
      <c r="Y34" s="6">
        <f t="shared" ref="Y34" si="20">Y29-Y33</f>
        <v>21004</v>
      </c>
      <c r="Z34" s="6">
        <f t="shared" ref="Z34" si="21">Z29-Z33</f>
        <v>22864.0288</v>
      </c>
      <c r="AA34" s="6">
        <f t="shared" ref="AA34" si="22">AA29-AA33</f>
        <v>22291.945308400002</v>
      </c>
      <c r="AB34" s="6">
        <f t="shared" ref="AB34" si="23">AB29-AB33</f>
        <v>24565.324338156006</v>
      </c>
      <c r="AC34" s="6">
        <f t="shared" ref="AC34:AD34" si="24">AC29-AC33</f>
        <v>27077.769419790046</v>
      </c>
      <c r="AD34" s="6">
        <f t="shared" si="24"/>
        <v>29855.327908051149</v>
      </c>
    </row>
    <row r="35" spans="2:34" x14ac:dyDescent="0.2">
      <c r="B35" s="6" t="s">
        <v>15</v>
      </c>
      <c r="C35" s="6"/>
      <c r="D35" s="6">
        <v>984</v>
      </c>
      <c r="E35" s="6"/>
      <c r="F35" s="6"/>
      <c r="H35" s="6">
        <v>1082</v>
      </c>
      <c r="I35" s="6">
        <f t="shared" ref="I35:J37" si="25">H35*1.01</f>
        <v>1092.82</v>
      </c>
      <c r="J35" s="6">
        <f t="shared" si="25"/>
        <v>1103.7482</v>
      </c>
      <c r="K35" s="6"/>
      <c r="L35" s="6"/>
      <c r="M35" s="6"/>
      <c r="N35" s="6"/>
      <c r="O35" s="6"/>
      <c r="P35" s="6"/>
      <c r="Q35" s="6"/>
      <c r="R35" s="6"/>
      <c r="V35" s="6">
        <v>2987</v>
      </c>
      <c r="W35" s="6">
        <v>3473</v>
      </c>
      <c r="X35" s="6">
        <v>3944</v>
      </c>
      <c r="Y35" s="6">
        <f>X35*(1+Y47)</f>
        <v>4328.221343873518</v>
      </c>
    </row>
    <row r="36" spans="2:34" x14ac:dyDescent="0.2">
      <c r="B36" s="6" t="s">
        <v>16</v>
      </c>
      <c r="C36" s="6"/>
      <c r="D36" s="6">
        <v>1445</v>
      </c>
      <c r="E36" s="6"/>
      <c r="F36" s="6"/>
      <c r="H36" s="6">
        <v>1626</v>
      </c>
      <c r="I36" s="6">
        <f t="shared" si="25"/>
        <v>1642.26</v>
      </c>
      <c r="J36" s="6">
        <f t="shared" si="25"/>
        <v>1658.6826000000001</v>
      </c>
      <c r="K36" s="6"/>
      <c r="L36" s="6"/>
      <c r="M36" s="6"/>
      <c r="N36" s="6"/>
      <c r="O36" s="6"/>
      <c r="P36" s="6"/>
      <c r="Q36" s="6"/>
      <c r="R36" s="6"/>
      <c r="V36" s="6">
        <v>4968</v>
      </c>
      <c r="W36" s="6">
        <v>5351</v>
      </c>
      <c r="X36" s="6">
        <v>5764</v>
      </c>
      <c r="Y36" s="6">
        <f>X36*1.08</f>
        <v>6225.1200000000008</v>
      </c>
      <c r="Z36" s="6">
        <f>Y36*1.08</f>
        <v>6723.1296000000011</v>
      </c>
      <c r="AA36" s="6">
        <f t="shared" ref="AA36:AD36" si="26">Z36*1.08</f>
        <v>7260.9799680000015</v>
      </c>
      <c r="AB36" s="6">
        <f t="shared" si="26"/>
        <v>7841.8583654400018</v>
      </c>
      <c r="AC36" s="6">
        <f t="shared" si="26"/>
        <v>8469.2070346752025</v>
      </c>
      <c r="AD36" s="6">
        <f t="shared" si="26"/>
        <v>9146.74359744922</v>
      </c>
    </row>
    <row r="37" spans="2:34" x14ac:dyDescent="0.2">
      <c r="B37" s="6" t="s">
        <v>17</v>
      </c>
      <c r="C37" s="6"/>
      <c r="D37" s="6">
        <v>355</v>
      </c>
      <c r="E37" s="6"/>
      <c r="F37" s="6"/>
      <c r="H37" s="6">
        <v>377</v>
      </c>
      <c r="I37" s="6">
        <f t="shared" si="25"/>
        <v>380.77</v>
      </c>
      <c r="J37" s="6">
        <f t="shared" si="25"/>
        <v>384.57769999999999</v>
      </c>
      <c r="K37" s="6"/>
      <c r="L37" s="6"/>
      <c r="M37" s="6"/>
      <c r="N37" s="6"/>
      <c r="O37" s="6"/>
      <c r="P37" s="6"/>
      <c r="Q37" s="6"/>
      <c r="R37" s="6"/>
      <c r="V37" s="6">
        <v>1219</v>
      </c>
      <c r="W37" s="6">
        <v>1413</v>
      </c>
      <c r="X37" s="6">
        <v>1529</v>
      </c>
      <c r="Y37" s="6">
        <f>X37*1.08</f>
        <v>1651.3200000000002</v>
      </c>
      <c r="Z37" s="6">
        <f>Y37*1.08</f>
        <v>1783.4256000000003</v>
      </c>
      <c r="AA37" s="6">
        <f t="shared" ref="AA37:AD37" si="27">Z37*1.08</f>
        <v>1926.0996480000003</v>
      </c>
      <c r="AB37" s="6">
        <f t="shared" si="27"/>
        <v>2080.1876198400005</v>
      </c>
      <c r="AC37" s="6">
        <f t="shared" si="27"/>
        <v>2246.6026294272006</v>
      </c>
      <c r="AD37" s="6">
        <f t="shared" si="27"/>
        <v>2426.3308397813767</v>
      </c>
    </row>
    <row r="38" spans="2:34" x14ac:dyDescent="0.2">
      <c r="B38" s="6" t="s">
        <v>18</v>
      </c>
      <c r="C38" s="6">
        <f>SUM(C35:C37)</f>
        <v>0</v>
      </c>
      <c r="D38" s="6">
        <f t="shared" ref="D38:J38" si="28">SUM(D35:D37)</f>
        <v>2784</v>
      </c>
      <c r="E38" s="6">
        <f t="shared" si="28"/>
        <v>0</v>
      </c>
      <c r="F38" s="6">
        <f t="shared" si="28"/>
        <v>0</v>
      </c>
      <c r="G38" s="6">
        <f t="shared" si="28"/>
        <v>0</v>
      </c>
      <c r="H38" s="6">
        <f t="shared" si="28"/>
        <v>3085</v>
      </c>
      <c r="I38" s="6">
        <f t="shared" si="28"/>
        <v>3115.85</v>
      </c>
      <c r="J38" s="6">
        <f t="shared" si="28"/>
        <v>3147.0084999999999</v>
      </c>
      <c r="K38" s="6"/>
      <c r="L38" s="6"/>
      <c r="M38" s="6"/>
      <c r="N38" s="6"/>
      <c r="O38" s="6"/>
      <c r="P38" s="6"/>
      <c r="Q38" s="6"/>
      <c r="R38" s="6"/>
      <c r="S38" s="6">
        <f>SUM(S35:S37)</f>
        <v>0</v>
      </c>
      <c r="T38" s="6">
        <f>SUM(T35:T37)</f>
        <v>0</v>
      </c>
      <c r="U38" s="6">
        <f>SUM(U35:U37)</f>
        <v>0</v>
      </c>
      <c r="V38" s="6">
        <f>SUM(V35:V37)</f>
        <v>9174</v>
      </c>
      <c r="W38" s="6">
        <f t="shared" ref="W38:Y38" si="29">SUM(W35:W37)</f>
        <v>10237</v>
      </c>
      <c r="X38" s="6">
        <f t="shared" si="29"/>
        <v>11237</v>
      </c>
      <c r="Y38" s="6">
        <f t="shared" si="29"/>
        <v>12204.661343873518</v>
      </c>
      <c r="Z38" s="6">
        <f>Z34*0.58</f>
        <v>13261.136703999999</v>
      </c>
      <c r="AA38" s="6">
        <f t="shared" ref="AA38:AD38" si="30">AA34*0.58</f>
        <v>12929.328278872001</v>
      </c>
      <c r="AB38" s="6">
        <f t="shared" si="30"/>
        <v>14247.888116130482</v>
      </c>
      <c r="AC38" s="6">
        <f t="shared" si="30"/>
        <v>15705.106263478225</v>
      </c>
      <c r="AD38" s="6">
        <f t="shared" si="30"/>
        <v>17316.090186669666</v>
      </c>
    </row>
    <row r="39" spans="2:34" x14ac:dyDescent="0.2">
      <c r="B39" s="6" t="s">
        <v>19</v>
      </c>
      <c r="C39" s="6">
        <f>C34-C38</f>
        <v>0</v>
      </c>
      <c r="D39" s="6">
        <f t="shared" ref="D39:J39" si="31">D34-D38</f>
        <v>1927</v>
      </c>
      <c r="E39" s="6">
        <f t="shared" si="31"/>
        <v>0</v>
      </c>
      <c r="F39" s="6">
        <f t="shared" si="31"/>
        <v>0</v>
      </c>
      <c r="G39" s="6">
        <f t="shared" si="31"/>
        <v>5710</v>
      </c>
      <c r="H39" s="6">
        <f t="shared" si="31"/>
        <v>2150</v>
      </c>
      <c r="I39" s="6">
        <f t="shared" si="31"/>
        <v>2135.15</v>
      </c>
      <c r="J39" s="6">
        <f t="shared" si="31"/>
        <v>2209.0115000000005</v>
      </c>
      <c r="K39" s="6"/>
      <c r="L39" s="6"/>
      <c r="M39" s="6"/>
      <c r="N39" s="6"/>
      <c r="O39" s="6"/>
      <c r="P39" s="6"/>
      <c r="Q39" s="6"/>
      <c r="R39" s="6"/>
      <c r="S39" s="6">
        <f>S34-S38</f>
        <v>0</v>
      </c>
      <c r="T39" s="6">
        <f>T34-T38</f>
        <v>0</v>
      </c>
      <c r="U39" s="6">
        <f>U34-U38</f>
        <v>0</v>
      </c>
      <c r="V39" s="6">
        <f>V34-V38</f>
        <v>6267</v>
      </c>
      <c r="W39" s="6">
        <f t="shared" ref="W39:AC39" si="32">W34-W38</f>
        <v>6818</v>
      </c>
      <c r="X39" s="6">
        <f t="shared" si="32"/>
        <v>7910</v>
      </c>
      <c r="Y39" s="6">
        <f t="shared" si="32"/>
        <v>8799.3386561264815</v>
      </c>
      <c r="Z39" s="6">
        <f t="shared" si="32"/>
        <v>9602.8920960000014</v>
      </c>
      <c r="AA39" s="6">
        <f t="shared" si="32"/>
        <v>9362.6170295280008</v>
      </c>
      <c r="AB39" s="6">
        <f t="shared" si="32"/>
        <v>10317.436222025524</v>
      </c>
      <c r="AC39" s="6">
        <f t="shared" si="32"/>
        <v>11372.663156311821</v>
      </c>
      <c r="AD39" s="6">
        <f t="shared" ref="AD39" si="33">AD34-AD38</f>
        <v>12539.237721381483</v>
      </c>
      <c r="AE39" s="6">
        <f>AD39*(1+$AH$96)</f>
        <v>12664.630098595298</v>
      </c>
    </row>
    <row r="40" spans="2:34" x14ac:dyDescent="0.2">
      <c r="B40" s="16" t="s">
        <v>59</v>
      </c>
      <c r="I40" s="6">
        <f>H54*$AH$95/4</f>
        <v>-14.3025</v>
      </c>
      <c r="J40" s="6">
        <f>I54*$AH$95/4</f>
        <v>-1.5774149999999973</v>
      </c>
      <c r="K40" s="6"/>
      <c r="L40" s="6"/>
      <c r="M40" s="6"/>
      <c r="N40" s="6"/>
      <c r="O40" s="6"/>
      <c r="P40" s="6"/>
      <c r="Q40" s="6"/>
      <c r="R40" s="6"/>
      <c r="V40" s="6">
        <f>-112-19</f>
        <v>-131</v>
      </c>
      <c r="W40" s="6">
        <f>-113+16</f>
        <v>-97</v>
      </c>
      <c r="X40" s="6">
        <f>-169+48</f>
        <v>-121</v>
      </c>
      <c r="Y40" s="6">
        <f>SUM(G40:J40)</f>
        <v>-15.879914999999997</v>
      </c>
      <c r="Z40" s="6">
        <f>Y54*$AH$95</f>
        <v>46.668758040000021</v>
      </c>
      <c r="AA40" s="6">
        <f>Z54*$AH$95</f>
        <v>275.36335028074802</v>
      </c>
      <c r="AB40" s="6">
        <f>AA54*$AH$95</f>
        <v>503.78348528221534</v>
      </c>
      <c r="AC40" s="6">
        <f>AB54*$AH$95</f>
        <v>760.24639234540882</v>
      </c>
      <c r="AD40" s="6">
        <f>AC54*$AH$95</f>
        <v>1047.7963486485853</v>
      </c>
      <c r="AE40" s="6">
        <v>0</v>
      </c>
    </row>
    <row r="41" spans="2:34" x14ac:dyDescent="0.2">
      <c r="B41" s="6" t="s">
        <v>20</v>
      </c>
      <c r="C41" s="6">
        <f>C39+C40</f>
        <v>0</v>
      </c>
      <c r="D41" s="6">
        <f t="shared" ref="D41:J41" si="34">D39+D40</f>
        <v>1927</v>
      </c>
      <c r="E41" s="6">
        <f t="shared" si="34"/>
        <v>0</v>
      </c>
      <c r="F41" s="6">
        <f t="shared" si="34"/>
        <v>0</v>
      </c>
      <c r="G41" s="6">
        <f t="shared" si="34"/>
        <v>5710</v>
      </c>
      <c r="H41" s="6">
        <f t="shared" si="34"/>
        <v>2150</v>
      </c>
      <c r="I41" s="6">
        <f t="shared" si="34"/>
        <v>2120.8475000000003</v>
      </c>
      <c r="J41" s="6">
        <f t="shared" si="34"/>
        <v>2207.4340850000003</v>
      </c>
      <c r="K41" s="6"/>
      <c r="L41" s="6"/>
      <c r="M41" s="6"/>
      <c r="N41" s="6"/>
      <c r="O41" s="6"/>
      <c r="P41" s="6"/>
      <c r="Q41" s="6"/>
      <c r="R41" s="6"/>
      <c r="S41" s="6">
        <f>S39+S40</f>
        <v>0</v>
      </c>
      <c r="T41" s="6">
        <f>T39+T40</f>
        <v>0</v>
      </c>
      <c r="U41" s="6">
        <f>U39+U40</f>
        <v>0</v>
      </c>
      <c r="V41" s="6">
        <f>V39+V40</f>
        <v>6136</v>
      </c>
      <c r="W41" s="6">
        <f t="shared" ref="W41:AC41" si="35">W39+W40</f>
        <v>6721</v>
      </c>
      <c r="X41" s="6">
        <f t="shared" si="35"/>
        <v>7789</v>
      </c>
      <c r="Y41" s="6">
        <f t="shared" si="35"/>
        <v>8783.458741126482</v>
      </c>
      <c r="Z41" s="6">
        <f t="shared" si="35"/>
        <v>9649.5608540400008</v>
      </c>
      <c r="AA41" s="6">
        <f t="shared" si="35"/>
        <v>9637.9803798087487</v>
      </c>
      <c r="AB41" s="6">
        <f t="shared" si="35"/>
        <v>10821.21970730774</v>
      </c>
      <c r="AC41" s="6">
        <f t="shared" si="35"/>
        <v>12132.90954865723</v>
      </c>
      <c r="AD41" s="6">
        <f t="shared" ref="AD41" si="36">AD39+AD40</f>
        <v>13587.034070030069</v>
      </c>
      <c r="AE41" s="6">
        <f>AE39+AE40</f>
        <v>12664.630098595298</v>
      </c>
    </row>
    <row r="42" spans="2:34" x14ac:dyDescent="0.2">
      <c r="B42" s="6" t="s">
        <v>21</v>
      </c>
      <c r="I42" s="6">
        <f>I41*0.2</f>
        <v>424.16950000000008</v>
      </c>
      <c r="J42" s="6">
        <f>J41*0.2</f>
        <v>441.48681700000009</v>
      </c>
      <c r="K42" s="6"/>
      <c r="L42" s="6"/>
      <c r="M42" s="6"/>
      <c r="N42" s="6"/>
      <c r="O42" s="6"/>
      <c r="P42" s="6"/>
      <c r="Q42" s="6"/>
      <c r="R42" s="6"/>
      <c r="S42" s="14"/>
      <c r="T42" s="14"/>
      <c r="U42" s="14"/>
      <c r="V42" s="14"/>
      <c r="W42" s="14"/>
      <c r="X42" s="14"/>
      <c r="Y42" s="14"/>
      <c r="Z42" s="6">
        <f t="shared" ref="Z42:AE42" si="37">Z41*0.21</f>
        <v>2026.4077793484</v>
      </c>
      <c r="AA42" s="6">
        <f t="shared" si="37"/>
        <v>2023.9758797598372</v>
      </c>
      <c r="AB42" s="6">
        <f t="shared" si="37"/>
        <v>2272.4561385346256</v>
      </c>
      <c r="AC42" s="6">
        <f t="shared" si="37"/>
        <v>2547.9110052180181</v>
      </c>
      <c r="AD42" s="6">
        <f t="shared" si="37"/>
        <v>2853.2771547063144</v>
      </c>
      <c r="AE42" s="6">
        <f t="shared" si="37"/>
        <v>2659.5723207050128</v>
      </c>
    </row>
    <row r="43" spans="2:34" s="10" customFormat="1" x14ac:dyDescent="0.2">
      <c r="B43" s="10" t="s">
        <v>22</v>
      </c>
      <c r="C43" s="10">
        <f>C41-C42</f>
        <v>0</v>
      </c>
      <c r="D43" s="10">
        <f t="shared" ref="D43:J43" si="38">D41-D42</f>
        <v>1927</v>
      </c>
      <c r="E43" s="10">
        <f t="shared" si="38"/>
        <v>0</v>
      </c>
      <c r="F43" s="10">
        <f t="shared" si="38"/>
        <v>0</v>
      </c>
      <c r="G43" s="10">
        <f t="shared" si="38"/>
        <v>5710</v>
      </c>
      <c r="H43" s="10">
        <f t="shared" si="38"/>
        <v>2150</v>
      </c>
      <c r="I43" s="10">
        <f t="shared" si="38"/>
        <v>1696.6780000000003</v>
      </c>
      <c r="J43" s="10">
        <f t="shared" si="38"/>
        <v>1765.9472680000003</v>
      </c>
      <c r="S43" s="10">
        <f>S41-S42</f>
        <v>0</v>
      </c>
      <c r="T43" s="10">
        <f>T41-T42</f>
        <v>0</v>
      </c>
      <c r="U43" s="10">
        <f>U41-U42</f>
        <v>0</v>
      </c>
      <c r="V43" s="10">
        <f>V41-V42</f>
        <v>6136</v>
      </c>
      <c r="W43" s="10">
        <f t="shared" ref="W43:X43" si="39">W41-W42</f>
        <v>6721</v>
      </c>
      <c r="X43" s="10">
        <f t="shared" si="39"/>
        <v>7789</v>
      </c>
      <c r="Y43" s="10">
        <f t="shared" ref="Y43" si="40">Y41-Y42</f>
        <v>8783.458741126482</v>
      </c>
      <c r="Z43" s="10">
        <f t="shared" ref="Z43" si="41">Z41-Z42</f>
        <v>7623.1530746916005</v>
      </c>
      <c r="AA43" s="10">
        <f t="shared" ref="AA43" si="42">AA41-AA42</f>
        <v>7614.0045000489117</v>
      </c>
      <c r="AB43" s="10">
        <f t="shared" ref="AB43" si="43">AB41-AB42</f>
        <v>8548.7635687731145</v>
      </c>
      <c r="AC43" s="10">
        <f t="shared" ref="AC43:AE43" si="44">AC41-AC42</f>
        <v>9584.9985434392111</v>
      </c>
      <c r="AD43" s="10">
        <f t="shared" si="44"/>
        <v>10733.756915323755</v>
      </c>
      <c r="AE43" s="10">
        <f t="shared" si="44"/>
        <v>10005.057777890286</v>
      </c>
    </row>
    <row r="44" spans="2:34" x14ac:dyDescent="0.2">
      <c r="B44" s="6" t="s">
        <v>1</v>
      </c>
      <c r="H44" s="4">
        <v>424.2</v>
      </c>
      <c r="I44" s="6">
        <f>H44*1</f>
        <v>424.2</v>
      </c>
      <c r="J44" s="6">
        <f>I44*1</f>
        <v>424.2</v>
      </c>
      <c r="K44" s="6"/>
      <c r="L44" s="6"/>
      <c r="M44" s="6"/>
      <c r="N44" s="6"/>
      <c r="O44" s="6"/>
      <c r="P44" s="6"/>
      <c r="Q44" s="6"/>
      <c r="R44" s="6"/>
      <c r="V44" s="6">
        <v>471</v>
      </c>
      <c r="W44" s="6">
        <v>459</v>
      </c>
      <c r="X44" s="6">
        <v>450</v>
      </c>
      <c r="Y44" s="6">
        <v>411</v>
      </c>
      <c r="Z44" s="6">
        <v>411</v>
      </c>
      <c r="AA44" s="6">
        <v>411</v>
      </c>
      <c r="AB44" s="6">
        <v>411</v>
      </c>
      <c r="AC44" s="6">
        <v>411</v>
      </c>
      <c r="AD44" s="6">
        <v>411</v>
      </c>
    </row>
    <row r="45" spans="2:34" x14ac:dyDescent="0.2">
      <c r="B45" s="6" t="s">
        <v>23</v>
      </c>
      <c r="C45" s="9" t="e">
        <f t="shared" ref="C45:J45" si="45">C43/C44</f>
        <v>#DIV/0!</v>
      </c>
      <c r="D45" s="9" t="e">
        <f t="shared" si="45"/>
        <v>#DIV/0!</v>
      </c>
      <c r="E45" s="9" t="e">
        <f t="shared" si="45"/>
        <v>#DIV/0!</v>
      </c>
      <c r="F45" s="9" t="e">
        <f t="shared" si="45"/>
        <v>#DIV/0!</v>
      </c>
      <c r="G45" s="9" t="e">
        <f t="shared" si="45"/>
        <v>#DIV/0!</v>
      </c>
      <c r="H45" s="9">
        <f t="shared" si="45"/>
        <v>5.0683639792550688</v>
      </c>
      <c r="I45" s="9">
        <f t="shared" si="45"/>
        <v>3.9997123998114108</v>
      </c>
      <c r="J45" s="9">
        <f t="shared" si="45"/>
        <v>4.1630062894860922</v>
      </c>
      <c r="K45" s="9"/>
      <c r="L45" s="9"/>
      <c r="M45" s="9"/>
      <c r="N45" s="9"/>
      <c r="O45" s="9"/>
      <c r="P45" s="9"/>
      <c r="Q45" s="9"/>
      <c r="R45" s="9"/>
      <c r="S45" s="9" t="e">
        <f>S43/S44</f>
        <v>#DIV/0!</v>
      </c>
      <c r="T45" s="9" t="e">
        <f>T43/T44</f>
        <v>#DIV/0!</v>
      </c>
      <c r="U45" s="9" t="e">
        <f>U43/U44</f>
        <v>#DIV/0!</v>
      </c>
      <c r="V45" s="9">
        <f>V43/V44</f>
        <v>13.027600849256901</v>
      </c>
      <c r="W45" s="9">
        <f t="shared" ref="W45:AC45" si="46">W43/W44</f>
        <v>14.642701525054466</v>
      </c>
      <c r="X45" s="9">
        <f t="shared" si="46"/>
        <v>17.308888888888887</v>
      </c>
      <c r="Y45" s="9">
        <f t="shared" si="46"/>
        <v>21.370945842156889</v>
      </c>
      <c r="Z45" s="9">
        <f t="shared" si="46"/>
        <v>18.547817699979564</v>
      </c>
      <c r="AA45" s="9">
        <f t="shared" si="46"/>
        <v>18.525558394279592</v>
      </c>
      <c r="AB45" s="9">
        <f t="shared" si="46"/>
        <v>20.799911359545291</v>
      </c>
      <c r="AC45" s="9">
        <f t="shared" si="46"/>
        <v>23.321164339268154</v>
      </c>
      <c r="AD45" s="9">
        <f t="shared" ref="AD45" si="47">AD43/AD44</f>
        <v>26.116196874267043</v>
      </c>
      <c r="AE45" s="9"/>
      <c r="AF45" s="9"/>
      <c r="AG45" s="9"/>
      <c r="AH45" s="9"/>
    </row>
    <row r="46" spans="2:34" x14ac:dyDescent="0.2">
      <c r="U46" s="11"/>
    </row>
    <row r="47" spans="2:34" s="10" customFormat="1" x14ac:dyDescent="0.2">
      <c r="B47" s="10" t="s">
        <v>33</v>
      </c>
      <c r="E47" s="12"/>
      <c r="F47" s="12"/>
      <c r="G47" s="12" t="e">
        <f>G29/C29-1</f>
        <v>#DIV/0!</v>
      </c>
      <c r="H47" s="12">
        <f>H29/D29-1</f>
        <v>0.10623469579958567</v>
      </c>
      <c r="I47" s="12" t="e">
        <f>I29/E29-1</f>
        <v>#DIV/0!</v>
      </c>
      <c r="J47" s="12" t="e">
        <f>J29/F29-1</f>
        <v>#DIV/0!</v>
      </c>
      <c r="K47" s="12"/>
      <c r="L47" s="12"/>
      <c r="M47" s="12"/>
      <c r="N47" s="12"/>
      <c r="O47" s="12"/>
      <c r="P47" s="12"/>
      <c r="Q47" s="12"/>
      <c r="R47" s="12"/>
      <c r="S47" s="12"/>
      <c r="T47" s="12">
        <f>T29/S29-1</f>
        <v>0.151911198639334</v>
      </c>
      <c r="U47" s="12">
        <f>U29/T29-1</f>
        <v>0.22668635374572577</v>
      </c>
      <c r="V47" s="12">
        <f>V29/U29-1</f>
        <v>0.11536268609439349</v>
      </c>
      <c r="W47" s="12">
        <f>W29/V29-1</f>
        <v>0.10240826990798602</v>
      </c>
      <c r="X47" s="12">
        <f>X29/W29-1</f>
        <v>0.10799113813179462</v>
      </c>
      <c r="Y47" s="12">
        <f t="shared" ref="Y47:AD47" si="48">Y29/X29-1</f>
        <v>9.7419204836084683E-2</v>
      </c>
      <c r="Z47" s="12">
        <f t="shared" si="48"/>
        <v>8.8555932203389753E-2</v>
      </c>
      <c r="AA47" s="12">
        <f t="shared" si="48"/>
        <v>-2.5021114896426222E-2</v>
      </c>
      <c r="AB47" s="12">
        <f t="shared" si="48"/>
        <v>0.10198208358690697</v>
      </c>
      <c r="AC47" s="12">
        <f t="shared" si="48"/>
        <v>0.10227608017906742</v>
      </c>
      <c r="AD47" s="12">
        <f t="shared" si="48"/>
        <v>0.10257707882803291</v>
      </c>
      <c r="AE47" s="12"/>
      <c r="AF47" s="12"/>
      <c r="AG47" s="12"/>
      <c r="AH47" s="12"/>
    </row>
    <row r="48" spans="2:34" s="10" customFormat="1" x14ac:dyDescent="0.2">
      <c r="B48" s="16" t="s">
        <v>58</v>
      </c>
      <c r="C48" s="12"/>
      <c r="D48" s="12" t="e">
        <f t="shared" ref="D48:J48" si="49">D29/C29-1</f>
        <v>#DIV/0!</v>
      </c>
      <c r="E48" s="12">
        <f t="shared" si="49"/>
        <v>-1</v>
      </c>
      <c r="F48" s="12" t="e">
        <f t="shared" si="49"/>
        <v>#DIV/0!</v>
      </c>
      <c r="G48" s="12" t="e">
        <f t="shared" si="49"/>
        <v>#DIV/0!</v>
      </c>
      <c r="H48" s="12">
        <f t="shared" si="49"/>
        <v>2.8546409807355566E-2</v>
      </c>
      <c r="I48" s="12">
        <f t="shared" si="49"/>
        <v>4.5973097224587534E-3</v>
      </c>
      <c r="J48" s="12">
        <f t="shared" si="49"/>
        <v>2.0000000000000018E-2</v>
      </c>
      <c r="K48" s="12"/>
      <c r="L48" s="12"/>
      <c r="M48" s="12"/>
      <c r="N48" s="12"/>
      <c r="O48" s="12"/>
      <c r="P48" s="12"/>
      <c r="Q48" s="12"/>
      <c r="R48" s="12"/>
      <c r="W48" s="12"/>
      <c r="X48" s="12"/>
      <c r="Y48" s="12"/>
      <c r="Z48" s="12"/>
      <c r="AA48" s="12"/>
      <c r="AB48" s="12"/>
      <c r="AC48" s="12"/>
      <c r="AD48" s="12"/>
      <c r="AE48" s="12"/>
      <c r="AF48" s="12"/>
      <c r="AG48" s="12"/>
      <c r="AH48" s="12"/>
    </row>
    <row r="49" spans="2:34" s="10" customFormat="1" x14ac:dyDescent="0.2">
      <c r="B49" s="6" t="s">
        <v>57</v>
      </c>
      <c r="T49" s="12" t="e">
        <f t="shared" ref="T49:Y49" si="50">SUM(T36:T37)/SUM(S36:S37)-1</f>
        <v>#DIV/0!</v>
      </c>
      <c r="U49" s="12" t="e">
        <f t="shared" si="50"/>
        <v>#DIV/0!</v>
      </c>
      <c r="V49" s="12" t="e">
        <f t="shared" si="50"/>
        <v>#DIV/0!</v>
      </c>
      <c r="W49" s="12">
        <f t="shared" si="50"/>
        <v>9.326006141910459E-2</v>
      </c>
      <c r="X49" s="12">
        <f t="shared" si="50"/>
        <v>7.820816085156701E-2</v>
      </c>
      <c r="Y49" s="12">
        <f t="shared" si="50"/>
        <v>8.0000000000000071E-2</v>
      </c>
      <c r="Z49" s="12"/>
      <c r="AA49" s="12"/>
      <c r="AB49" s="12"/>
      <c r="AC49" s="12"/>
      <c r="AD49" s="12"/>
      <c r="AE49" s="12"/>
      <c r="AF49" s="12"/>
      <c r="AG49" s="12"/>
      <c r="AH49" s="12"/>
    </row>
    <row r="50" spans="2:34" x14ac:dyDescent="0.2">
      <c r="Z50" s="14"/>
      <c r="AA50" s="14"/>
      <c r="AB50" s="14"/>
      <c r="AC50" s="14"/>
      <c r="AD50" s="14"/>
      <c r="AE50" s="14"/>
    </row>
    <row r="51" spans="2:34" s="10" customFormat="1" x14ac:dyDescent="0.2">
      <c r="B51" s="10" t="s">
        <v>24</v>
      </c>
      <c r="C51" s="13" t="e">
        <f>C34/C29</f>
        <v>#DIV/0!</v>
      </c>
      <c r="D51" s="13">
        <f t="shared" ref="D51:H51" si="51">D34/D29</f>
        <v>0.88736108495008481</v>
      </c>
      <c r="E51" s="13" t="e">
        <f t="shared" si="51"/>
        <v>#DIV/0!</v>
      </c>
      <c r="F51" s="13" t="e">
        <f t="shared" si="51"/>
        <v>#DIV/0!</v>
      </c>
      <c r="G51" s="13">
        <f t="shared" si="51"/>
        <v>1</v>
      </c>
      <c r="H51" s="13">
        <f t="shared" si="51"/>
        <v>0.89136727396560533</v>
      </c>
      <c r="I51" s="13">
        <v>0.89</v>
      </c>
      <c r="J51" s="13">
        <v>0.89</v>
      </c>
      <c r="K51" s="13"/>
      <c r="L51" s="13"/>
      <c r="M51" s="13"/>
      <c r="N51" s="13"/>
      <c r="O51" s="13"/>
      <c r="P51" s="13"/>
      <c r="Q51" s="13"/>
      <c r="R51" s="13"/>
      <c r="V51" s="13">
        <f>V34/V29</f>
        <v>0.87703055776439853</v>
      </c>
      <c r="W51" s="13">
        <f>W34/W29</f>
        <v>0.87871605955999799</v>
      </c>
      <c r="X51" s="13">
        <f>X34/X29</f>
        <v>0.89035108114392003</v>
      </c>
      <c r="Y51" s="13">
        <v>0.89</v>
      </c>
      <c r="Z51" s="13">
        <v>0.89</v>
      </c>
      <c r="AA51" s="13">
        <v>0.89</v>
      </c>
      <c r="AB51" s="13">
        <v>0.89</v>
      </c>
      <c r="AC51" s="13">
        <v>0.89</v>
      </c>
      <c r="AD51" s="13">
        <v>0.89</v>
      </c>
      <c r="AE51" s="13"/>
      <c r="AF51" s="13"/>
      <c r="AG51" s="13"/>
      <c r="AH51" s="13"/>
    </row>
    <row r="52" spans="2:34" s="10" customFormat="1" x14ac:dyDescent="0.2">
      <c r="B52" s="6" t="s">
        <v>34</v>
      </c>
      <c r="C52" s="14" t="e">
        <f t="shared" ref="C52:J52" si="52">C39/C29</f>
        <v>#DIV/0!</v>
      </c>
      <c r="D52" s="14">
        <f t="shared" si="52"/>
        <v>0.36296854398191752</v>
      </c>
      <c r="E52" s="14" t="e">
        <f t="shared" si="52"/>
        <v>#DIV/0!</v>
      </c>
      <c r="F52" s="14" t="e">
        <f t="shared" si="52"/>
        <v>#DIV/0!</v>
      </c>
      <c r="G52" s="14">
        <f t="shared" si="52"/>
        <v>1</v>
      </c>
      <c r="H52" s="14">
        <f t="shared" si="52"/>
        <v>0.36608207049208241</v>
      </c>
      <c r="I52" s="14">
        <f t="shared" si="52"/>
        <v>0.36188983050847462</v>
      </c>
      <c r="J52" s="14">
        <f t="shared" si="52"/>
        <v>0.36706738118976412</v>
      </c>
      <c r="K52" s="14"/>
      <c r="L52" s="14"/>
      <c r="M52" s="14"/>
      <c r="N52" s="14"/>
      <c r="O52" s="14"/>
      <c r="P52" s="14"/>
      <c r="Q52" s="14"/>
      <c r="R52" s="14"/>
      <c r="V52" s="14">
        <f t="shared" ref="V52:AD52" si="53">V39/V29</f>
        <v>0.35595819606952173</v>
      </c>
      <c r="W52" s="14">
        <f t="shared" si="53"/>
        <v>0.35128033386573237</v>
      </c>
      <c r="X52" s="14">
        <f t="shared" si="53"/>
        <v>0.36782143687514529</v>
      </c>
      <c r="Y52" s="14">
        <f t="shared" si="53"/>
        <v>0.37285333288671529</v>
      </c>
      <c r="Z52" s="14">
        <f t="shared" si="53"/>
        <v>0.37380000000000008</v>
      </c>
      <c r="AA52" s="14">
        <f>AA39/AA29</f>
        <v>0.37380000000000002</v>
      </c>
      <c r="AB52" s="14">
        <f t="shared" si="53"/>
        <v>0.37380000000000008</v>
      </c>
      <c r="AC52" s="14">
        <f t="shared" si="53"/>
        <v>0.37380000000000008</v>
      </c>
      <c r="AD52" s="14">
        <f t="shared" si="53"/>
        <v>0.37380000000000002</v>
      </c>
      <c r="AE52" s="14"/>
      <c r="AF52" s="14"/>
      <c r="AG52" s="14"/>
      <c r="AH52" s="14"/>
    </row>
    <row r="54" spans="2:34" x14ac:dyDescent="0.2">
      <c r="B54" s="35" t="s">
        <v>27</v>
      </c>
      <c r="C54" s="6">
        <f t="shared" ref="C54:H54" si="54">C55-C56</f>
        <v>0</v>
      </c>
      <c r="D54" s="6">
        <f t="shared" si="54"/>
        <v>0</v>
      </c>
      <c r="E54" s="6">
        <f t="shared" si="54"/>
        <v>0</v>
      </c>
      <c r="F54" s="6">
        <f t="shared" si="54"/>
        <v>0</v>
      </c>
      <c r="G54" s="6">
        <f t="shared" si="54"/>
        <v>-262</v>
      </c>
      <c r="H54" s="6">
        <f t="shared" si="54"/>
        <v>-1907</v>
      </c>
      <c r="I54" s="6">
        <f>H54+I43</f>
        <v>-210.32199999999966</v>
      </c>
      <c r="J54" s="6">
        <f>I54+J43</f>
        <v>1555.6252680000007</v>
      </c>
      <c r="K54" s="6"/>
      <c r="L54" s="6"/>
      <c r="M54" s="6"/>
      <c r="N54" s="6"/>
      <c r="O54" s="6"/>
      <c r="P54" s="6"/>
      <c r="Q54" s="6"/>
      <c r="R54" s="6"/>
      <c r="U54" s="35"/>
      <c r="W54" s="6">
        <f>W55-SUM(W66,W70)</f>
        <v>2674</v>
      </c>
      <c r="X54" s="6">
        <f>X55-SUM(X66,X70)</f>
        <v>316</v>
      </c>
      <c r="Y54" s="6">
        <f>J54</f>
        <v>1555.6252680000007</v>
      </c>
      <c r="Z54" s="6">
        <f t="shared" ref="Z54:AD54" si="55">Y54+Z43</f>
        <v>9178.7783426916012</v>
      </c>
      <c r="AA54" s="6">
        <f t="shared" si="55"/>
        <v>16792.782842740511</v>
      </c>
      <c r="AB54" s="6">
        <f t="shared" si="55"/>
        <v>25341.546411513627</v>
      </c>
      <c r="AC54" s="6">
        <f t="shared" si="55"/>
        <v>34926.544954952842</v>
      </c>
      <c r="AD54" s="6">
        <f t="shared" si="55"/>
        <v>45660.301870276598</v>
      </c>
    </row>
    <row r="55" spans="2:34" x14ac:dyDescent="0.2">
      <c r="B55" s="35" t="s">
        <v>3</v>
      </c>
      <c r="G55" s="6">
        <f>6758+677</f>
        <v>7435</v>
      </c>
      <c r="H55" s="4">
        <f>4931+782</f>
        <v>5713</v>
      </c>
      <c r="U55" s="35"/>
      <c r="W55" s="6">
        <f>7141+701</f>
        <v>7842</v>
      </c>
      <c r="X55" s="6">
        <v>7613</v>
      </c>
    </row>
    <row r="56" spans="2:34" x14ac:dyDescent="0.2">
      <c r="B56" s="35" t="s">
        <v>100</v>
      </c>
      <c r="G56" s="6">
        <f>6155+143+567+334+498</f>
        <v>7697</v>
      </c>
      <c r="H56" s="4">
        <f>6166+114+477+323+540</f>
        <v>7620</v>
      </c>
      <c r="U56" s="35"/>
      <c r="W56" s="6">
        <v>2224</v>
      </c>
      <c r="X56" s="6">
        <v>2072</v>
      </c>
    </row>
    <row r="57" spans="2:34" x14ac:dyDescent="0.2">
      <c r="B57" s="35" t="s">
        <v>101</v>
      </c>
      <c r="U57" s="35"/>
      <c r="W57" s="6">
        <v>1018</v>
      </c>
      <c r="X57" s="6">
        <v>1274</v>
      </c>
    </row>
    <row r="58" spans="2:34" x14ac:dyDescent="0.2">
      <c r="B58" s="35" t="s">
        <v>102</v>
      </c>
      <c r="U58" s="35"/>
      <c r="W58" s="6">
        <v>358</v>
      </c>
      <c r="X58" s="6">
        <v>281</v>
      </c>
    </row>
    <row r="59" spans="2:34" x14ac:dyDescent="0.2">
      <c r="B59" s="35" t="s">
        <v>36</v>
      </c>
      <c r="U59" s="35"/>
      <c r="W59" s="6">
        <v>12805</v>
      </c>
      <c r="X59" s="6">
        <v>12788</v>
      </c>
    </row>
    <row r="60" spans="2:34" x14ac:dyDescent="0.2">
      <c r="B60" s="35" t="s">
        <v>37</v>
      </c>
      <c r="U60" s="35"/>
      <c r="W60" s="6">
        <v>1088</v>
      </c>
      <c r="X60" s="6">
        <v>782</v>
      </c>
    </row>
    <row r="61" spans="2:34" x14ac:dyDescent="0.2">
      <c r="B61" s="35" t="s">
        <v>98</v>
      </c>
      <c r="U61" s="35"/>
      <c r="W61" s="6">
        <v>1191</v>
      </c>
      <c r="X61" s="6">
        <v>1657</v>
      </c>
    </row>
    <row r="62" spans="2:34" x14ac:dyDescent="0.2">
      <c r="B62" s="35" t="s">
        <v>35</v>
      </c>
      <c r="U62" s="35"/>
      <c r="W62" s="6">
        <v>2030</v>
      </c>
      <c r="X62" s="6">
        <v>1936</v>
      </c>
    </row>
    <row r="63" spans="2:34" x14ac:dyDescent="0.2">
      <c r="B63" s="35" t="s">
        <v>103</v>
      </c>
      <c r="U63" s="35"/>
      <c r="W63" s="6">
        <v>1223</v>
      </c>
      <c r="X63" s="6">
        <v>1554</v>
      </c>
    </row>
    <row r="64" spans="2:34" x14ac:dyDescent="0.2">
      <c r="B64" s="35" t="s">
        <v>38</v>
      </c>
      <c r="U64" s="35"/>
      <c r="W64" s="6">
        <f>SUM(W55:W63)</f>
        <v>29779</v>
      </c>
      <c r="X64" s="6">
        <f>SUM(X55:X63)</f>
        <v>29957</v>
      </c>
    </row>
    <row r="65" spans="2:35" x14ac:dyDescent="0.2">
      <c r="AA65" s="14"/>
      <c r="AB65" s="14"/>
      <c r="AC65" s="14"/>
    </row>
    <row r="66" spans="2:35" x14ac:dyDescent="0.2">
      <c r="B66" s="35" t="s">
        <v>4</v>
      </c>
      <c r="W66" s="6">
        <f>5083</f>
        <v>5083</v>
      </c>
      <c r="X66" s="6">
        <f>5679+1499</f>
        <v>7178</v>
      </c>
    </row>
    <row r="67" spans="2:35" x14ac:dyDescent="0.2">
      <c r="B67" s="35" t="s">
        <v>53</v>
      </c>
      <c r="W67" s="6">
        <v>314</v>
      </c>
      <c r="X67" s="6">
        <v>361</v>
      </c>
      <c r="Y67" s="6">
        <f>(Y33/360)*56</f>
        <v>403.82222222222214</v>
      </c>
      <c r="Z67" s="6">
        <f t="shared" ref="Z67:AD67" si="56">(Z33/360)*56</f>
        <v>439.58307555555547</v>
      </c>
      <c r="AA67" s="6">
        <f t="shared" si="56"/>
        <v>428.58421691555549</v>
      </c>
      <c r="AB67" s="6">
        <f t="shared" si="56"/>
        <v>472.29212834906679</v>
      </c>
      <c r="AC67" s="6">
        <f t="shared" si="56"/>
        <v>520.59631593603831</v>
      </c>
      <c r="AD67" s="6">
        <f t="shared" si="56"/>
        <v>573.99756527339287</v>
      </c>
    </row>
    <row r="68" spans="2:35" x14ac:dyDescent="0.2">
      <c r="B68" s="35" t="s">
        <v>104</v>
      </c>
      <c r="W68" s="6">
        <v>1942</v>
      </c>
      <c r="X68" s="6">
        <v>2336</v>
      </c>
      <c r="Y68" s="6">
        <f t="shared" ref="Y68:AD68" si="57">0.3*SUM(Y36:Y37)</f>
        <v>2362.9320000000002</v>
      </c>
      <c r="Z68" s="6">
        <f>0.3*SUM(Z36:Z37)</f>
        <v>2551.9665600000003</v>
      </c>
      <c r="AA68" s="6">
        <f t="shared" si="57"/>
        <v>2756.1238848000007</v>
      </c>
      <c r="AB68" s="6">
        <f t="shared" si="57"/>
        <v>2976.6137955840004</v>
      </c>
      <c r="AC68" s="6">
        <f t="shared" si="57"/>
        <v>3214.7428992307205</v>
      </c>
      <c r="AD68" s="6">
        <f t="shared" si="57"/>
        <v>3471.922331169179</v>
      </c>
    </row>
    <row r="69" spans="2:35" x14ac:dyDescent="0.2">
      <c r="B69" s="35" t="s">
        <v>54</v>
      </c>
      <c r="W69" s="6">
        <v>5837</v>
      </c>
      <c r="X69" s="6">
        <v>6131</v>
      </c>
      <c r="Y69" s="6">
        <f>0.3*Y29</f>
        <v>7080</v>
      </c>
      <c r="Z69" s="6">
        <f t="shared" ref="Z69:AD69" si="58">0.3*Z29</f>
        <v>7706.9759999999987</v>
      </c>
      <c r="AA69" s="6">
        <f t="shared" si="58"/>
        <v>7514.138868</v>
      </c>
      <c r="AB69" s="6">
        <f t="shared" si="58"/>
        <v>8280.4464061200015</v>
      </c>
      <c r="AC69" s="6">
        <f t="shared" si="58"/>
        <v>9127.3380066708014</v>
      </c>
      <c r="AD69" s="6">
        <f t="shared" si="58"/>
        <v>10063.593676871173</v>
      </c>
    </row>
    <row r="70" spans="2:35" x14ac:dyDescent="0.2">
      <c r="B70" s="35" t="s">
        <v>105</v>
      </c>
      <c r="W70" s="6">
        <v>85</v>
      </c>
      <c r="X70" s="6">
        <v>119</v>
      </c>
    </row>
    <row r="71" spans="2:35" x14ac:dyDescent="0.2">
      <c r="B71" s="35" t="s">
        <v>40</v>
      </c>
      <c r="W71" s="6">
        <f>SUM(W66:W70)</f>
        <v>13261</v>
      </c>
      <c r="X71" s="6">
        <f>SUM(X66:X70)</f>
        <v>16125</v>
      </c>
    </row>
    <row r="72" spans="2:35" x14ac:dyDescent="0.2">
      <c r="B72" s="35" t="s">
        <v>39</v>
      </c>
      <c r="W72" s="6">
        <f>W64-W71</f>
        <v>16518</v>
      </c>
      <c r="X72" s="6">
        <f>X64-X71</f>
        <v>13832</v>
      </c>
    </row>
    <row r="73" spans="2:35" x14ac:dyDescent="0.2">
      <c r="B73" s="35" t="s">
        <v>41</v>
      </c>
      <c r="W73" s="6">
        <f>W71+W72</f>
        <v>29779</v>
      </c>
      <c r="X73" s="6">
        <f>X71+X72</f>
        <v>29957</v>
      </c>
    </row>
    <row r="74" spans="2:35" x14ac:dyDescent="0.2">
      <c r="W74" s="14"/>
      <c r="X74" s="14"/>
    </row>
    <row r="75" spans="2:35" x14ac:dyDescent="0.2">
      <c r="B75" s="6" t="s">
        <v>49</v>
      </c>
      <c r="W75" s="6">
        <f>W56/W29*360</f>
        <v>41.250966046679373</v>
      </c>
      <c r="X75" s="6">
        <f>X56/X29*360</f>
        <v>34.68588700302255</v>
      </c>
    </row>
    <row r="76" spans="2:35" x14ac:dyDescent="0.2">
      <c r="B76" s="31" t="s">
        <v>114</v>
      </c>
      <c r="W76" s="6">
        <f>(W67/V33)*360</f>
        <v>52.212471131639724</v>
      </c>
      <c r="X76" s="6">
        <f>(X67/W33)*360</f>
        <v>55.208156329651651</v>
      </c>
      <c r="Y76" s="6">
        <f t="shared" ref="Y76:AD76" si="59">(Y67/X33)*360</f>
        <v>61.652247667514835</v>
      </c>
      <c r="Z76" s="6">
        <f t="shared" si="59"/>
        <v>60.959132203389828</v>
      </c>
      <c r="AA76" s="6">
        <f t="shared" si="59"/>
        <v>54.598817565800125</v>
      </c>
      <c r="AB76" s="6">
        <f t="shared" si="59"/>
        <v>61.710996680866799</v>
      </c>
      <c r="AC76" s="6">
        <f t="shared" si="59"/>
        <v>61.727460490027781</v>
      </c>
      <c r="AD76" s="6">
        <f t="shared" si="59"/>
        <v>61.744316414369848</v>
      </c>
    </row>
    <row r="77" spans="2:35" x14ac:dyDescent="0.2">
      <c r="V77" s="14"/>
      <c r="W77" s="14"/>
      <c r="X77" s="14"/>
      <c r="Y77" s="14"/>
      <c r="Z77" s="14"/>
      <c r="AA77" s="14"/>
      <c r="AB77" s="14"/>
      <c r="AC77" s="14"/>
    </row>
    <row r="78" spans="2:35" s="10" customFormat="1" x14ac:dyDescent="0.2">
      <c r="B78" s="6" t="s">
        <v>50</v>
      </c>
      <c r="V78" s="31">
        <f t="shared" ref="V78:AE78" si="60">V43</f>
        <v>6136</v>
      </c>
      <c r="W78" s="31">
        <f t="shared" si="60"/>
        <v>6721</v>
      </c>
      <c r="X78" s="31">
        <f t="shared" si="60"/>
        <v>7789</v>
      </c>
      <c r="Y78" s="31">
        <f t="shared" si="60"/>
        <v>8783.458741126482</v>
      </c>
      <c r="Z78" s="31">
        <f t="shared" si="60"/>
        <v>7623.1530746916005</v>
      </c>
      <c r="AA78" s="31">
        <f t="shared" si="60"/>
        <v>7614.0045000489117</v>
      </c>
      <c r="AB78" s="31">
        <f t="shared" si="60"/>
        <v>8548.7635687731145</v>
      </c>
      <c r="AC78" s="31">
        <f t="shared" si="60"/>
        <v>9584.9985434392111</v>
      </c>
      <c r="AD78" s="31">
        <f t="shared" si="60"/>
        <v>10733.756915323755</v>
      </c>
      <c r="AE78" s="31">
        <f t="shared" si="60"/>
        <v>10005.057777890286</v>
      </c>
      <c r="AI78" s="35"/>
    </row>
    <row r="79" spans="2:35" x14ac:dyDescent="0.2">
      <c r="B79" s="6" t="s">
        <v>51</v>
      </c>
      <c r="V79" s="6">
        <v>4756</v>
      </c>
      <c r="W79" s="6">
        <v>5428</v>
      </c>
      <c r="X79" s="6">
        <v>5560</v>
      </c>
      <c r="Y79" s="14"/>
      <c r="AI79" s="35"/>
    </row>
    <row r="80" spans="2:35" x14ac:dyDescent="0.2">
      <c r="B80" s="6" t="s">
        <v>52</v>
      </c>
      <c r="V80" s="6">
        <v>856</v>
      </c>
      <c r="W80" s="6">
        <v>872</v>
      </c>
      <c r="X80" s="6">
        <v>857</v>
      </c>
      <c r="Y80" s="6">
        <f>X80*(1+Y47)</f>
        <v>940.48825854452457</v>
      </c>
      <c r="Z80" s="6">
        <f>0.04*Z29</f>
        <v>1027.5968</v>
      </c>
      <c r="AA80" s="6">
        <f t="shared" ref="AA80:AE80" si="61">0.04*AA29</f>
        <v>1001.8851824000001</v>
      </c>
      <c r="AB80" s="6">
        <f t="shared" si="61"/>
        <v>1104.0595208160003</v>
      </c>
      <c r="AC80" s="6">
        <f t="shared" si="61"/>
        <v>1216.9784008894403</v>
      </c>
      <c r="AD80" s="6">
        <f t="shared" si="61"/>
        <v>1341.8124902494899</v>
      </c>
      <c r="AE80" s="6">
        <f t="shared" si="61"/>
        <v>1355.2306151519847</v>
      </c>
      <c r="AI80" s="35"/>
    </row>
    <row r="81" spans="2:131" x14ac:dyDescent="0.2">
      <c r="B81" s="31" t="s">
        <v>99</v>
      </c>
      <c r="V81" s="6">
        <v>1440</v>
      </c>
      <c r="W81" s="6">
        <v>1718</v>
      </c>
      <c r="X81" s="6">
        <v>1833</v>
      </c>
      <c r="Y81" s="6">
        <f>Y29*0.08</f>
        <v>1888</v>
      </c>
      <c r="AI81" s="35"/>
    </row>
    <row r="82" spans="2:131" x14ac:dyDescent="0.2">
      <c r="B82" s="31" t="s">
        <v>98</v>
      </c>
      <c r="V82" s="6">
        <v>328</v>
      </c>
      <c r="W82" s="6">
        <v>-426</v>
      </c>
      <c r="X82" s="6">
        <v>-468</v>
      </c>
      <c r="Y82" s="6">
        <f>X82*(1+Y47)</f>
        <v>-513.59218786328768</v>
      </c>
      <c r="AI82" s="35"/>
    </row>
    <row r="83" spans="2:131" x14ac:dyDescent="0.2">
      <c r="B83" s="31" t="s">
        <v>88</v>
      </c>
      <c r="V83" s="6">
        <v>29</v>
      </c>
      <c r="W83" s="6">
        <v>-10</v>
      </c>
      <c r="X83" s="6">
        <v>-35</v>
      </c>
      <c r="Y83" s="6">
        <f>X83*(1+Y47)</f>
        <v>-38.409672169262961</v>
      </c>
      <c r="AI83" s="35"/>
      <c r="AJ83" s="18"/>
    </row>
    <row r="84" spans="2:131" x14ac:dyDescent="0.2">
      <c r="B84" s="31" t="s">
        <v>90</v>
      </c>
      <c r="V84" s="6">
        <v>10</v>
      </c>
      <c r="W84" s="6">
        <v>3</v>
      </c>
      <c r="X84" s="6">
        <v>10</v>
      </c>
      <c r="Y84" s="6">
        <f>X84*(1+Y47)</f>
        <v>10.974192048360846</v>
      </c>
      <c r="AI84" s="35"/>
      <c r="AJ84" s="18"/>
    </row>
    <row r="85" spans="2:131" x14ac:dyDescent="0.2">
      <c r="B85" s="31" t="s">
        <v>86</v>
      </c>
      <c r="V85" s="6">
        <f>SUM(V67:V69)</f>
        <v>0</v>
      </c>
      <c r="W85" s="6">
        <f t="shared" ref="W85:AE85" si="62">SUM(W67:W69)</f>
        <v>8093</v>
      </c>
      <c r="X85" s="6">
        <f t="shared" si="62"/>
        <v>8828</v>
      </c>
      <c r="Y85" s="6">
        <f t="shared" si="62"/>
        <v>9846.7542222222219</v>
      </c>
      <c r="Z85" s="6">
        <f t="shared" si="62"/>
        <v>10698.525635555554</v>
      </c>
      <c r="AA85" s="6">
        <f t="shared" si="62"/>
        <v>10698.846969715556</v>
      </c>
      <c r="AB85" s="6">
        <f t="shared" si="62"/>
        <v>11729.352330053069</v>
      </c>
      <c r="AC85" s="6">
        <f t="shared" si="62"/>
        <v>12862.677221837559</v>
      </c>
      <c r="AD85" s="6">
        <f t="shared" si="62"/>
        <v>14109.513573313745</v>
      </c>
      <c r="AE85" s="6">
        <f t="shared" si="62"/>
        <v>0</v>
      </c>
      <c r="AI85" s="35"/>
      <c r="AJ85" s="18"/>
    </row>
    <row r="86" spans="2:131" x14ac:dyDescent="0.2">
      <c r="B86" s="31" t="s">
        <v>25</v>
      </c>
      <c r="V86" s="6">
        <f>SUM(V79:V84)</f>
        <v>7419</v>
      </c>
      <c r="W86" s="6">
        <f t="shared" ref="W86:X86" si="63">SUM(W79:W84)</f>
        <v>7585</v>
      </c>
      <c r="X86" s="6">
        <f t="shared" si="63"/>
        <v>7757</v>
      </c>
      <c r="Y86" s="6">
        <f>SUM(Y78:Y84)</f>
        <v>11070.919331686819</v>
      </c>
      <c r="Z86" s="6">
        <f t="shared" ref="Z86:AE86" si="64">SUM(Z78:Z84)</f>
        <v>8650.7498746916008</v>
      </c>
      <c r="AA86" s="6">
        <f t="shared" si="64"/>
        <v>8615.8896824489111</v>
      </c>
      <c r="AB86" s="6">
        <f t="shared" si="64"/>
        <v>9652.8230895891138</v>
      </c>
      <c r="AC86" s="6">
        <f t="shared" si="64"/>
        <v>10801.976944328651</v>
      </c>
      <c r="AD86" s="6">
        <f t="shared" si="64"/>
        <v>12075.569405573244</v>
      </c>
      <c r="AE86" s="6">
        <f t="shared" si="64"/>
        <v>11360.28839304227</v>
      </c>
      <c r="AJ86" s="18"/>
    </row>
    <row r="87" spans="2:131" x14ac:dyDescent="0.2">
      <c r="B87" s="31" t="s">
        <v>115</v>
      </c>
      <c r="X87" s="6">
        <f>X85-W85</f>
        <v>735</v>
      </c>
      <c r="Y87" s="6">
        <f>Y85-X85</f>
        <v>1018.7542222222219</v>
      </c>
      <c r="Z87" s="6">
        <f t="shared" ref="Z87:AD87" si="65">Z85-Y85</f>
        <v>851.77141333333202</v>
      </c>
      <c r="AA87" s="6">
        <f t="shared" si="65"/>
        <v>0.3213341600021522</v>
      </c>
      <c r="AB87" s="6">
        <f t="shared" si="65"/>
        <v>1030.5053603375127</v>
      </c>
      <c r="AC87" s="6">
        <f t="shared" si="65"/>
        <v>1133.3248917844903</v>
      </c>
      <c r="AD87" s="6">
        <f t="shared" si="65"/>
        <v>1246.8363514761859</v>
      </c>
      <c r="AE87" s="6">
        <v>0</v>
      </c>
      <c r="AJ87" s="18"/>
    </row>
    <row r="88" spans="2:131" x14ac:dyDescent="0.2">
      <c r="V88" s="14"/>
      <c r="W88" s="14"/>
      <c r="X88" s="14"/>
      <c r="Y88" s="14"/>
      <c r="Z88" s="14"/>
      <c r="AJ88" s="18"/>
    </row>
    <row r="89" spans="2:131" x14ac:dyDescent="0.2">
      <c r="B89" s="35" t="s">
        <v>87</v>
      </c>
      <c r="V89" s="6">
        <v>-568</v>
      </c>
      <c r="W89" s="6">
        <v>-360</v>
      </c>
      <c r="X89" s="6">
        <v>-183</v>
      </c>
      <c r="Y89" s="6">
        <v>-300</v>
      </c>
      <c r="Z89" s="31">
        <f>-0.02*Z29</f>
        <v>-513.79840000000002</v>
      </c>
      <c r="AA89" s="31">
        <f>-0.02*AA29</f>
        <v>-500.94259120000004</v>
      </c>
      <c r="AB89" s="31">
        <f>-0.02*AB29</f>
        <v>-552.02976040800013</v>
      </c>
      <c r="AC89" s="31">
        <f>-0.02*AC29</f>
        <v>-608.48920044472015</v>
      </c>
      <c r="AD89" s="31">
        <f>-0.02*AD29</f>
        <v>-670.90624512474494</v>
      </c>
      <c r="AE89" s="31">
        <f>-AE80</f>
        <v>-1355.2306151519847</v>
      </c>
    </row>
    <row r="90" spans="2:131" x14ac:dyDescent="0.2">
      <c r="B90" s="35" t="s">
        <v>88</v>
      </c>
      <c r="V90" s="6">
        <v>-2</v>
      </c>
      <c r="W90" s="6">
        <v>1136</v>
      </c>
      <c r="X90" s="6">
        <v>332</v>
      </c>
    </row>
    <row r="91" spans="2:131" x14ac:dyDescent="0.2">
      <c r="B91" s="35" t="s">
        <v>89</v>
      </c>
    </row>
    <row r="92" spans="2:131" x14ac:dyDescent="0.2">
      <c r="B92" s="35" t="s">
        <v>90</v>
      </c>
      <c r="AH92" s="9"/>
    </row>
    <row r="93" spans="2:131" x14ac:dyDescent="0.2">
      <c r="B93" s="35" t="s">
        <v>91</v>
      </c>
      <c r="V93" s="6">
        <f>SUM(V89:V92)</f>
        <v>-570</v>
      </c>
      <c r="W93" s="6">
        <f t="shared" ref="W93:AE93" si="66">SUM(W89:W92)</f>
        <v>776</v>
      </c>
      <c r="X93" s="6">
        <f t="shared" si="66"/>
        <v>149</v>
      </c>
      <c r="Y93" s="6">
        <f t="shared" si="66"/>
        <v>-300</v>
      </c>
      <c r="Z93" s="6">
        <f t="shared" si="66"/>
        <v>-513.79840000000002</v>
      </c>
      <c r="AA93" s="6">
        <f t="shared" si="66"/>
        <v>-500.94259120000004</v>
      </c>
      <c r="AB93" s="6">
        <f t="shared" si="66"/>
        <v>-552.02976040800013</v>
      </c>
      <c r="AC93" s="6">
        <f t="shared" si="66"/>
        <v>-608.48920044472015</v>
      </c>
      <c r="AD93" s="6">
        <f t="shared" si="66"/>
        <v>-670.90624512474494</v>
      </c>
      <c r="AE93" s="6">
        <f t="shared" si="66"/>
        <v>-1355.2306151519847</v>
      </c>
    </row>
    <row r="94" spans="2:131" x14ac:dyDescent="0.2">
      <c r="V94" s="14"/>
      <c r="W94" s="14"/>
      <c r="X94" s="14"/>
      <c r="Y94" s="14"/>
      <c r="Z94" s="14"/>
      <c r="AA94" s="14"/>
      <c r="AB94" s="14"/>
      <c r="AC94" s="14"/>
      <c r="AD94" s="14"/>
      <c r="AE94" s="14"/>
    </row>
    <row r="95" spans="2:131" x14ac:dyDescent="0.2">
      <c r="B95" s="35" t="s">
        <v>92</v>
      </c>
      <c r="V95" s="14"/>
      <c r="W95" s="14"/>
      <c r="X95" s="14"/>
      <c r="Z95" s="9"/>
      <c r="AA95" s="9"/>
      <c r="AB95" s="9"/>
      <c r="AC95" s="9"/>
      <c r="AD95" s="9"/>
      <c r="AE95" s="9"/>
      <c r="AG95" s="6" t="s">
        <v>29</v>
      </c>
      <c r="AH95" s="14">
        <v>0.03</v>
      </c>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row>
    <row r="96" spans="2:131" x14ac:dyDescent="0.2">
      <c r="B96" s="35" t="s">
        <v>93</v>
      </c>
      <c r="AG96" s="6" t="s">
        <v>30</v>
      </c>
      <c r="AH96" s="14">
        <v>0.01</v>
      </c>
    </row>
    <row r="97" spans="2:113" x14ac:dyDescent="0.2">
      <c r="B97" s="35" t="s">
        <v>94</v>
      </c>
      <c r="AG97" s="6" t="s">
        <v>31</v>
      </c>
      <c r="AH97" s="15">
        <v>8.5000000000000006E-2</v>
      </c>
    </row>
    <row r="98" spans="2:113" x14ac:dyDescent="0.2">
      <c r="B98" s="35" t="s">
        <v>90</v>
      </c>
      <c r="AG98" s="6" t="s">
        <v>32</v>
      </c>
      <c r="AH98" s="20">
        <f>NPV(AH97,Z103:DI103)+Main!K5-Main!K6</f>
        <v>120626.04386399603</v>
      </c>
    </row>
    <row r="99" spans="2:113" x14ac:dyDescent="0.2">
      <c r="B99" s="35" t="s">
        <v>95</v>
      </c>
      <c r="V99" s="6">
        <f>SUM(V95:V98)</f>
        <v>0</v>
      </c>
      <c r="W99" s="6">
        <f t="shared" ref="W99:AE99" si="67">SUM(W95:W98)</f>
        <v>0</v>
      </c>
      <c r="X99" s="6">
        <f t="shared" si="67"/>
        <v>0</v>
      </c>
      <c r="Y99" s="6">
        <f t="shared" si="67"/>
        <v>0</v>
      </c>
      <c r="Z99" s="6">
        <f t="shared" si="67"/>
        <v>0</v>
      </c>
      <c r="AA99" s="6">
        <f t="shared" si="67"/>
        <v>0</v>
      </c>
      <c r="AB99" s="6">
        <f t="shared" si="67"/>
        <v>0</v>
      </c>
      <c r="AC99" s="6">
        <f t="shared" si="67"/>
        <v>0</v>
      </c>
      <c r="AD99" s="6">
        <f t="shared" si="67"/>
        <v>0</v>
      </c>
      <c r="AE99" s="6">
        <f t="shared" si="67"/>
        <v>0</v>
      </c>
      <c r="AG99" s="19" t="s">
        <v>61</v>
      </c>
      <c r="AH99" s="9">
        <f>AH98/Main!K3</f>
        <v>293.85150758586121</v>
      </c>
    </row>
    <row r="100" spans="2:113" x14ac:dyDescent="0.2">
      <c r="B100" s="35" t="s">
        <v>96</v>
      </c>
      <c r="AH100" s="14">
        <f>AH99/Main!K2-1</f>
        <v>0.13019810609946614</v>
      </c>
    </row>
    <row r="101" spans="2:113" x14ac:dyDescent="0.2">
      <c r="B101" s="35" t="s">
        <v>97</v>
      </c>
      <c r="V101" s="6">
        <f t="shared" ref="V101:AE101" si="68">V86+V93+V99+V100</f>
        <v>6849</v>
      </c>
      <c r="W101" s="6">
        <f t="shared" si="68"/>
        <v>8361</v>
      </c>
      <c r="X101" s="6">
        <f t="shared" si="68"/>
        <v>7906</v>
      </c>
      <c r="Y101" s="6">
        <f t="shared" si="68"/>
        <v>10770.919331686819</v>
      </c>
      <c r="Z101" s="6">
        <f t="shared" si="68"/>
        <v>8136.9514746916011</v>
      </c>
      <c r="AA101" s="6">
        <f t="shared" si="68"/>
        <v>8114.9470912489114</v>
      </c>
      <c r="AB101" s="6">
        <f t="shared" si="68"/>
        <v>9100.7933291811132</v>
      </c>
      <c r="AC101" s="6">
        <f t="shared" si="68"/>
        <v>10193.487743883932</v>
      </c>
      <c r="AD101" s="6">
        <f t="shared" si="68"/>
        <v>11404.663160448499</v>
      </c>
      <c r="AE101" s="6">
        <f t="shared" si="68"/>
        <v>10005.057777890286</v>
      </c>
      <c r="AG101" s="42"/>
      <c r="AH101" s="9"/>
      <c r="AI101" s="42"/>
    </row>
    <row r="103" spans="2:113" x14ac:dyDescent="0.2">
      <c r="B103" s="31" t="s">
        <v>26</v>
      </c>
      <c r="V103" s="6">
        <f>V86+V89</f>
        <v>6851</v>
      </c>
      <c r="W103" s="6">
        <f>W86+W89</f>
        <v>7225</v>
      </c>
      <c r="X103" s="6">
        <f>X86+X89</f>
        <v>7574</v>
      </c>
      <c r="Y103" s="6">
        <f>Y86+Y89</f>
        <v>10770.919331686819</v>
      </c>
      <c r="Z103" s="6">
        <f>Z86+Z89-Z87</f>
        <v>7285.1800613582691</v>
      </c>
      <c r="AA103" s="6">
        <f t="shared" ref="AA103:AE103" si="69">AA86+AA89-AA87</f>
        <v>8114.6257570889093</v>
      </c>
      <c r="AB103" s="6">
        <f t="shared" si="69"/>
        <v>8070.2879688436005</v>
      </c>
      <c r="AC103" s="6">
        <f t="shared" si="69"/>
        <v>9060.1628520994418</v>
      </c>
      <c r="AD103" s="6">
        <f t="shared" si="69"/>
        <v>10157.826808972313</v>
      </c>
      <c r="AE103" s="6">
        <f t="shared" si="69"/>
        <v>10005.057777890286</v>
      </c>
      <c r="AF103" s="6">
        <f t="shared" ref="AF103:BK103" si="70">AE103*(1+$AH$96)</f>
        <v>10105.108355669188</v>
      </c>
      <c r="AG103" s="6">
        <f t="shared" si="70"/>
        <v>10206.159439225879</v>
      </c>
      <c r="AH103" s="6">
        <f t="shared" si="70"/>
        <v>10308.221033618138</v>
      </c>
      <c r="AI103" s="6">
        <f t="shared" si="70"/>
        <v>10411.303243954319</v>
      </c>
      <c r="AJ103" s="6">
        <f t="shared" si="70"/>
        <v>10515.416276393862</v>
      </c>
      <c r="AK103" s="6">
        <f t="shared" si="70"/>
        <v>10620.5704391578</v>
      </c>
      <c r="AL103" s="6">
        <f t="shared" si="70"/>
        <v>10726.776143549378</v>
      </c>
      <c r="AM103" s="6">
        <f t="shared" si="70"/>
        <v>10834.043904984872</v>
      </c>
      <c r="AN103" s="6">
        <f t="shared" si="70"/>
        <v>10942.384344034721</v>
      </c>
      <c r="AO103" s="6">
        <f t="shared" si="70"/>
        <v>11051.808187475068</v>
      </c>
      <c r="AP103" s="6">
        <f t="shared" si="70"/>
        <v>11162.326269349818</v>
      </c>
      <c r="AQ103" s="6">
        <f t="shared" si="70"/>
        <v>11273.949532043316</v>
      </c>
      <c r="AR103" s="6">
        <f t="shared" si="70"/>
        <v>11386.689027363749</v>
      </c>
      <c r="AS103" s="6">
        <f t="shared" si="70"/>
        <v>11500.555917637386</v>
      </c>
      <c r="AT103" s="6">
        <f t="shared" si="70"/>
        <v>11615.56147681376</v>
      </c>
      <c r="AU103" s="6">
        <f t="shared" si="70"/>
        <v>11731.717091581899</v>
      </c>
      <c r="AV103" s="6">
        <f t="shared" si="70"/>
        <v>11849.034262497718</v>
      </c>
      <c r="AW103" s="6">
        <f t="shared" si="70"/>
        <v>11967.524605122695</v>
      </c>
      <c r="AX103" s="6">
        <f t="shared" si="70"/>
        <v>12087.199851173922</v>
      </c>
      <c r="AY103" s="6">
        <f t="shared" si="70"/>
        <v>12208.071849685661</v>
      </c>
      <c r="AZ103" s="6">
        <f t="shared" si="70"/>
        <v>12330.152568182517</v>
      </c>
      <c r="BA103" s="6">
        <f t="shared" si="70"/>
        <v>12453.454093864342</v>
      </c>
      <c r="BB103" s="6">
        <f t="shared" si="70"/>
        <v>12577.988634802985</v>
      </c>
      <c r="BC103" s="6">
        <f t="shared" si="70"/>
        <v>12703.768521151014</v>
      </c>
      <c r="BD103" s="6">
        <f t="shared" si="70"/>
        <v>12830.806206362524</v>
      </c>
      <c r="BE103" s="6">
        <f t="shared" si="70"/>
        <v>12959.114268426149</v>
      </c>
      <c r="BF103" s="6">
        <f t="shared" si="70"/>
        <v>13088.70541111041</v>
      </c>
      <c r="BG103" s="6">
        <f t="shared" si="70"/>
        <v>13219.592465221514</v>
      </c>
      <c r="BH103" s="6">
        <f t="shared" si="70"/>
        <v>13351.788389873729</v>
      </c>
      <c r="BI103" s="6">
        <f t="shared" si="70"/>
        <v>13485.306273772467</v>
      </c>
      <c r="BJ103" s="6">
        <f t="shared" si="70"/>
        <v>13620.159336510191</v>
      </c>
      <c r="BK103" s="6">
        <f t="shared" si="70"/>
        <v>13756.360929875293</v>
      </c>
      <c r="BL103" s="6">
        <f t="shared" ref="BL103:CQ103" si="71">BK103*(1+$AH$96)</f>
        <v>13893.924539174046</v>
      </c>
      <c r="BM103" s="6">
        <f t="shared" si="71"/>
        <v>14032.863784565787</v>
      </c>
      <c r="BN103" s="6">
        <f t="shared" si="71"/>
        <v>14173.192422411445</v>
      </c>
      <c r="BO103" s="6">
        <f t="shared" si="71"/>
        <v>14314.924346635558</v>
      </c>
      <c r="BP103" s="6">
        <f t="shared" si="71"/>
        <v>14458.073590101914</v>
      </c>
      <c r="BQ103" s="6">
        <f t="shared" si="71"/>
        <v>14602.654326002934</v>
      </c>
      <c r="BR103" s="6">
        <f t="shared" si="71"/>
        <v>14748.680869262964</v>
      </c>
      <c r="BS103" s="6">
        <f t="shared" si="71"/>
        <v>14896.167677955593</v>
      </c>
      <c r="BT103" s="6">
        <f t="shared" si="71"/>
        <v>15045.129354735149</v>
      </c>
      <c r="BU103" s="6">
        <f t="shared" si="71"/>
        <v>15195.580648282501</v>
      </c>
      <c r="BV103" s="6">
        <f t="shared" si="71"/>
        <v>15347.536454765326</v>
      </c>
      <c r="BW103" s="6">
        <f t="shared" si="71"/>
        <v>15501.01181931298</v>
      </c>
      <c r="BX103" s="6">
        <f t="shared" si="71"/>
        <v>15656.02193750611</v>
      </c>
      <c r="BY103" s="6">
        <f t="shared" si="71"/>
        <v>15812.582156881172</v>
      </c>
      <c r="BZ103" s="6">
        <f t="shared" si="71"/>
        <v>15970.707978449984</v>
      </c>
      <c r="CA103" s="6">
        <f t="shared" si="71"/>
        <v>16130.415058234485</v>
      </c>
      <c r="CB103" s="6">
        <f t="shared" si="71"/>
        <v>16291.71920881683</v>
      </c>
      <c r="CC103" s="6">
        <f t="shared" si="71"/>
        <v>16454.636400904998</v>
      </c>
      <c r="CD103" s="6">
        <f t="shared" si="71"/>
        <v>16619.182764914047</v>
      </c>
      <c r="CE103" s="6">
        <f t="shared" si="71"/>
        <v>16785.374592563188</v>
      </c>
      <c r="CF103" s="6">
        <f t="shared" si="71"/>
        <v>16953.228338488821</v>
      </c>
      <c r="CG103" s="6">
        <f t="shared" si="71"/>
        <v>17122.760621873709</v>
      </c>
      <c r="CH103" s="6">
        <f t="shared" si="71"/>
        <v>17293.988228092447</v>
      </c>
      <c r="CI103" s="6">
        <f t="shared" si="71"/>
        <v>17466.92811037337</v>
      </c>
      <c r="CJ103" s="6">
        <f t="shared" si="71"/>
        <v>17641.597391477106</v>
      </c>
      <c r="CK103" s="6">
        <f t="shared" si="71"/>
        <v>17818.013365391878</v>
      </c>
      <c r="CL103" s="6">
        <f t="shared" si="71"/>
        <v>17996.193499045796</v>
      </c>
      <c r="CM103" s="6">
        <f t="shared" si="71"/>
        <v>18176.155434036253</v>
      </c>
      <c r="CN103" s="6">
        <f t="shared" si="71"/>
        <v>18357.916988376615</v>
      </c>
      <c r="CO103" s="6">
        <f t="shared" si="71"/>
        <v>18541.496158260383</v>
      </c>
      <c r="CP103" s="6">
        <f t="shared" si="71"/>
        <v>18726.911119842985</v>
      </c>
      <c r="CQ103" s="6">
        <f t="shared" si="71"/>
        <v>18914.180231041417</v>
      </c>
      <c r="CR103" s="6">
        <f t="shared" ref="CR103:DI103" si="72">CQ103*(1+$AH$96)</f>
        <v>19103.322033351833</v>
      </c>
      <c r="CS103" s="6">
        <f t="shared" si="72"/>
        <v>19294.355253685353</v>
      </c>
      <c r="CT103" s="6">
        <f t="shared" si="72"/>
        <v>19487.298806222207</v>
      </c>
      <c r="CU103" s="6">
        <f t="shared" si="72"/>
        <v>19682.17179428443</v>
      </c>
      <c r="CV103" s="6">
        <f t="shared" si="72"/>
        <v>19878.993512227273</v>
      </c>
      <c r="CW103" s="6">
        <f t="shared" si="72"/>
        <v>20077.783447349546</v>
      </c>
      <c r="CX103" s="6">
        <f t="shared" si="72"/>
        <v>20278.56128182304</v>
      </c>
      <c r="CY103" s="6">
        <f t="shared" si="72"/>
        <v>20481.346894641272</v>
      </c>
      <c r="CZ103" s="6">
        <f t="shared" si="72"/>
        <v>20686.160363587685</v>
      </c>
      <c r="DA103" s="6">
        <f t="shared" si="72"/>
        <v>20893.021967223562</v>
      </c>
      <c r="DB103" s="6">
        <f t="shared" si="72"/>
        <v>21101.952186895796</v>
      </c>
      <c r="DC103" s="6">
        <f t="shared" si="72"/>
        <v>21312.971708764755</v>
      </c>
      <c r="DD103" s="6">
        <f t="shared" si="72"/>
        <v>21526.101425852401</v>
      </c>
      <c r="DE103" s="6">
        <f t="shared" si="72"/>
        <v>21741.362440110926</v>
      </c>
      <c r="DF103" s="6">
        <f t="shared" si="72"/>
        <v>21958.776064512036</v>
      </c>
      <c r="DG103" s="6">
        <f t="shared" si="72"/>
        <v>22178.363825157157</v>
      </c>
      <c r="DH103" s="6">
        <f t="shared" si="72"/>
        <v>22400.147463408728</v>
      </c>
      <c r="DI103" s="6">
        <f t="shared" si="72"/>
        <v>22624.148938042814</v>
      </c>
    </row>
    <row r="105" spans="2:113" x14ac:dyDescent="0.2">
      <c r="B105" s="5" t="s">
        <v>176</v>
      </c>
      <c r="AG105" s="14">
        <f>((NPV(AH97,Z103:DI103)+Main!K5-Main!K6)/Main!K3)/Main!K2-1</f>
        <v>0.13019810609946614</v>
      </c>
      <c r="AH105" s="14">
        <v>7.0000000000000007E-2</v>
      </c>
      <c r="AI105" s="14">
        <v>0.08</v>
      </c>
      <c r="AJ105" s="15">
        <v>8.5000000000000006E-2</v>
      </c>
      <c r="AK105" s="14">
        <v>0.09</v>
      </c>
      <c r="AL105" s="14">
        <v>0.1</v>
      </c>
      <c r="AM105" s="14">
        <v>0.11</v>
      </c>
      <c r="AN105" s="31" t="s">
        <v>31</v>
      </c>
    </row>
    <row r="106" spans="2:113" x14ac:dyDescent="0.2">
      <c r="B106" s="5" t="s">
        <v>32</v>
      </c>
      <c r="AG106" s="6">
        <v>40</v>
      </c>
      <c r="AH106" s="14">
        <f t="dataTable" ref="AH106:AM112" dt2D="1" dtr="1" r1="AH97" r2="AA12"/>
        <v>0.27067977037073798</v>
      </c>
      <c r="AI106" s="14">
        <v>8.8432375797382612E-2</v>
      </c>
      <c r="AJ106" s="14">
        <v>1.4712216531189926E-2</v>
      </c>
      <c r="AK106" s="14">
        <v>-5.0070248531448036E-2</v>
      </c>
      <c r="AL106" s="14">
        <v>-0.15844717826113741</v>
      </c>
      <c r="AM106" s="14">
        <v>-0.24536303216826005</v>
      </c>
    </row>
    <row r="107" spans="2:113" x14ac:dyDescent="0.2">
      <c r="AG107" s="6">
        <v>60</v>
      </c>
      <c r="AH107" s="14">
        <v>0.32016072627187064</v>
      </c>
      <c r="AI107" s="14">
        <v>0.13008572481533331</v>
      </c>
      <c r="AJ107" s="14">
        <v>5.3207513053948885E-2</v>
      </c>
      <c r="AK107" s="14">
        <v>-1.4345023449551908E-2</v>
      </c>
      <c r="AL107" s="14">
        <v>-0.1273427030716322</v>
      </c>
      <c r="AM107" s="14">
        <v>-0.21794860564536067</v>
      </c>
    </row>
    <row r="108" spans="2:113" x14ac:dyDescent="0.2">
      <c r="AG108" s="6">
        <v>80</v>
      </c>
      <c r="AH108" s="14">
        <v>0.36964168217300108</v>
      </c>
      <c r="AI108" s="14">
        <v>0.17173907383328646</v>
      </c>
      <c r="AJ108" s="34">
        <v>9.1702809576708066E-2</v>
      </c>
      <c r="AK108" s="14">
        <v>2.1380201632344331E-2</v>
      </c>
      <c r="AL108" s="14">
        <v>-9.6238227882126992E-2</v>
      </c>
      <c r="AM108" s="14">
        <v>-0.1905341791224614</v>
      </c>
    </row>
    <row r="109" spans="2:113" x14ac:dyDescent="0.2">
      <c r="AG109" s="6">
        <v>100</v>
      </c>
      <c r="AH109" s="14">
        <v>0.41912263807413286</v>
      </c>
      <c r="AI109" s="14">
        <v>0.21339242285123627</v>
      </c>
      <c r="AJ109" s="12">
        <v>0.13019810609946614</v>
      </c>
      <c r="AK109" s="14">
        <v>5.7105426714239016E-2</v>
      </c>
      <c r="AL109" s="14">
        <v>-6.5133752692622005E-2</v>
      </c>
      <c r="AM109" s="14">
        <v>-0.16311975259956235</v>
      </c>
    </row>
    <row r="110" spans="2:113" x14ac:dyDescent="0.2">
      <c r="AG110" s="6">
        <v>150</v>
      </c>
      <c r="AH110" s="14">
        <v>0.54282502782696418</v>
      </c>
      <c r="AI110" s="14">
        <v>0.31752579539611658</v>
      </c>
      <c r="AJ110" s="14">
        <v>0.22643634740636531</v>
      </c>
      <c r="AK110" s="14">
        <v>0.14641848941898106</v>
      </c>
      <c r="AL110" s="14">
        <v>1.2627435281141741E-2</v>
      </c>
      <c r="AM110" s="14">
        <v>-9.4583686292314062E-2</v>
      </c>
    </row>
    <row r="111" spans="2:113" x14ac:dyDescent="0.2">
      <c r="AG111" s="6">
        <v>200</v>
      </c>
      <c r="AH111" s="14">
        <v>0.66652741757979261</v>
      </c>
      <c r="AI111" s="14">
        <v>0.42165916794099667</v>
      </c>
      <c r="AJ111" s="14">
        <v>0.32267458871326138</v>
      </c>
      <c r="AK111" s="14">
        <v>0.23573155212372199</v>
      </c>
      <c r="AL111" s="14">
        <v>9.0388623254904266E-2</v>
      </c>
      <c r="AM111" s="14">
        <v>-2.6047619985065773E-2</v>
      </c>
    </row>
    <row r="112" spans="2:113" x14ac:dyDescent="0.2">
      <c r="AG112" s="6">
        <v>300</v>
      </c>
      <c r="AH112" s="14">
        <v>0.91393219708545015</v>
      </c>
      <c r="AI112" s="14">
        <v>0.62992591303075551</v>
      </c>
      <c r="AJ112" s="14">
        <v>0.51515107132705573</v>
      </c>
      <c r="AK112" s="14">
        <v>0.41435767753320274</v>
      </c>
      <c r="AL112" s="14">
        <v>0.24591099920243198</v>
      </c>
      <c r="AM112" s="14">
        <v>0.11102451262943003</v>
      </c>
    </row>
    <row r="113" spans="2:41" x14ac:dyDescent="0.2">
      <c r="AG113" s="31" t="s">
        <v>179</v>
      </c>
    </row>
    <row r="114" spans="2:41" x14ac:dyDescent="0.2">
      <c r="AG114" s="31" t="s">
        <v>180</v>
      </c>
    </row>
    <row r="115" spans="2:41" x14ac:dyDescent="0.2">
      <c r="AK115" s="14">
        <f>AVERAGE(AJ108:AL111)</f>
        <v>9.7774299970532011E-2</v>
      </c>
    </row>
    <row r="116" spans="2:41" x14ac:dyDescent="0.2">
      <c r="AG116" s="14"/>
      <c r="AO116" s="42"/>
    </row>
    <row r="117" spans="2:41" x14ac:dyDescent="0.2">
      <c r="AH117" s="14"/>
      <c r="AI117" s="14"/>
      <c r="AJ117" s="14"/>
      <c r="AK117" s="14"/>
      <c r="AL117" s="14"/>
      <c r="AM117" s="14"/>
      <c r="AN117" s="14"/>
    </row>
    <row r="118" spans="2:41" x14ac:dyDescent="0.2">
      <c r="AH118" s="14"/>
      <c r="AI118" s="14"/>
      <c r="AJ118" s="14"/>
      <c r="AK118" s="14"/>
      <c r="AL118" s="14"/>
      <c r="AM118" s="14"/>
      <c r="AN118" s="14"/>
    </row>
    <row r="119" spans="2:41" x14ac:dyDescent="0.2">
      <c r="B119" s="35"/>
      <c r="AH119" s="14"/>
      <c r="AI119" s="14"/>
      <c r="AJ119" s="14"/>
      <c r="AK119" s="14"/>
      <c r="AL119" s="14"/>
      <c r="AM119" s="14"/>
      <c r="AN119" s="14"/>
    </row>
    <row r="120" spans="2:41" x14ac:dyDescent="0.2">
      <c r="B120" s="35"/>
      <c r="AH120" s="14"/>
      <c r="AI120" s="14"/>
      <c r="AJ120" s="14"/>
      <c r="AK120" s="14"/>
      <c r="AL120" s="14"/>
      <c r="AM120" s="14"/>
      <c r="AN120" s="14"/>
    </row>
    <row r="121" spans="2:41" x14ac:dyDescent="0.2">
      <c r="B121" s="35"/>
      <c r="AH121" s="14"/>
      <c r="AI121" s="14"/>
      <c r="AJ121" s="14"/>
      <c r="AK121" s="14"/>
      <c r="AL121" s="14"/>
      <c r="AM121" s="14"/>
      <c r="AN121" s="14"/>
    </row>
    <row r="122" spans="2:41" x14ac:dyDescent="0.2">
      <c r="B122" s="35"/>
      <c r="AH122" s="14"/>
      <c r="AI122" s="14"/>
      <c r="AJ122" s="14"/>
      <c r="AK122" s="14"/>
      <c r="AL122" s="14"/>
      <c r="AM122" s="14"/>
      <c r="AN122" s="14"/>
    </row>
    <row r="123" spans="2:41" x14ac:dyDescent="0.2">
      <c r="AH123" s="14"/>
      <c r="AI123" s="14"/>
      <c r="AJ123" s="14"/>
      <c r="AK123" s="14"/>
      <c r="AL123" s="14"/>
      <c r="AM123" s="14"/>
      <c r="AN123" s="14"/>
    </row>
    <row r="125" spans="2:41" x14ac:dyDescent="0.2">
      <c r="AK125" s="31"/>
    </row>
  </sheetData>
  <conditionalFormatting sqref="AH106:AM112">
    <cfRule type="colorScale" priority="2">
      <colorScale>
        <cfvo type="min"/>
        <cfvo type="percentile" val="50"/>
        <cfvo type="max"/>
        <color rgb="FFF8696B"/>
        <color rgb="FFFFEB84"/>
        <color rgb="FF63BE7B"/>
      </colorScale>
    </cfRule>
  </conditionalFormatting>
  <conditionalFormatting sqref="AH117:AN123">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B105" location="Model!AG107" display="ARPU Sensitivity Analysis" xr:uid="{CD2E99ED-E0DD-431F-B56B-50C50F7E7545}"/>
    <hyperlink ref="B106" location="Model!AG100" display="NPV" xr:uid="{93D05349-5F75-4F61-B38D-56A8C549A4AD}"/>
  </hyperlinks>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2"/>
  <sheetViews>
    <sheetView topLeftCell="C1" zoomScale="160" zoomScaleNormal="160" workbookViewId="0">
      <selection activeCell="E42" sqref="E42"/>
    </sheetView>
  </sheetViews>
  <sheetFormatPr defaultRowHeight="12.75" x14ac:dyDescent="0.2"/>
  <cols>
    <col min="1" max="1" width="5" style="32" bestFit="1" customWidth="1"/>
    <col min="2" max="2" width="22.5703125" style="32" bestFit="1" customWidth="1"/>
    <col min="3" max="16384" width="9.140625" style="32"/>
  </cols>
  <sheetData>
    <row r="1" spans="1:5" x14ac:dyDescent="0.2">
      <c r="A1" s="38" t="s">
        <v>42</v>
      </c>
      <c r="D1" s="1"/>
    </row>
    <row r="2" spans="1:5" x14ac:dyDescent="0.2">
      <c r="B2" s="33" t="s">
        <v>119</v>
      </c>
      <c r="C2" s="32">
        <v>10638</v>
      </c>
      <c r="E2" s="36" t="s">
        <v>126</v>
      </c>
    </row>
    <row r="3" spans="1:5" x14ac:dyDescent="0.2">
      <c r="B3" s="33" t="s">
        <v>120</v>
      </c>
      <c r="C3" s="32">
        <v>40</v>
      </c>
      <c r="E3" s="33" t="s">
        <v>117</v>
      </c>
    </row>
    <row r="4" spans="1:5" x14ac:dyDescent="0.2">
      <c r="A4" s="32" t="s">
        <v>125</v>
      </c>
      <c r="B4" s="33" t="s">
        <v>121</v>
      </c>
      <c r="C4" s="32">
        <v>15</v>
      </c>
      <c r="E4" s="31" t="s">
        <v>112</v>
      </c>
    </row>
    <row r="5" spans="1:5" x14ac:dyDescent="0.2">
      <c r="A5" s="32" t="s">
        <v>125</v>
      </c>
      <c r="B5" s="33" t="s">
        <v>122</v>
      </c>
      <c r="C5" s="32">
        <v>60</v>
      </c>
      <c r="E5" s="33" t="s">
        <v>113</v>
      </c>
    </row>
    <row r="6" spans="1:5" x14ac:dyDescent="0.2">
      <c r="B6" s="33" t="s">
        <v>123</v>
      </c>
      <c r="C6" s="32">
        <f>(C2-(C4*12*C3))/((C5*12)-(C4*12))</f>
        <v>6.3666666666666663</v>
      </c>
      <c r="E6" s="31" t="s">
        <v>118</v>
      </c>
    </row>
    <row r="7" spans="1:5" x14ac:dyDescent="0.2">
      <c r="B7" s="33" t="s">
        <v>124</v>
      </c>
      <c r="C7" s="32">
        <f>C3-C6</f>
        <v>33.633333333333333</v>
      </c>
    </row>
    <row r="8" spans="1:5" x14ac:dyDescent="0.2">
      <c r="B8" s="8"/>
      <c r="E8" s="32" t="s">
        <v>128</v>
      </c>
    </row>
    <row r="9" spans="1:5" x14ac:dyDescent="0.2">
      <c r="B9" s="8"/>
      <c r="E9" s="32" t="s">
        <v>121</v>
      </c>
    </row>
    <row r="10" spans="1:5" x14ac:dyDescent="0.2">
      <c r="E10" s="32" t="s">
        <v>122</v>
      </c>
    </row>
    <row r="11" spans="1:5" x14ac:dyDescent="0.2">
      <c r="E11" s="37" t="s">
        <v>133</v>
      </c>
    </row>
    <row r="13" spans="1:5" x14ac:dyDescent="0.2">
      <c r="E13" s="32" t="s">
        <v>130</v>
      </c>
    </row>
    <row r="14" spans="1:5" x14ac:dyDescent="0.2">
      <c r="E14" s="32" t="s">
        <v>131</v>
      </c>
    </row>
    <row r="15" spans="1:5" x14ac:dyDescent="0.2">
      <c r="E15" s="32" t="s">
        <v>132</v>
      </c>
    </row>
    <row r="17" spans="3:9" x14ac:dyDescent="0.2">
      <c r="E17" s="32" t="s">
        <v>129</v>
      </c>
    </row>
    <row r="18" spans="3:9" x14ac:dyDescent="0.2">
      <c r="E18" s="32" t="s">
        <v>127</v>
      </c>
    </row>
    <row r="20" spans="3:9" x14ac:dyDescent="0.2">
      <c r="E20" s="32" t="s">
        <v>134</v>
      </c>
    </row>
    <row r="21" spans="3:9" x14ac:dyDescent="0.2">
      <c r="E21" s="32" t="s">
        <v>135</v>
      </c>
    </row>
    <row r="22" spans="3:9" x14ac:dyDescent="0.2">
      <c r="E22" s="32" t="s">
        <v>136</v>
      </c>
    </row>
    <row r="23" spans="3:9" x14ac:dyDescent="0.2">
      <c r="E23" s="32" t="s">
        <v>138</v>
      </c>
    </row>
    <row r="24" spans="3:9" x14ac:dyDescent="0.2">
      <c r="E24" s="32" t="s">
        <v>137</v>
      </c>
    </row>
    <row r="26" spans="3:9" x14ac:dyDescent="0.2">
      <c r="E26" s="36" t="s">
        <v>141</v>
      </c>
    </row>
    <row r="28" spans="3:9" x14ac:dyDescent="0.2">
      <c r="C28" s="32">
        <f>'CC Model'!C6*'CC Model'!C5*12</f>
        <v>4584</v>
      </c>
      <c r="D28" s="32">
        <v>5</v>
      </c>
      <c r="E28" s="32">
        <v>10</v>
      </c>
      <c r="F28" s="32">
        <v>15</v>
      </c>
      <c r="G28" s="32">
        <v>20</v>
      </c>
      <c r="H28" s="32">
        <v>22</v>
      </c>
      <c r="I28" s="32" t="s">
        <v>140</v>
      </c>
    </row>
    <row r="29" spans="3:9" x14ac:dyDescent="0.2">
      <c r="C29" s="32">
        <v>23</v>
      </c>
      <c r="D29" s="32">
        <f t="dataTable" ref="D29:H37" dt2D="1" dtr="1" r1="C4" r2="C5"/>
        <v>10526.333333333332</v>
      </c>
      <c r="E29" s="32">
        <v>10328.76923076923</v>
      </c>
      <c r="F29" s="32">
        <v>9884.25</v>
      </c>
      <c r="G29" s="32">
        <v>7958</v>
      </c>
      <c r="H29" s="32">
        <v>1794</v>
      </c>
    </row>
    <row r="30" spans="3:9" x14ac:dyDescent="0.2">
      <c r="C30" s="32">
        <v>30</v>
      </c>
      <c r="D30" s="32">
        <v>9885.6</v>
      </c>
      <c r="E30" s="32">
        <v>8757</v>
      </c>
      <c r="F30" s="32">
        <v>6876</v>
      </c>
      <c r="G30" s="32">
        <v>3114</v>
      </c>
      <c r="H30" s="32">
        <v>292.5</v>
      </c>
    </row>
    <row r="31" spans="3:9" x14ac:dyDescent="0.2">
      <c r="C31" s="32">
        <v>40</v>
      </c>
      <c r="D31" s="32">
        <v>9414.8571428571431</v>
      </c>
      <c r="E31" s="32">
        <v>7784</v>
      </c>
      <c r="F31" s="32">
        <v>5500.8</v>
      </c>
      <c r="G31" s="32">
        <v>2076</v>
      </c>
      <c r="H31" s="32">
        <v>173.33333333333334</v>
      </c>
    </row>
    <row r="32" spans="3:9" x14ac:dyDescent="0.2">
      <c r="C32" s="32">
        <v>50</v>
      </c>
      <c r="D32" s="32">
        <v>9153.3333333333339</v>
      </c>
      <c r="E32" s="32">
        <v>7297.5</v>
      </c>
      <c r="F32" s="32">
        <v>4911.4285714285716</v>
      </c>
      <c r="G32" s="32">
        <v>1730</v>
      </c>
      <c r="H32" s="32">
        <v>139.28571428571428</v>
      </c>
    </row>
    <row r="33" spans="3:8" x14ac:dyDescent="0.2">
      <c r="C33" s="32">
        <v>60</v>
      </c>
      <c r="D33" s="32">
        <v>8986.9090909090919</v>
      </c>
      <c r="E33" s="32">
        <v>7005.6</v>
      </c>
      <c r="F33" s="1">
        <v>4584</v>
      </c>
      <c r="G33" s="32">
        <v>1557</v>
      </c>
      <c r="H33" s="32">
        <v>123.15789473684211</v>
      </c>
    </row>
    <row r="34" spans="3:8" x14ac:dyDescent="0.2">
      <c r="C34" s="32">
        <v>70</v>
      </c>
      <c r="D34" s="32">
        <v>8871.6923076923067</v>
      </c>
      <c r="E34" s="32">
        <v>6810.9999999999991</v>
      </c>
      <c r="F34" s="32">
        <v>4375.636363636364</v>
      </c>
      <c r="G34" s="32">
        <v>1453.1999999999998</v>
      </c>
      <c r="H34" s="32">
        <v>113.75</v>
      </c>
    </row>
    <row r="35" spans="3:8" x14ac:dyDescent="0.2">
      <c r="C35" s="32">
        <v>80</v>
      </c>
      <c r="D35" s="32">
        <v>8787.2000000000007</v>
      </c>
      <c r="E35" s="32">
        <v>6672</v>
      </c>
      <c r="F35" s="32">
        <v>4231.3846153846152</v>
      </c>
      <c r="G35" s="32">
        <v>1384</v>
      </c>
      <c r="H35" s="32">
        <v>107.58620689655172</v>
      </c>
    </row>
    <row r="36" spans="3:8" x14ac:dyDescent="0.2">
      <c r="C36" s="32">
        <v>90</v>
      </c>
      <c r="D36" s="32">
        <v>8722.5882352941171</v>
      </c>
      <c r="E36" s="32">
        <v>6567.75</v>
      </c>
      <c r="F36" s="32">
        <v>4125.6000000000004</v>
      </c>
      <c r="G36" s="32">
        <v>1334.5714285714287</v>
      </c>
      <c r="H36" s="32">
        <v>103.23529411764704</v>
      </c>
    </row>
    <row r="37" spans="3:8" x14ac:dyDescent="0.2">
      <c r="C37" s="32">
        <v>100</v>
      </c>
      <c r="D37" s="32">
        <v>8671.5789473684217</v>
      </c>
      <c r="E37" s="32">
        <v>6486.6666666666661</v>
      </c>
      <c r="F37" s="32">
        <v>4044.7058823529414</v>
      </c>
      <c r="G37" s="32">
        <v>1297.5</v>
      </c>
      <c r="H37" s="32">
        <v>99.999999999999986</v>
      </c>
    </row>
    <row r="38" spans="3:8" x14ac:dyDescent="0.2">
      <c r="C38" s="32" t="s">
        <v>139</v>
      </c>
    </row>
    <row r="39" spans="3:8" x14ac:dyDescent="0.2">
      <c r="E39" s="32" t="s">
        <v>142</v>
      </c>
    </row>
    <row r="40" spans="3:8" x14ac:dyDescent="0.2">
      <c r="E40" s="43" t="s">
        <v>204</v>
      </c>
    </row>
    <row r="41" spans="3:8" x14ac:dyDescent="0.2">
      <c r="E41" s="43" t="s">
        <v>205</v>
      </c>
    </row>
    <row r="42" spans="3:8" x14ac:dyDescent="0.2">
      <c r="E42" s="43"/>
    </row>
  </sheetData>
  <conditionalFormatting sqref="D29:H37">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D20"/>
  <sheetViews>
    <sheetView zoomScale="130" zoomScaleNormal="130" workbookViewId="0">
      <pane xSplit="2" ySplit="2" topLeftCell="C3" activePane="bottomRight" state="frozen"/>
      <selection pane="topRight" activeCell="C1" sqref="C1"/>
      <selection pane="bottomLeft" activeCell="A3" sqref="A3"/>
      <selection pane="bottomRight" activeCell="D24" sqref="D24"/>
    </sheetView>
  </sheetViews>
  <sheetFormatPr defaultRowHeight="12.75" x14ac:dyDescent="0.2"/>
  <cols>
    <col min="1" max="1" width="5" style="43" bestFit="1" customWidth="1"/>
    <col min="2" max="2" width="9.140625" style="43"/>
    <col min="3" max="3" width="14.42578125" style="43" customWidth="1"/>
    <col min="4" max="16384" width="9.140625" style="43"/>
  </cols>
  <sheetData>
    <row r="1" spans="1:4" x14ac:dyDescent="0.2">
      <c r="A1" s="38" t="s">
        <v>42</v>
      </c>
    </row>
    <row r="2" spans="1:4" x14ac:dyDescent="0.2">
      <c r="B2" s="43" t="s">
        <v>233</v>
      </c>
      <c r="C2" s="43" t="s">
        <v>234</v>
      </c>
      <c r="D2" s="43" t="s">
        <v>235</v>
      </c>
    </row>
    <row r="3" spans="1:4" x14ac:dyDescent="0.2">
      <c r="B3" s="38" t="s">
        <v>67</v>
      </c>
    </row>
    <row r="4" spans="1:4" x14ac:dyDescent="0.2">
      <c r="D4" s="43" t="s">
        <v>82</v>
      </c>
    </row>
    <row r="5" spans="1:4" x14ac:dyDescent="0.2">
      <c r="D5" s="43" t="s">
        <v>83</v>
      </c>
    </row>
    <row r="6" spans="1:4" x14ac:dyDescent="0.2">
      <c r="D6" s="43" t="s">
        <v>85</v>
      </c>
    </row>
    <row r="8" spans="1:4" x14ac:dyDescent="0.2">
      <c r="D8" s="43" t="s">
        <v>186</v>
      </c>
    </row>
    <row r="9" spans="1:4" x14ac:dyDescent="0.2">
      <c r="D9" s="43" t="s">
        <v>187</v>
      </c>
    </row>
    <row r="10" spans="1:4" x14ac:dyDescent="0.2">
      <c r="D10" s="43" t="s">
        <v>188</v>
      </c>
    </row>
    <row r="12" spans="1:4" x14ac:dyDescent="0.2">
      <c r="B12" s="43" t="s">
        <v>198</v>
      </c>
    </row>
    <row r="16" spans="1:4" x14ac:dyDescent="0.2">
      <c r="B16" s="43" t="s">
        <v>199</v>
      </c>
    </row>
    <row r="20" spans="2:2" x14ac:dyDescent="0.2">
      <c r="B20" s="43" t="s">
        <v>200</v>
      </c>
    </row>
  </sheetData>
  <hyperlinks>
    <hyperlink ref="A1" location="Main!A1" display="Main" xr:uid="{57CC344B-77FC-4721-A491-E9AD202E5FE1}"/>
    <hyperlink ref="B3" r:id="rId1" xr:uid="{1D9CF85B-3F66-49D9-91E7-9A558C2621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C10"/>
  <sheetViews>
    <sheetView zoomScale="145" zoomScaleNormal="145" workbookViewId="0">
      <selection activeCell="D15" sqref="D15"/>
    </sheetView>
  </sheetViews>
  <sheetFormatPr defaultRowHeight="12.75" x14ac:dyDescent="0.2"/>
  <cols>
    <col min="1" max="1" width="5" style="32" bestFit="1" customWidth="1"/>
    <col min="2" max="16384" width="9.140625" style="32"/>
  </cols>
  <sheetData>
    <row r="1" spans="1:3" x14ac:dyDescent="0.2">
      <c r="A1" s="38" t="s">
        <v>42</v>
      </c>
    </row>
    <row r="3" spans="1:3" x14ac:dyDescent="0.2">
      <c r="B3" s="32">
        <v>2007</v>
      </c>
      <c r="C3" s="32" t="s">
        <v>153</v>
      </c>
    </row>
    <row r="4" spans="1:3" x14ac:dyDescent="0.2">
      <c r="B4" s="32">
        <v>2012</v>
      </c>
      <c r="C4" s="32" t="s">
        <v>154</v>
      </c>
    </row>
    <row r="5" spans="1:3" x14ac:dyDescent="0.2">
      <c r="B5" s="32">
        <v>2014</v>
      </c>
      <c r="C5" s="32" t="s">
        <v>155</v>
      </c>
    </row>
    <row r="6" spans="1:3" x14ac:dyDescent="0.2">
      <c r="B6" s="32" t="s">
        <v>156</v>
      </c>
      <c r="C6" s="32" t="s">
        <v>157</v>
      </c>
    </row>
    <row r="9" spans="1:3" x14ac:dyDescent="0.2">
      <c r="B9" s="32">
        <v>2024</v>
      </c>
      <c r="C9" s="32" t="s">
        <v>177</v>
      </c>
    </row>
    <row r="10" spans="1:3" x14ac:dyDescent="0.2">
      <c r="B10" s="32">
        <v>2026</v>
      </c>
      <c r="C10" s="32" t="s">
        <v>178</v>
      </c>
    </row>
  </sheetData>
  <hyperlinks>
    <hyperlink ref="A1" location="Main!A1" display="Main" xr:uid="{76F3B995-E50F-4483-9AB5-8E1385A731C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C0C-C050-4EDC-80A5-805F78D8E79B}">
  <dimension ref="A1:E7"/>
  <sheetViews>
    <sheetView zoomScale="115" zoomScaleNormal="115" workbookViewId="0">
      <pane xSplit="4" ySplit="2" topLeftCell="E3" activePane="bottomRight" state="frozen"/>
      <selection pane="topRight" activeCell="C1" sqref="C1"/>
      <selection pane="bottomLeft" activeCell="A3" sqref="A3"/>
      <selection pane="bottomRight" activeCell="B3" sqref="B3"/>
    </sheetView>
  </sheetViews>
  <sheetFormatPr defaultRowHeight="12.75" x14ac:dyDescent="0.2"/>
  <cols>
    <col min="1" max="1" width="5" style="43" bestFit="1" customWidth="1"/>
    <col min="2" max="2" width="10" style="43" bestFit="1" customWidth="1"/>
    <col min="3" max="3" width="4.85546875" style="43" bestFit="1" customWidth="1"/>
    <col min="4" max="4" width="28.140625" style="43" customWidth="1"/>
    <col min="5" max="16384" width="9.140625" style="43"/>
  </cols>
  <sheetData>
    <row r="1" spans="1:5" x14ac:dyDescent="0.2">
      <c r="A1" s="38" t="s">
        <v>42</v>
      </c>
      <c r="B1" s="38"/>
      <c r="C1" s="38"/>
    </row>
    <row r="2" spans="1:5" x14ac:dyDescent="0.2">
      <c r="B2" s="43" t="s">
        <v>239</v>
      </c>
      <c r="C2" s="43" t="s">
        <v>238</v>
      </c>
      <c r="D2" s="43" t="s">
        <v>236</v>
      </c>
      <c r="E2" s="43" t="s">
        <v>237</v>
      </c>
    </row>
    <row r="7" spans="1:5" x14ac:dyDescent="0.2">
      <c r="C7" s="46">
        <v>46084</v>
      </c>
    </row>
  </sheetData>
  <hyperlinks>
    <hyperlink ref="A1" location="Main!A1" display="Main" xr:uid="{1EE68F7C-8B94-4243-8283-FB95EEE9A5F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9E34F-9CF5-4A56-83E9-C7934E3E1D46}">
  <dimension ref="A1:G1010"/>
  <sheetViews>
    <sheetView tabSelected="1" topLeftCell="B13" zoomScale="145" zoomScaleNormal="145" workbookViewId="0">
      <selection activeCell="G36" sqref="G36"/>
    </sheetView>
  </sheetViews>
  <sheetFormatPr defaultRowHeight="12.75" x14ac:dyDescent="0.2"/>
  <cols>
    <col min="1" max="1" width="5" style="43" bestFit="1" customWidth="1"/>
    <col min="2" max="2" width="15.28515625" style="43" bestFit="1" customWidth="1"/>
    <col min="3" max="16384" width="9.140625" style="43"/>
  </cols>
  <sheetData>
    <row r="1" spans="1:7" x14ac:dyDescent="0.2">
      <c r="A1" s="38" t="s">
        <v>42</v>
      </c>
    </row>
    <row r="2" spans="1:7" x14ac:dyDescent="0.2">
      <c r="B2" s="43" t="s">
        <v>206</v>
      </c>
      <c r="C2" s="43">
        <v>80</v>
      </c>
      <c r="E2" s="43">
        <f ca="1">_xlfn.NORM.INV(RAND(), C2,C3)</f>
        <v>19.585113751754349</v>
      </c>
      <c r="G2" s="43" t="s">
        <v>181</v>
      </c>
    </row>
    <row r="3" spans="1:7" x14ac:dyDescent="0.2">
      <c r="B3" s="43" t="s">
        <v>207</v>
      </c>
      <c r="C3" s="43">
        <v>40</v>
      </c>
      <c r="G3" s="43" t="s">
        <v>221</v>
      </c>
    </row>
    <row r="4" spans="1:7" x14ac:dyDescent="0.2">
      <c r="B4" s="43" t="s">
        <v>210</v>
      </c>
      <c r="C4" s="43">
        <v>6</v>
      </c>
      <c r="E4" s="43">
        <f ca="1">_xlfn.NORM.INV(RAND(), C4,C5)</f>
        <v>6.5115627623687073</v>
      </c>
      <c r="G4" s="43" t="s">
        <v>222</v>
      </c>
    </row>
    <row r="5" spans="1:7" x14ac:dyDescent="0.2">
      <c r="B5" s="43" t="s">
        <v>211</v>
      </c>
      <c r="C5" s="43">
        <v>5</v>
      </c>
      <c r="G5" s="43" t="s">
        <v>231</v>
      </c>
    </row>
    <row r="6" spans="1:7" x14ac:dyDescent="0.2">
      <c r="B6" s="43" t="s">
        <v>208</v>
      </c>
      <c r="C6" s="43">
        <v>0.2</v>
      </c>
      <c r="E6" s="43">
        <f ca="1">_xlfn.NORM.INV(RAND(), C6,C7)</f>
        <v>0.30061481384657091</v>
      </c>
      <c r="G6" s="43" t="s">
        <v>232</v>
      </c>
    </row>
    <row r="7" spans="1:7" x14ac:dyDescent="0.2">
      <c r="B7" s="43" t="s">
        <v>209</v>
      </c>
      <c r="C7" s="43">
        <v>0.5</v>
      </c>
    </row>
    <row r="8" spans="1:7" x14ac:dyDescent="0.2">
      <c r="B8" s="43" t="s">
        <v>217</v>
      </c>
      <c r="E8" s="43">
        <f ca="1">(E2*12)*E4*(1+E6)</f>
        <v>1990.4041637675371</v>
      </c>
    </row>
    <row r="10" spans="1:7" x14ac:dyDescent="0.2">
      <c r="B10" s="43">
        <f ca="1">E8</f>
        <v>1990.4041637675371</v>
      </c>
      <c r="E10" s="36" t="s">
        <v>217</v>
      </c>
    </row>
    <row r="11" spans="1:7" x14ac:dyDescent="0.2">
      <c r="A11" s="43">
        <v>1</v>
      </c>
      <c r="B11" s="43">
        <f t="dataTable" ref="B11:B1010" dt2D="0" dtr="0" r1="A2" ca="1"/>
        <v>3969.9804515264377</v>
      </c>
      <c r="C11" s="43">
        <f>($F$22+B11)*$F$23/Main!$K$3</f>
        <v>272.30297297791503</v>
      </c>
      <c r="E11" s="43">
        <f>AVERAGE(B11:B211)</f>
        <v>7123.170010891572</v>
      </c>
      <c r="F11" s="43" t="s">
        <v>215</v>
      </c>
    </row>
    <row r="12" spans="1:7" x14ac:dyDescent="0.2">
      <c r="A12" s="43">
        <f>A11+1</f>
        <v>2</v>
      </c>
      <c r="B12" s="43">
        <v>13575.194801082602</v>
      </c>
      <c r="C12" s="43">
        <f>($F$22+B12)*$F$23/Main!$K$3</f>
        <v>355.60276124690392</v>
      </c>
      <c r="E12" s="44">
        <f>E11/Model!AD17-1</f>
        <v>0.10405457481772262</v>
      </c>
      <c r="F12" s="43" t="s">
        <v>220</v>
      </c>
    </row>
    <row r="13" spans="1:7" x14ac:dyDescent="0.2">
      <c r="A13" s="43">
        <f t="shared" ref="A13:A76" si="0">A12+1</f>
        <v>3</v>
      </c>
      <c r="B13" s="43">
        <v>13198.532480554568</v>
      </c>
      <c r="C13" s="43">
        <f>($F$22+B13)*$F$23/Main!$K$3</f>
        <v>352.33621347326249</v>
      </c>
    </row>
    <row r="14" spans="1:7" x14ac:dyDescent="0.2">
      <c r="A14" s="43">
        <f t="shared" si="0"/>
        <v>4</v>
      </c>
      <c r="B14" s="43">
        <v>6317.1994524694846</v>
      </c>
      <c r="C14" s="43">
        <f>($F$22+B14)*$F$23/Main!$K$3</f>
        <v>292.65887953907759</v>
      </c>
      <c r="E14" s="36" t="s">
        <v>214</v>
      </c>
    </row>
    <row r="15" spans="1:7" x14ac:dyDescent="0.2">
      <c r="A15" s="43">
        <f t="shared" si="0"/>
        <v>5</v>
      </c>
      <c r="B15" s="43">
        <v>9709.8532650110628</v>
      </c>
      <c r="C15" s="43">
        <f>($F$22+B15)*$F$23/Main!$K$3</f>
        <v>322.0811635162957</v>
      </c>
      <c r="E15" s="43">
        <f>AVERAGE(C11:C211)</f>
        <v>299.6485389495104</v>
      </c>
      <c r="F15" s="43" t="s">
        <v>215</v>
      </c>
    </row>
    <row r="16" spans="1:7" x14ac:dyDescent="0.2">
      <c r="A16" s="43">
        <f t="shared" si="0"/>
        <v>6</v>
      </c>
      <c r="B16" s="43">
        <v>113.28601286931219</v>
      </c>
      <c r="C16" s="43">
        <f>($F$22+B16)*$F$23/Main!$K$3</f>
        <v>238.85636590941473</v>
      </c>
      <c r="E16" s="44">
        <f>E15/Model!$AH$99-1</f>
        <v>1.9727757775601429E-2</v>
      </c>
      <c r="F16" s="43" t="s">
        <v>220</v>
      </c>
    </row>
    <row r="17" spans="1:7" x14ac:dyDescent="0.2">
      <c r="A17" s="43">
        <f t="shared" si="0"/>
        <v>7</v>
      </c>
      <c r="B17" s="43">
        <v>5120.5759210315255</v>
      </c>
      <c r="C17" s="43">
        <f>($F$22+B17)*$F$23/Main!$K$3</f>
        <v>282.28134050882397</v>
      </c>
      <c r="E17" s="43">
        <f>_xlfn.PERCENTILE.INC($C$11:$C$1010, 0.25)</f>
        <v>249.38676528467499</v>
      </c>
      <c r="F17" s="43" t="s">
        <v>218</v>
      </c>
    </row>
    <row r="18" spans="1:7" x14ac:dyDescent="0.2">
      <c r="A18" s="43">
        <f t="shared" si="0"/>
        <v>8</v>
      </c>
      <c r="B18" s="43">
        <v>2993.8853599875961</v>
      </c>
      <c r="C18" s="43">
        <f>($F$22+B18)*$F$23/Main!$K$3</f>
        <v>263.83793393801665</v>
      </c>
      <c r="E18" s="44">
        <f>E17/Model!$AH$99-1</f>
        <v>-0.15131704671684887</v>
      </c>
      <c r="F18" s="43" t="s">
        <v>220</v>
      </c>
    </row>
    <row r="19" spans="1:7" x14ac:dyDescent="0.2">
      <c r="A19" s="43">
        <f t="shared" si="0"/>
        <v>9</v>
      </c>
      <c r="B19" s="43">
        <v>-1254.8899862066619</v>
      </c>
      <c r="C19" s="43">
        <f>($F$22+B19)*$F$23/Main!$K$3</f>
        <v>226.99106370061946</v>
      </c>
      <c r="E19" s="43">
        <f>_xlfn.PERCENTILE.INC($C$11:$C$1010, 0.75)</f>
        <v>331.47703417937316</v>
      </c>
      <c r="F19" s="43" t="s">
        <v>219</v>
      </c>
    </row>
    <row r="20" spans="1:7" x14ac:dyDescent="0.2">
      <c r="A20" s="43">
        <f t="shared" si="0"/>
        <v>10</v>
      </c>
      <c r="B20" s="43">
        <v>6202.5013211806645</v>
      </c>
      <c r="C20" s="43">
        <f>($F$22+B20)*$F$23/Main!$K$3</f>
        <v>291.66417710938651</v>
      </c>
      <c r="E20" s="44">
        <f>E19/Model!$AH$99-1</f>
        <v>0.12804265291209393</v>
      </c>
      <c r="F20" s="43" t="s">
        <v>220</v>
      </c>
    </row>
    <row r="21" spans="1:7" x14ac:dyDescent="0.2">
      <c r="A21" s="43">
        <f t="shared" si="0"/>
        <v>11</v>
      </c>
      <c r="B21" s="43">
        <v>1269.5876568842648</v>
      </c>
      <c r="C21" s="43">
        <f>($F$22+B21)*$F$23/Main!$K$3</f>
        <v>248.884219387352</v>
      </c>
    </row>
    <row r="22" spans="1:7" x14ac:dyDescent="0.2">
      <c r="A22" s="43">
        <f t="shared" si="0"/>
        <v>12</v>
      </c>
      <c r="B22" s="43">
        <v>7703.2509557173298</v>
      </c>
      <c r="C22" s="43">
        <f>($F$22+B22)*$F$23/Main!$K$3</f>
        <v>304.67920439063022</v>
      </c>
      <c r="E22" s="43" t="s">
        <v>213</v>
      </c>
      <c r="F22" s="43">
        <v>27429</v>
      </c>
    </row>
    <row r="23" spans="1:7" x14ac:dyDescent="0.2">
      <c r="A23" s="43">
        <f t="shared" si="0"/>
        <v>13</v>
      </c>
      <c r="B23" s="43">
        <v>1423.8738471137744</v>
      </c>
      <c r="C23" s="43">
        <f>($F$22+B23)*$F$23/Main!$K$3</f>
        <v>250.22224335133993</v>
      </c>
      <c r="E23" s="43" t="s">
        <v>216</v>
      </c>
      <c r="F23" s="43">
        <v>3.56</v>
      </c>
    </row>
    <row r="24" spans="1:7" x14ac:dyDescent="0.2">
      <c r="A24" s="43">
        <f t="shared" si="0"/>
        <v>14</v>
      </c>
      <c r="B24" s="43">
        <v>2445.8651625697585</v>
      </c>
      <c r="C24" s="43">
        <f>($F$22+B24)*$F$23/Main!$K$3</f>
        <v>259.08531054506295</v>
      </c>
    </row>
    <row r="25" spans="1:7" x14ac:dyDescent="0.2">
      <c r="A25" s="43">
        <f t="shared" si="0"/>
        <v>15</v>
      </c>
      <c r="B25" s="43">
        <v>2797.7504589151968</v>
      </c>
      <c r="C25" s="43">
        <f>($F$22+B25)*$F$23/Main!$K$3</f>
        <v>262.13698327341802</v>
      </c>
      <c r="E25" s="36" t="s">
        <v>223</v>
      </c>
    </row>
    <row r="26" spans="1:7" x14ac:dyDescent="0.2">
      <c r="A26" s="43">
        <f t="shared" si="0"/>
        <v>16</v>
      </c>
      <c r="B26" s="43">
        <v>7901.3826770528776</v>
      </c>
      <c r="C26" s="43">
        <f>($F$22+B26)*$F$23/Main!$K$3</f>
        <v>306.39747218101888</v>
      </c>
    </row>
    <row r="27" spans="1:7" x14ac:dyDescent="0.2">
      <c r="A27" s="43">
        <f t="shared" si="0"/>
        <v>17</v>
      </c>
      <c r="B27" s="43">
        <v>282.78729886963038</v>
      </c>
      <c r="C27" s="43">
        <f>($F$22+B27)*$F$23/Main!$K$3</f>
        <v>240.3263405212567</v>
      </c>
      <c r="E27" s="43" t="s">
        <v>224</v>
      </c>
      <c r="F27" s="44">
        <f>COUNTIF(C11:C1010, "&gt;"&amp;Main!K2*(1/0.7))/1000</f>
        <v>0.13500000000000001</v>
      </c>
      <c r="G27" s="43" t="s">
        <v>240</v>
      </c>
    </row>
    <row r="28" spans="1:7" x14ac:dyDescent="0.2">
      <c r="A28" s="43">
        <f t="shared" si="0"/>
        <v>18</v>
      </c>
      <c r="B28" s="43">
        <v>2838.8209632243229</v>
      </c>
      <c r="C28" s="43">
        <f>($F$22+B28)*$F$23/Main!$K$3</f>
        <v>262.4931610939795</v>
      </c>
      <c r="E28" s="43" t="s">
        <v>225</v>
      </c>
      <c r="F28" s="44">
        <f>1-F27</f>
        <v>0.86499999999999999</v>
      </c>
    </row>
    <row r="29" spans="1:7" x14ac:dyDescent="0.2">
      <c r="A29" s="43">
        <f t="shared" si="0"/>
        <v>19</v>
      </c>
      <c r="B29" s="43">
        <v>2140.9312876296367</v>
      </c>
      <c r="C29" s="43">
        <f>($F$22+B29)*$F$23/Main!$K$3</f>
        <v>256.44081701330452</v>
      </c>
    </row>
    <row r="30" spans="1:7" x14ac:dyDescent="0.2">
      <c r="A30" s="43">
        <f t="shared" si="0"/>
        <v>20</v>
      </c>
      <c r="B30" s="43">
        <v>256.82071205124026</v>
      </c>
      <c r="C30" s="43">
        <f>($F$22+B30)*$F$23/Main!$K$3</f>
        <v>240.10114917150406</v>
      </c>
      <c r="E30" s="43" t="s">
        <v>227</v>
      </c>
      <c r="F30" s="44">
        <f>AVERAGEIF(C11:C1010, "&gt;"&amp;Main!K2*(1/0.7))/Main!K2 - 1</f>
        <v>0.70736536615208756</v>
      </c>
      <c r="G30" s="44"/>
    </row>
    <row r="31" spans="1:7" x14ac:dyDescent="0.2">
      <c r="A31" s="43">
        <f t="shared" si="0"/>
        <v>21</v>
      </c>
      <c r="B31" s="43">
        <v>514.68290892482287</v>
      </c>
      <c r="C31" s="43">
        <f>($F$22+B31)*$F$23/Main!$K$3</f>
        <v>242.33742059871466</v>
      </c>
      <c r="E31" s="43" t="s">
        <v>228</v>
      </c>
      <c r="F31" s="44">
        <f>1 - (AVERAGEIF(C11:C1010, "&lt;="&amp;Main!K2)/Main!K2)</f>
        <v>9.0696301954076075E-2</v>
      </c>
      <c r="G31" s="44"/>
    </row>
    <row r="32" spans="1:7" x14ac:dyDescent="0.2">
      <c r="A32" s="43">
        <f t="shared" si="0"/>
        <v>22</v>
      </c>
      <c r="B32" s="43">
        <v>8248.1824597293235</v>
      </c>
      <c r="C32" s="43">
        <f>($F$22+B32)*$F$23/Main!$K$3</f>
        <v>309.40504155088041</v>
      </c>
      <c r="E32" s="43" t="s">
        <v>226</v>
      </c>
      <c r="F32" s="45">
        <f>F30/F31</f>
        <v>7.7992746221368634</v>
      </c>
      <c r="G32" s="44"/>
    </row>
    <row r="33" spans="1:6" x14ac:dyDescent="0.2">
      <c r="A33" s="43">
        <f t="shared" si="0"/>
        <v>23</v>
      </c>
      <c r="B33" s="43">
        <v>10144.154113523469</v>
      </c>
      <c r="C33" s="43">
        <f>($F$22+B33)*$F$23/Main!$K$3</f>
        <v>325.84757282373585</v>
      </c>
    </row>
    <row r="34" spans="1:6" x14ac:dyDescent="0.2">
      <c r="A34" s="43">
        <f t="shared" si="0"/>
        <v>24</v>
      </c>
      <c r="B34" s="43">
        <v>10792.482590169466</v>
      </c>
      <c r="C34" s="43">
        <f>($F$22+B34)*$F$23/Main!$K$3</f>
        <v>331.47010480146969</v>
      </c>
      <c r="E34" s="43" t="s">
        <v>229</v>
      </c>
      <c r="F34" s="44">
        <f>F27 - (F28/F32)</f>
        <v>2.4092249996576581E-2</v>
      </c>
    </row>
    <row r="35" spans="1:6" x14ac:dyDescent="0.2">
      <c r="A35" s="43">
        <f t="shared" si="0"/>
        <v>25</v>
      </c>
      <c r="B35" s="43">
        <v>1697.7638007041212</v>
      </c>
      <c r="C35" s="43">
        <f>($F$22+B35)*$F$23/Main!$K$3</f>
        <v>252.59751310720259</v>
      </c>
      <c r="E35" s="43" t="s">
        <v>230</v>
      </c>
      <c r="F35" s="44">
        <f>F34/2</f>
        <v>1.2046124998288291E-2</v>
      </c>
    </row>
    <row r="36" spans="1:6" x14ac:dyDescent="0.2">
      <c r="A36" s="43">
        <f t="shared" si="0"/>
        <v>26</v>
      </c>
      <c r="B36" s="43">
        <v>10720.401033787197</v>
      </c>
      <c r="C36" s="43">
        <f>($F$22+B36)*$F$23/Main!$K$3</f>
        <v>330.84498825890967</v>
      </c>
    </row>
    <row r="37" spans="1:6" x14ac:dyDescent="0.2">
      <c r="A37" s="43">
        <f t="shared" si="0"/>
        <v>27</v>
      </c>
      <c r="B37" s="43">
        <v>16803.530925160048</v>
      </c>
      <c r="C37" s="43">
        <f>($F$22+B37)*$F$23/Main!$K$3</f>
        <v>383.60002458847691</v>
      </c>
      <c r="E37" s="43" t="s">
        <v>241</v>
      </c>
    </row>
    <row r="38" spans="1:6" x14ac:dyDescent="0.2">
      <c r="A38" s="43">
        <f t="shared" si="0"/>
        <v>28</v>
      </c>
      <c r="B38" s="43">
        <v>9363.9392386724558</v>
      </c>
      <c r="C38" s="43">
        <f>($F$22+B38)*$F$23/Main!$K$3</f>
        <v>319.08127573611193</v>
      </c>
    </row>
    <row r="39" spans="1:6" x14ac:dyDescent="0.2">
      <c r="A39" s="43">
        <f t="shared" si="0"/>
        <v>29</v>
      </c>
      <c r="B39" s="43">
        <v>1848.2589502507897</v>
      </c>
      <c r="C39" s="43">
        <f>($F$22+B39)*$F$23/Main!$K$3</f>
        <v>253.9026598365233</v>
      </c>
    </row>
    <row r="40" spans="1:6" x14ac:dyDescent="0.2">
      <c r="A40" s="43">
        <f t="shared" si="0"/>
        <v>30</v>
      </c>
      <c r="B40" s="43">
        <v>5012.8992529196576</v>
      </c>
      <c r="C40" s="43">
        <f>($F$22+B40)*$F$23/Main!$K$3</f>
        <v>281.34753067087451</v>
      </c>
    </row>
    <row r="41" spans="1:6" x14ac:dyDescent="0.2">
      <c r="A41" s="43">
        <f t="shared" si="0"/>
        <v>31</v>
      </c>
      <c r="B41" s="43">
        <v>9581.5383801762237</v>
      </c>
      <c r="C41" s="43">
        <f>($F$22+B41)*$F$23/Main!$K$3</f>
        <v>320.96837182320917</v>
      </c>
    </row>
    <row r="42" spans="1:6" x14ac:dyDescent="0.2">
      <c r="A42" s="43">
        <f t="shared" si="0"/>
        <v>32</v>
      </c>
      <c r="B42" s="43">
        <v>197.10257607266678</v>
      </c>
      <c r="C42" s="43">
        <f>($F$22+B42)*$F$23/Main!$K$3</f>
        <v>239.58325254767038</v>
      </c>
    </row>
    <row r="43" spans="1:6" x14ac:dyDescent="0.2">
      <c r="A43" s="43">
        <f t="shared" si="0"/>
        <v>33</v>
      </c>
      <c r="B43" s="43">
        <v>15836.05171268453</v>
      </c>
      <c r="C43" s="43">
        <f>($F$22+B43)*$F$23/Main!$K$3</f>
        <v>375.20970547419472</v>
      </c>
    </row>
    <row r="44" spans="1:6" x14ac:dyDescent="0.2">
      <c r="A44" s="43">
        <f t="shared" si="0"/>
        <v>34</v>
      </c>
      <c r="B44" s="43">
        <v>9034.5703278630808</v>
      </c>
      <c r="C44" s="43">
        <f>($F$22+B44)*$F$23/Main!$K$3</f>
        <v>316.22487300168717</v>
      </c>
    </row>
    <row r="45" spans="1:6" x14ac:dyDescent="0.2">
      <c r="A45" s="43">
        <f t="shared" si="0"/>
        <v>35</v>
      </c>
      <c r="B45" s="43">
        <v>6096.1830147006485</v>
      </c>
      <c r="C45" s="43">
        <f>($F$22+B45)*$F$23/Main!$K$3</f>
        <v>290.74214746001047</v>
      </c>
    </row>
    <row r="46" spans="1:6" x14ac:dyDescent="0.2">
      <c r="A46" s="43">
        <f t="shared" si="0"/>
        <v>36</v>
      </c>
      <c r="B46" s="43">
        <v>15336.160069441748</v>
      </c>
      <c r="C46" s="43">
        <f>($F$22+B46)*$F$23/Main!$K$3</f>
        <v>370.87446978614526</v>
      </c>
    </row>
    <row r="47" spans="1:6" x14ac:dyDescent="0.2">
      <c r="A47" s="43">
        <f t="shared" si="0"/>
        <v>37</v>
      </c>
      <c r="B47" s="43">
        <v>1892.3148938224126</v>
      </c>
      <c r="C47" s="43">
        <f>($F$22+B47)*$F$23/Main!$K$3</f>
        <v>254.2847284336365</v>
      </c>
    </row>
    <row r="48" spans="1:6" x14ac:dyDescent="0.2">
      <c r="A48" s="43">
        <f t="shared" si="0"/>
        <v>38</v>
      </c>
      <c r="B48" s="43">
        <v>12498.221399796452</v>
      </c>
      <c r="C48" s="43">
        <f>($F$22+B48)*$F$23/Main!$K$3</f>
        <v>346.26287011760138</v>
      </c>
    </row>
    <row r="49" spans="1:3" x14ac:dyDescent="0.2">
      <c r="A49" s="43">
        <f t="shared" si="0"/>
        <v>39</v>
      </c>
      <c r="B49" s="43">
        <v>7021.8816866031284</v>
      </c>
      <c r="C49" s="43">
        <f>($F$22+B49)*$F$23/Main!$K$3</f>
        <v>298.77013107017575</v>
      </c>
    </row>
    <row r="50" spans="1:3" x14ac:dyDescent="0.2">
      <c r="A50" s="43">
        <f t="shared" si="0"/>
        <v>40</v>
      </c>
      <c r="B50" s="43">
        <v>3105.2096191054861</v>
      </c>
      <c r="C50" s="43">
        <f>($F$22+B50)*$F$23/Main!$K$3</f>
        <v>264.80337696471508</v>
      </c>
    </row>
    <row r="51" spans="1:3" x14ac:dyDescent="0.2">
      <c r="A51" s="43">
        <f t="shared" si="0"/>
        <v>41</v>
      </c>
      <c r="B51" s="43">
        <v>-1002.3923905084046</v>
      </c>
      <c r="C51" s="43">
        <f>($F$22+B51)*$F$23/Main!$K$3</f>
        <v>229.18081142457996</v>
      </c>
    </row>
    <row r="52" spans="1:3" x14ac:dyDescent="0.2">
      <c r="A52" s="43">
        <f t="shared" si="0"/>
        <v>42</v>
      </c>
      <c r="B52" s="43">
        <v>19747.110304454352</v>
      </c>
      <c r="C52" s="43">
        <f>($F$22+B52)*$F$23/Main!$K$3</f>
        <v>409.12777754898292</v>
      </c>
    </row>
    <row r="53" spans="1:3" x14ac:dyDescent="0.2">
      <c r="A53" s="43">
        <f t="shared" si="0"/>
        <v>43</v>
      </c>
      <c r="B53" s="43">
        <v>-145.04089079927058</v>
      </c>
      <c r="C53" s="43">
        <f>($F$22+B53)*$F$23/Main!$K$3</f>
        <v>236.61606438186257</v>
      </c>
    </row>
    <row r="54" spans="1:3" x14ac:dyDescent="0.2">
      <c r="A54" s="43">
        <f t="shared" si="0"/>
        <v>44</v>
      </c>
      <c r="B54" s="43">
        <v>2195.9984852200396</v>
      </c>
      <c r="C54" s="43">
        <f>($F$22+B54)*$F$23/Main!$K$3</f>
        <v>256.91837906792529</v>
      </c>
    </row>
    <row r="55" spans="1:3" x14ac:dyDescent="0.2">
      <c r="A55" s="43">
        <f t="shared" si="0"/>
        <v>45</v>
      </c>
      <c r="B55" s="43">
        <v>2600.2560356682238</v>
      </c>
      <c r="C55" s="43">
        <f>($F$22+B55)*$F$23/Main!$K$3</f>
        <v>260.42424235561236</v>
      </c>
    </row>
    <row r="56" spans="1:3" x14ac:dyDescent="0.2">
      <c r="A56" s="43">
        <f t="shared" si="0"/>
        <v>46</v>
      </c>
      <c r="B56" s="43">
        <v>8151.4956684096906</v>
      </c>
      <c r="C56" s="43">
        <f>($F$22+B56)*$F$23/Main!$K$3</f>
        <v>308.56653977963094</v>
      </c>
    </row>
    <row r="57" spans="1:3" x14ac:dyDescent="0.2">
      <c r="A57" s="43">
        <f t="shared" si="0"/>
        <v>47</v>
      </c>
      <c r="B57" s="43">
        <v>8115.6432860176028</v>
      </c>
      <c r="C57" s="43">
        <f>($F$22+B57)*$F$23/Main!$K$3</f>
        <v>308.25561534280791</v>
      </c>
    </row>
    <row r="58" spans="1:3" x14ac:dyDescent="0.2">
      <c r="A58" s="43">
        <f t="shared" si="0"/>
        <v>48</v>
      </c>
      <c r="B58" s="43">
        <v>14406.843492921589</v>
      </c>
      <c r="C58" s="43">
        <f>($F$22+B58)*$F$23/Main!$K$3</f>
        <v>362.81511043800447</v>
      </c>
    </row>
    <row r="59" spans="1:3" x14ac:dyDescent="0.2">
      <c r="A59" s="43">
        <f t="shared" si="0"/>
        <v>49</v>
      </c>
      <c r="B59" s="43">
        <v>964.08553132954387</v>
      </c>
      <c r="C59" s="43">
        <f>($F$22+B59)*$F$23/Main!$K$3</f>
        <v>246.23479778692612</v>
      </c>
    </row>
    <row r="60" spans="1:3" x14ac:dyDescent="0.2">
      <c r="A60" s="43">
        <f t="shared" si="0"/>
        <v>50</v>
      </c>
      <c r="B60" s="43">
        <v>-10765.972418658579</v>
      </c>
      <c r="C60" s="43">
        <f>($F$22+B60)*$F$23/Main!$K$3</f>
        <v>144.50762043745542</v>
      </c>
    </row>
    <row r="61" spans="1:3" x14ac:dyDescent="0.2">
      <c r="A61" s="43">
        <f t="shared" si="0"/>
        <v>51</v>
      </c>
      <c r="B61" s="43">
        <v>19996.067687851384</v>
      </c>
      <c r="C61" s="43">
        <f>($F$22+B61)*$F$23/Main!$K$3</f>
        <v>411.2868233099901</v>
      </c>
    </row>
    <row r="62" spans="1:3" x14ac:dyDescent="0.2">
      <c r="A62" s="43">
        <f t="shared" si="0"/>
        <v>52</v>
      </c>
      <c r="B62" s="43">
        <v>3941.3589775743753</v>
      </c>
      <c r="C62" s="43">
        <f>($F$22+B62)*$F$23/Main!$K$3</f>
        <v>272.05475751562676</v>
      </c>
    </row>
    <row r="63" spans="1:3" x14ac:dyDescent="0.2">
      <c r="A63" s="43">
        <f t="shared" si="0"/>
        <v>53</v>
      </c>
      <c r="B63" s="43">
        <v>-1414.3635019024598</v>
      </c>
      <c r="C63" s="43">
        <f>($F$22+B63)*$F$23/Main!$K$3</f>
        <v>225.60805343051703</v>
      </c>
    </row>
    <row r="64" spans="1:3" x14ac:dyDescent="0.2">
      <c r="A64" s="43">
        <f t="shared" si="0"/>
        <v>54</v>
      </c>
      <c r="B64" s="43">
        <v>13329.439287689125</v>
      </c>
      <c r="C64" s="43">
        <f>($F$22+B64)*$F$23/Main!$K$3</f>
        <v>353.47148322575703</v>
      </c>
    </row>
    <row r="65" spans="1:3" x14ac:dyDescent="0.2">
      <c r="A65" s="43">
        <f t="shared" si="0"/>
        <v>55</v>
      </c>
      <c r="B65" s="43">
        <v>7307.9418007415024</v>
      </c>
      <c r="C65" s="43">
        <f>($F$22+B65)*$F$23/Main!$K$3</f>
        <v>301.25094472750243</v>
      </c>
    </row>
    <row r="66" spans="1:3" x14ac:dyDescent="0.2">
      <c r="A66" s="43">
        <f t="shared" si="0"/>
        <v>56</v>
      </c>
      <c r="B66" s="43">
        <v>-189.87875629773248</v>
      </c>
      <c r="C66" s="43">
        <f>($F$22+B66)*$F$23/Main!$K$3</f>
        <v>236.22721468350807</v>
      </c>
    </row>
    <row r="67" spans="1:3" x14ac:dyDescent="0.2">
      <c r="A67" s="43">
        <f t="shared" si="0"/>
        <v>57</v>
      </c>
      <c r="B67" s="43">
        <v>32797.673401924476</v>
      </c>
      <c r="C67" s="43">
        <f>($F$22+B67)*$F$23/Main!$K$3</f>
        <v>522.30683875968612</v>
      </c>
    </row>
    <row r="68" spans="1:3" x14ac:dyDescent="0.2">
      <c r="A68" s="43">
        <f t="shared" si="0"/>
        <v>58</v>
      </c>
      <c r="B68" s="43">
        <v>2188.8134640221938</v>
      </c>
      <c r="C68" s="43">
        <f>($F$22+B68)*$F$23/Main!$K$3</f>
        <v>256.85606804365165</v>
      </c>
    </row>
    <row r="69" spans="1:3" x14ac:dyDescent="0.2">
      <c r="A69" s="43">
        <f t="shared" si="0"/>
        <v>59</v>
      </c>
      <c r="B69" s="43">
        <v>4019.8278011623083</v>
      </c>
      <c r="C69" s="43">
        <f>($F$22+B69)*$F$23/Main!$K$3</f>
        <v>272.73526667999471</v>
      </c>
    </row>
    <row r="70" spans="1:3" x14ac:dyDescent="0.2">
      <c r="A70" s="43">
        <f t="shared" si="0"/>
        <v>60</v>
      </c>
      <c r="B70" s="43">
        <v>7051.6584323468114</v>
      </c>
      <c r="C70" s="43">
        <f>($F$22+B70)*$F$23/Main!$K$3</f>
        <v>299.02836545470075</v>
      </c>
    </row>
    <row r="71" spans="1:3" x14ac:dyDescent="0.2">
      <c r="A71" s="43">
        <f t="shared" si="0"/>
        <v>61</v>
      </c>
      <c r="B71" s="43">
        <v>10799.242108176486</v>
      </c>
      <c r="C71" s="43">
        <f>($F$22+B71)*$F$23/Main!$K$3</f>
        <v>331.52872571280949</v>
      </c>
    </row>
    <row r="72" spans="1:3" x14ac:dyDescent="0.2">
      <c r="A72" s="43">
        <f t="shared" si="0"/>
        <v>62</v>
      </c>
      <c r="B72" s="43">
        <v>6531.0053164144292</v>
      </c>
      <c r="C72" s="43">
        <f>($F$22+B72)*$F$23/Main!$K$3</f>
        <v>294.51307899253436</v>
      </c>
    </row>
    <row r="73" spans="1:3" x14ac:dyDescent="0.2">
      <c r="A73" s="43">
        <f t="shared" si="0"/>
        <v>63</v>
      </c>
      <c r="B73" s="43">
        <v>2652.2606550034507</v>
      </c>
      <c r="C73" s="43">
        <f>($F$22+B73)*$F$23/Main!$K$3</f>
        <v>260.87524465727716</v>
      </c>
    </row>
    <row r="74" spans="1:3" x14ac:dyDescent="0.2">
      <c r="A74" s="43">
        <f t="shared" si="0"/>
        <v>64</v>
      </c>
      <c r="B74" s="43">
        <v>9198.8293264999429</v>
      </c>
      <c r="C74" s="43">
        <f>($F$22+B74)*$F$23/Main!$K$3</f>
        <v>317.64938465856227</v>
      </c>
    </row>
    <row r="75" spans="1:3" x14ac:dyDescent="0.2">
      <c r="A75" s="43">
        <f t="shared" si="0"/>
        <v>65</v>
      </c>
      <c r="B75" s="43">
        <v>-11024.537622001839</v>
      </c>
      <c r="C75" s="43">
        <f>($F$22+B75)*$F$23/Main!$K$3</f>
        <v>142.26525229153097</v>
      </c>
    </row>
    <row r="76" spans="1:3" x14ac:dyDescent="0.2">
      <c r="A76" s="43">
        <f t="shared" si="0"/>
        <v>66</v>
      </c>
      <c r="B76" s="43">
        <v>8308.8777241992248</v>
      </c>
      <c r="C76" s="43">
        <f>($F$22+B76)*$F$23/Main!$K$3</f>
        <v>309.93141217575942</v>
      </c>
    </row>
    <row r="77" spans="1:3" x14ac:dyDescent="0.2">
      <c r="A77" s="43">
        <f t="shared" ref="A77:A140" si="1">A76+1</f>
        <v>67</v>
      </c>
      <c r="B77" s="43">
        <v>419.54086470581683</v>
      </c>
      <c r="C77" s="43">
        <f>($F$22+B77)*$F$23/Main!$K$3</f>
        <v>241.51231541620638</v>
      </c>
    </row>
    <row r="78" spans="1:3" x14ac:dyDescent="0.2">
      <c r="A78" s="43">
        <f t="shared" si="1"/>
        <v>68</v>
      </c>
      <c r="B78" s="43">
        <v>-9053.4132336287585</v>
      </c>
      <c r="C78" s="43">
        <f>($F$22+B78)*$F$23/Main!$K$3</f>
        <v>159.35953444161174</v>
      </c>
    </row>
    <row r="79" spans="1:3" x14ac:dyDescent="0.2">
      <c r="A79" s="43">
        <f t="shared" si="1"/>
        <v>69</v>
      </c>
      <c r="B79" s="43">
        <v>4812.3586704673089</v>
      </c>
      <c r="C79" s="43">
        <f>($F$22+B79)*$F$23/Main!$K$3</f>
        <v>279.60837239187242</v>
      </c>
    </row>
    <row r="80" spans="1:3" x14ac:dyDescent="0.2">
      <c r="A80" s="43">
        <f t="shared" si="1"/>
        <v>70</v>
      </c>
      <c r="B80" s="43">
        <v>20462.045828459726</v>
      </c>
      <c r="C80" s="43">
        <f>($F$22+B80)*$F$23/Main!$K$3</f>
        <v>415.32794920661786</v>
      </c>
    </row>
    <row r="81" spans="1:3" x14ac:dyDescent="0.2">
      <c r="A81" s="43">
        <f t="shared" si="1"/>
        <v>71</v>
      </c>
      <c r="B81" s="43">
        <v>12440.306301203123</v>
      </c>
      <c r="C81" s="43">
        <f>($F$22+B81)*$F$23/Main!$K$3</f>
        <v>345.76061006646313</v>
      </c>
    </row>
    <row r="82" spans="1:3" x14ac:dyDescent="0.2">
      <c r="A82" s="43">
        <f t="shared" si="1"/>
        <v>72</v>
      </c>
      <c r="B82" s="43">
        <v>12206.592065008663</v>
      </c>
      <c r="C82" s="43">
        <f>($F$22+B82)*$F$23/Main!$K$3</f>
        <v>343.73375822516647</v>
      </c>
    </row>
    <row r="83" spans="1:3" x14ac:dyDescent="0.2">
      <c r="A83" s="43">
        <f t="shared" si="1"/>
        <v>73</v>
      </c>
      <c r="B83" s="43">
        <v>24631.190938314732</v>
      </c>
      <c r="C83" s="43">
        <f>($F$22+B83)*$F$23/Main!$K$3</f>
        <v>451.4842381008537</v>
      </c>
    </row>
    <row r="84" spans="1:3" x14ac:dyDescent="0.2">
      <c r="A84" s="43">
        <f t="shared" si="1"/>
        <v>74</v>
      </c>
      <c r="B84" s="43">
        <v>1457.7705668804208</v>
      </c>
      <c r="C84" s="43">
        <f>($F$22+B84)*$F$23/Main!$K$3</f>
        <v>250.5162075958448</v>
      </c>
    </row>
    <row r="85" spans="1:3" x14ac:dyDescent="0.2">
      <c r="A85" s="43">
        <f t="shared" si="1"/>
        <v>75</v>
      </c>
      <c r="B85" s="43">
        <v>12277.356103863236</v>
      </c>
      <c r="C85" s="43">
        <f>($F$22+B85)*$F$23/Main!$K$3</f>
        <v>344.34744879355208</v>
      </c>
    </row>
    <row r="86" spans="1:3" x14ac:dyDescent="0.2">
      <c r="A86" s="43">
        <f t="shared" si="1"/>
        <v>76</v>
      </c>
      <c r="B86" s="43">
        <v>11301.609598178216</v>
      </c>
      <c r="C86" s="43">
        <f>($F$22+B86)*$F$23/Main!$K$3</f>
        <v>335.88543281245904</v>
      </c>
    </row>
    <row r="87" spans="1:3" x14ac:dyDescent="0.2">
      <c r="A87" s="43">
        <f t="shared" si="1"/>
        <v>77</v>
      </c>
      <c r="B87" s="43">
        <v>12522.0925068743</v>
      </c>
      <c r="C87" s="43">
        <f>($F$22+B87)*$F$23/Main!$K$3</f>
        <v>346.46988873196716</v>
      </c>
    </row>
    <row r="88" spans="1:3" x14ac:dyDescent="0.2">
      <c r="A88" s="43">
        <f t="shared" si="1"/>
        <v>78</v>
      </c>
      <c r="B88" s="43">
        <v>9700.8762369937176</v>
      </c>
      <c r="C88" s="43">
        <f>($F$22+B88)*$F$23/Main!$K$3</f>
        <v>322.00331158026216</v>
      </c>
    </row>
    <row r="89" spans="1:3" x14ac:dyDescent="0.2">
      <c r="A89" s="43">
        <f t="shared" si="1"/>
        <v>79</v>
      </c>
      <c r="B89" s="43">
        <v>16368.922817654393</v>
      </c>
      <c r="C89" s="43">
        <f>($F$22+B89)*$F$23/Main!$K$3</f>
        <v>379.83095062326345</v>
      </c>
    </row>
    <row r="90" spans="1:3" x14ac:dyDescent="0.2">
      <c r="A90" s="43">
        <f t="shared" si="1"/>
        <v>80</v>
      </c>
      <c r="B90" s="43">
        <v>4896.6927858854242</v>
      </c>
      <c r="C90" s="43">
        <f>($F$22+B90)*$F$23/Main!$K$3</f>
        <v>280.33974742448748</v>
      </c>
    </row>
    <row r="91" spans="1:3" x14ac:dyDescent="0.2">
      <c r="A91" s="43">
        <f t="shared" si="1"/>
        <v>81</v>
      </c>
      <c r="B91" s="43">
        <v>6663.3597737408063</v>
      </c>
      <c r="C91" s="43">
        <f>($F$22+B91)*$F$23/Main!$K$3</f>
        <v>295.66090327531612</v>
      </c>
    </row>
    <row r="92" spans="1:3" x14ac:dyDescent="0.2">
      <c r="A92" s="43">
        <f t="shared" si="1"/>
        <v>82</v>
      </c>
      <c r="B92" s="43">
        <v>8066.3499917336885</v>
      </c>
      <c r="C92" s="43">
        <f>($F$22+B92)*$F$23/Main!$K$3</f>
        <v>307.8281266030985</v>
      </c>
    </row>
    <row r="93" spans="1:3" x14ac:dyDescent="0.2">
      <c r="A93" s="43">
        <f t="shared" si="1"/>
        <v>83</v>
      </c>
      <c r="B93" s="43">
        <v>80.22328604069169</v>
      </c>
      <c r="C93" s="43">
        <f>($F$22+B93)*$F$23/Main!$K$3</f>
        <v>238.56963434422622</v>
      </c>
    </row>
    <row r="94" spans="1:3" x14ac:dyDescent="0.2">
      <c r="A94" s="43">
        <f t="shared" si="1"/>
        <v>84</v>
      </c>
      <c r="B94" s="43">
        <v>10272.837603368263</v>
      </c>
      <c r="C94" s="43">
        <f>($F$22+B94)*$F$23/Main!$K$3</f>
        <v>326.9635611887723</v>
      </c>
    </row>
    <row r="95" spans="1:3" x14ac:dyDescent="0.2">
      <c r="A95" s="43">
        <f t="shared" si="1"/>
        <v>85</v>
      </c>
      <c r="B95" s="43">
        <v>2301.3833652374315</v>
      </c>
      <c r="C95" s="43">
        <f>($F$22+B95)*$F$23/Main!$K$3</f>
        <v>257.83231371557918</v>
      </c>
    </row>
    <row r="96" spans="1:3" x14ac:dyDescent="0.2">
      <c r="A96" s="43">
        <f t="shared" si="1"/>
        <v>86</v>
      </c>
      <c r="B96" s="43">
        <v>4183.8383287984161</v>
      </c>
      <c r="C96" s="43">
        <f>($F$22+B96)*$F$23/Main!$K$3</f>
        <v>274.1576235091897</v>
      </c>
    </row>
    <row r="97" spans="1:3" x14ac:dyDescent="0.2">
      <c r="A97" s="43">
        <f t="shared" si="1"/>
        <v>87</v>
      </c>
      <c r="B97" s="43">
        <v>6033.9508787771756</v>
      </c>
      <c r="C97" s="43">
        <f>($F$22+B97)*$F$23/Main!$K$3</f>
        <v>290.20244854676434</v>
      </c>
    </row>
    <row r="98" spans="1:3" x14ac:dyDescent="0.2">
      <c r="A98" s="43">
        <f t="shared" si="1"/>
        <v>88</v>
      </c>
      <c r="B98" s="43">
        <v>4138.2440088653457</v>
      </c>
      <c r="C98" s="43">
        <f>($F$22+B98)*$F$23/Main!$K$3</f>
        <v>273.76221357262028</v>
      </c>
    </row>
    <row r="99" spans="1:3" x14ac:dyDescent="0.2">
      <c r="A99" s="43">
        <f t="shared" si="1"/>
        <v>89</v>
      </c>
      <c r="B99" s="43">
        <v>5732.0187617611582</v>
      </c>
      <c r="C99" s="43">
        <f>($F$22+B99)*$F$23/Main!$K$3</f>
        <v>287.58398731271552</v>
      </c>
    </row>
    <row r="100" spans="1:3" x14ac:dyDescent="0.2">
      <c r="A100" s="43">
        <f t="shared" si="1"/>
        <v>90</v>
      </c>
      <c r="B100" s="43">
        <v>9937.8538032310862</v>
      </c>
      <c r="C100" s="43">
        <f>($F$22+B100)*$F$23/Main!$K$3</f>
        <v>324.05846416444018</v>
      </c>
    </row>
    <row r="101" spans="1:3" x14ac:dyDescent="0.2">
      <c r="A101" s="43">
        <f t="shared" si="1"/>
        <v>91</v>
      </c>
      <c r="B101" s="43">
        <v>2317.2684553135418</v>
      </c>
      <c r="C101" s="43">
        <f>($F$22+B101)*$F$23/Main!$K$3</f>
        <v>257.97007478907722</v>
      </c>
    </row>
    <row r="102" spans="1:3" x14ac:dyDescent="0.2">
      <c r="A102" s="43">
        <f t="shared" si="1"/>
        <v>92</v>
      </c>
      <c r="B102" s="43">
        <v>11287.250750613357</v>
      </c>
      <c r="C102" s="43">
        <f>($F$22+B102)*$F$23/Main!$K$3</f>
        <v>335.76090784941181</v>
      </c>
    </row>
    <row r="103" spans="1:3" x14ac:dyDescent="0.2">
      <c r="A103" s="43">
        <f t="shared" si="1"/>
        <v>93</v>
      </c>
      <c r="B103" s="43">
        <v>14092.676398203666</v>
      </c>
      <c r="C103" s="43">
        <f>($F$22+B103)*$F$23/Main!$K$3</f>
        <v>360.09054318539597</v>
      </c>
    </row>
    <row r="104" spans="1:3" x14ac:dyDescent="0.2">
      <c r="A104" s="43">
        <f t="shared" si="1"/>
        <v>94</v>
      </c>
      <c r="B104" s="43">
        <v>14509.484167234294</v>
      </c>
      <c r="C104" s="43">
        <f>($F$22+B104)*$F$23/Main!$K$3</f>
        <v>363.70524637114278</v>
      </c>
    </row>
    <row r="105" spans="1:3" x14ac:dyDescent="0.2">
      <c r="A105" s="43">
        <f t="shared" si="1"/>
        <v>95</v>
      </c>
      <c r="B105" s="43">
        <v>7978.8265561811286</v>
      </c>
      <c r="C105" s="43">
        <f>($F$22+B105)*$F$23/Main!$K$3</f>
        <v>307.06909266749039</v>
      </c>
    </row>
    <row r="106" spans="1:3" x14ac:dyDescent="0.2">
      <c r="A106" s="43">
        <f t="shared" si="1"/>
        <v>96</v>
      </c>
      <c r="B106" s="43">
        <v>13174.993802016825</v>
      </c>
      <c r="C106" s="43">
        <f>($F$22+B106)*$F$23/Main!$K$3</f>
        <v>352.13207779580978</v>
      </c>
    </row>
    <row r="107" spans="1:3" x14ac:dyDescent="0.2">
      <c r="A107" s="43">
        <f t="shared" si="1"/>
        <v>97</v>
      </c>
      <c r="B107" s="43">
        <v>6297.1755654663802</v>
      </c>
      <c r="C107" s="43">
        <f>($F$22+B107)*$F$23/Main!$K$3</f>
        <v>292.48522536677297</v>
      </c>
    </row>
    <row r="108" spans="1:3" x14ac:dyDescent="0.2">
      <c r="A108" s="43">
        <f t="shared" si="1"/>
        <v>98</v>
      </c>
      <c r="B108" s="43">
        <v>-4431.7616639175048</v>
      </c>
      <c r="C108" s="43">
        <f>($F$22+B108)*$F$23/Main!$K$3</f>
        <v>199.44011809123919</v>
      </c>
    </row>
    <row r="109" spans="1:3" x14ac:dyDescent="0.2">
      <c r="A109" s="43">
        <f t="shared" si="1"/>
        <v>99</v>
      </c>
      <c r="B109" s="43">
        <v>2144.6360090251469</v>
      </c>
      <c r="C109" s="43">
        <f>($F$22+B109)*$F$23/Main!$K$3</f>
        <v>256.47294565683194</v>
      </c>
    </row>
    <row r="110" spans="1:3" x14ac:dyDescent="0.2">
      <c r="A110" s="43">
        <f t="shared" si="1"/>
        <v>100</v>
      </c>
      <c r="B110" s="43">
        <v>2319.7399453686035</v>
      </c>
      <c r="C110" s="43">
        <f>($F$22+B110)*$F$23/Main!$K$3</f>
        <v>257.99150841781301</v>
      </c>
    </row>
    <row r="111" spans="1:3" x14ac:dyDescent="0.2">
      <c r="A111" s="43">
        <f t="shared" si="1"/>
        <v>101</v>
      </c>
      <c r="B111" s="43">
        <v>6866.0015857954368</v>
      </c>
      <c r="C111" s="43">
        <f>($F$22+B111)*$F$23/Main!$K$3</f>
        <v>297.41828415452312</v>
      </c>
    </row>
    <row r="112" spans="1:3" x14ac:dyDescent="0.2">
      <c r="A112" s="43">
        <f t="shared" si="1"/>
        <v>102</v>
      </c>
      <c r="B112" s="43">
        <v>-181.48300242521432</v>
      </c>
      <c r="C112" s="43">
        <f>($F$22+B112)*$F$23/Main!$K$3</f>
        <v>236.30002560625149</v>
      </c>
    </row>
    <row r="113" spans="1:3" x14ac:dyDescent="0.2">
      <c r="A113" s="43">
        <f t="shared" si="1"/>
        <v>103</v>
      </c>
      <c r="B113" s="43">
        <v>15930.47074137042</v>
      </c>
      <c r="C113" s="43">
        <f>($F$22+B113)*$F$23/Main!$K$3</f>
        <v>376.02854041237191</v>
      </c>
    </row>
    <row r="114" spans="1:3" x14ac:dyDescent="0.2">
      <c r="A114" s="43">
        <f t="shared" si="1"/>
        <v>104</v>
      </c>
      <c r="B114" s="43">
        <v>-231.3386863166597</v>
      </c>
      <c r="C114" s="43">
        <f>($F$22+B114)*$F$23/Main!$K$3</f>
        <v>235.86765962658393</v>
      </c>
    </row>
    <row r="115" spans="1:3" x14ac:dyDescent="0.2">
      <c r="A115" s="43">
        <f t="shared" si="1"/>
        <v>105</v>
      </c>
      <c r="B115" s="43">
        <v>564.3904081113767</v>
      </c>
      <c r="C115" s="43">
        <f>($F$22+B115)*$F$23/Main!$K$3</f>
        <v>242.76850146863947</v>
      </c>
    </row>
    <row r="116" spans="1:3" x14ac:dyDescent="0.2">
      <c r="A116" s="43">
        <f t="shared" si="1"/>
        <v>106</v>
      </c>
      <c r="B116" s="43">
        <v>6759.1718000500832</v>
      </c>
      <c r="C116" s="43">
        <f>($F$22+B116)*$F$23/Main!$K$3</f>
        <v>296.49181877753546</v>
      </c>
    </row>
    <row r="117" spans="1:3" x14ac:dyDescent="0.2">
      <c r="A117" s="43">
        <f t="shared" si="1"/>
        <v>107</v>
      </c>
      <c r="B117" s="43">
        <v>-895.12939936036548</v>
      </c>
      <c r="C117" s="43">
        <f>($F$22+B117)*$F$23/Main!$K$3</f>
        <v>230.11103371078468</v>
      </c>
    </row>
    <row r="118" spans="1:3" x14ac:dyDescent="0.2">
      <c r="A118" s="43">
        <f t="shared" si="1"/>
        <v>108</v>
      </c>
      <c r="B118" s="43">
        <v>255.32385555947488</v>
      </c>
      <c r="C118" s="43">
        <f>($F$22+B118)*$F$23/Main!$K$3</f>
        <v>240.08816790692262</v>
      </c>
    </row>
    <row r="119" spans="1:3" x14ac:dyDescent="0.2">
      <c r="A119" s="43">
        <f t="shared" si="1"/>
        <v>109</v>
      </c>
      <c r="B119" s="43">
        <v>5746.9657212931497</v>
      </c>
      <c r="C119" s="43">
        <f>($F$22+B119)*$F$23/Main!$K$3</f>
        <v>287.71361258904653</v>
      </c>
    </row>
    <row r="120" spans="1:3" x14ac:dyDescent="0.2">
      <c r="A120" s="43">
        <f t="shared" si="1"/>
        <v>110</v>
      </c>
      <c r="B120" s="43">
        <v>16294.899199706986</v>
      </c>
      <c r="C120" s="43">
        <f>($F$22+B120)*$F$23/Main!$K$3</f>
        <v>379.1889918415514</v>
      </c>
    </row>
    <row r="121" spans="1:3" x14ac:dyDescent="0.2">
      <c r="A121" s="43">
        <f t="shared" si="1"/>
        <v>111</v>
      </c>
      <c r="B121" s="43">
        <v>20528.502342152362</v>
      </c>
      <c r="C121" s="43">
        <f>($F$22+B121)*$F$23/Main!$K$3</f>
        <v>415.904283405755</v>
      </c>
    </row>
    <row r="122" spans="1:3" x14ac:dyDescent="0.2">
      <c r="A122" s="43">
        <f t="shared" si="1"/>
        <v>112</v>
      </c>
      <c r="B122" s="43">
        <v>-289.52386041324849</v>
      </c>
      <c r="C122" s="43">
        <f>($F$22+B122)*$F$23/Main!$K$3</f>
        <v>235.36305738594112</v>
      </c>
    </row>
    <row r="123" spans="1:3" x14ac:dyDescent="0.2">
      <c r="A123" s="43">
        <f t="shared" si="1"/>
        <v>113</v>
      </c>
      <c r="B123" s="43">
        <v>12926.582106792683</v>
      </c>
      <c r="C123" s="43">
        <f>($F$22+B123)*$F$23/Main!$K$3</f>
        <v>349.97776443406076</v>
      </c>
    </row>
    <row r="124" spans="1:3" x14ac:dyDescent="0.2">
      <c r="A124" s="43">
        <f t="shared" si="1"/>
        <v>114</v>
      </c>
      <c r="B124" s="43">
        <v>2457.6090534776922</v>
      </c>
      <c r="C124" s="43">
        <f>($F$22+B124)*$F$23/Main!$K$3</f>
        <v>259.18715768667624</v>
      </c>
    </row>
    <row r="125" spans="1:3" x14ac:dyDescent="0.2">
      <c r="A125" s="43">
        <f t="shared" si="1"/>
        <v>115</v>
      </c>
      <c r="B125" s="43">
        <v>2098.1159027156855</v>
      </c>
      <c r="C125" s="43">
        <f>($F$22+B125)*$F$23/Main!$K$3</f>
        <v>256.06950697604833</v>
      </c>
    </row>
    <row r="126" spans="1:3" x14ac:dyDescent="0.2">
      <c r="A126" s="43">
        <f t="shared" si="1"/>
        <v>116</v>
      </c>
      <c r="B126" s="43">
        <v>43.271437084393106</v>
      </c>
      <c r="C126" s="43">
        <f>($F$22+B126)*$F$23/Main!$K$3</f>
        <v>238.24917494767465</v>
      </c>
    </row>
    <row r="127" spans="1:3" x14ac:dyDescent="0.2">
      <c r="A127" s="43">
        <f t="shared" si="1"/>
        <v>117</v>
      </c>
      <c r="B127" s="43">
        <v>732.43639765788657</v>
      </c>
      <c r="C127" s="43">
        <f>($F$22+B127)*$F$23/Main!$K$3</f>
        <v>244.22585523912807</v>
      </c>
    </row>
    <row r="128" spans="1:3" x14ac:dyDescent="0.2">
      <c r="A128" s="43">
        <f t="shared" si="1"/>
        <v>118</v>
      </c>
      <c r="B128" s="43">
        <v>25.581026286561364</v>
      </c>
      <c r="C128" s="43">
        <f>($F$22+B128)*$F$23/Main!$K$3</f>
        <v>238.09575749958626</v>
      </c>
    </row>
    <row r="129" spans="1:3" x14ac:dyDescent="0.2">
      <c r="A129" s="43">
        <f t="shared" si="1"/>
        <v>119</v>
      </c>
      <c r="B129" s="43">
        <v>23241.411108525175</v>
      </c>
      <c r="C129" s="43">
        <f>($F$22+B129)*$F$23/Main!$K$3</f>
        <v>439.4315798936654</v>
      </c>
    </row>
    <row r="130" spans="1:3" x14ac:dyDescent="0.2">
      <c r="A130" s="43">
        <f t="shared" si="1"/>
        <v>120</v>
      </c>
      <c r="B130" s="43">
        <v>15779.517960314792</v>
      </c>
      <c r="C130" s="43">
        <f>($F$22+B130)*$F$23/Main!$K$3</f>
        <v>374.71942494207224</v>
      </c>
    </row>
    <row r="131" spans="1:3" x14ac:dyDescent="0.2">
      <c r="A131" s="43">
        <f t="shared" si="1"/>
        <v>121</v>
      </c>
      <c r="B131" s="43">
        <v>2230.7707600544022</v>
      </c>
      <c r="C131" s="43">
        <f>($F$22+B131)*$F$23/Main!$K$3</f>
        <v>257.21993643311492</v>
      </c>
    </row>
    <row r="132" spans="1:3" x14ac:dyDescent="0.2">
      <c r="A132" s="43">
        <f t="shared" si="1"/>
        <v>122</v>
      </c>
      <c r="B132" s="43">
        <v>1324.0966525469091</v>
      </c>
      <c r="C132" s="43">
        <f>($F$22+B132)*$F$23/Main!$K$3</f>
        <v>249.35694051904261</v>
      </c>
    </row>
    <row r="133" spans="1:3" x14ac:dyDescent="0.2">
      <c r="A133" s="43">
        <f t="shared" si="1"/>
        <v>123</v>
      </c>
      <c r="B133" s="43">
        <v>19228.073045372887</v>
      </c>
      <c r="C133" s="43">
        <f>($F$22+B133)*$F$23/Main!$K$3</f>
        <v>404.62650436425696</v>
      </c>
    </row>
    <row r="134" spans="1:3" x14ac:dyDescent="0.2">
      <c r="A134" s="43">
        <f t="shared" si="1"/>
        <v>124</v>
      </c>
      <c r="B134" s="43">
        <v>-2372.0692226063761</v>
      </c>
      <c r="C134" s="43">
        <f>($F$22+B134)*$F$23/Main!$K$3</f>
        <v>217.30249346533813</v>
      </c>
    </row>
    <row r="135" spans="1:3" x14ac:dyDescent="0.2">
      <c r="A135" s="43">
        <f t="shared" si="1"/>
        <v>125</v>
      </c>
      <c r="B135" s="43">
        <v>2978.6026288726111</v>
      </c>
      <c r="C135" s="43">
        <f>($F$22+B135)*$F$23/Main!$K$3</f>
        <v>263.70539673273203</v>
      </c>
    </row>
    <row r="136" spans="1:3" x14ac:dyDescent="0.2">
      <c r="A136" s="43">
        <f t="shared" si="1"/>
        <v>126</v>
      </c>
      <c r="B136" s="43">
        <v>21352.953083220971</v>
      </c>
      <c r="C136" s="43">
        <f>($F$22+B136)*$F$23/Main!$K$3</f>
        <v>423.05420944279336</v>
      </c>
    </row>
    <row r="137" spans="1:3" x14ac:dyDescent="0.2">
      <c r="A137" s="43">
        <f t="shared" si="1"/>
        <v>127</v>
      </c>
      <c r="B137" s="43">
        <v>-468.80774884022605</v>
      </c>
      <c r="C137" s="43">
        <f>($F$22+B137)*$F$23/Main!$K$3</f>
        <v>233.80824461419925</v>
      </c>
    </row>
    <row r="138" spans="1:3" x14ac:dyDescent="0.2">
      <c r="A138" s="43">
        <f t="shared" si="1"/>
        <v>128</v>
      </c>
      <c r="B138" s="43">
        <v>1667.6360047107548</v>
      </c>
      <c r="C138" s="43">
        <f>($F$22+B138)*$F$23/Main!$K$3</f>
        <v>252.33623429176686</v>
      </c>
    </row>
    <row r="139" spans="1:3" x14ac:dyDescent="0.2">
      <c r="A139" s="43">
        <f t="shared" si="1"/>
        <v>129</v>
      </c>
      <c r="B139" s="43">
        <v>13873.260107554022</v>
      </c>
      <c r="C139" s="43">
        <f>($F$22+B139)*$F$23/Main!$K$3</f>
        <v>358.18768814346487</v>
      </c>
    </row>
    <row r="140" spans="1:3" x14ac:dyDescent="0.2">
      <c r="A140" s="43">
        <f t="shared" si="1"/>
        <v>130</v>
      </c>
      <c r="B140" s="43">
        <v>10941.118049876664</v>
      </c>
      <c r="C140" s="43">
        <f>($F$22+B140)*$F$23/Main!$K$3</f>
        <v>332.75912364813865</v>
      </c>
    </row>
    <row r="141" spans="1:3" x14ac:dyDescent="0.2">
      <c r="A141" s="43">
        <f t="shared" ref="A141:A204" si="2">A140+1</f>
        <v>131</v>
      </c>
      <c r="B141" s="43">
        <v>16530.530756779692</v>
      </c>
      <c r="C141" s="43">
        <f>($F$22+B141)*$F$23/Main!$K$3</f>
        <v>381.23247136208454</v>
      </c>
    </row>
    <row r="142" spans="1:3" x14ac:dyDescent="0.2">
      <c r="A142" s="43">
        <f t="shared" si="2"/>
        <v>132</v>
      </c>
      <c r="B142" s="43">
        <v>20102.632733011484</v>
      </c>
      <c r="C142" s="43">
        <f>($F$22+B142)*$F$23/Main!$K$3</f>
        <v>412.21099276375372</v>
      </c>
    </row>
    <row r="143" spans="1:3" x14ac:dyDescent="0.2">
      <c r="A143" s="43">
        <f t="shared" si="2"/>
        <v>133</v>
      </c>
      <c r="B143" s="43">
        <v>5911.0608310786783</v>
      </c>
      <c r="C143" s="43">
        <f>($F$22+B143)*$F$23/Main!$K$3</f>
        <v>289.13670294431205</v>
      </c>
    </row>
    <row r="144" spans="1:3" x14ac:dyDescent="0.2">
      <c r="A144" s="43">
        <f t="shared" si="2"/>
        <v>134</v>
      </c>
      <c r="B144" s="43">
        <v>30599.642503624869</v>
      </c>
      <c r="C144" s="43">
        <f>($F$22+B144)*$F$23/Main!$K$3</f>
        <v>503.24474375859813</v>
      </c>
    </row>
    <row r="145" spans="1:3" x14ac:dyDescent="0.2">
      <c r="A145" s="43">
        <f t="shared" si="2"/>
        <v>135</v>
      </c>
      <c r="B145" s="43">
        <v>7576.7397985742091</v>
      </c>
      <c r="C145" s="43">
        <f>($F$22+B145)*$F$23/Main!$K$3</f>
        <v>303.58205525681893</v>
      </c>
    </row>
    <row r="146" spans="1:3" x14ac:dyDescent="0.2">
      <c r="A146" s="43">
        <f t="shared" si="2"/>
        <v>136</v>
      </c>
      <c r="B146" s="43">
        <v>4104.5014222756145</v>
      </c>
      <c r="C146" s="43">
        <f>($F$22+B146)*$F$23/Main!$K$3</f>
        <v>273.46958602509426</v>
      </c>
    </row>
    <row r="147" spans="1:3" x14ac:dyDescent="0.2">
      <c r="A147" s="43">
        <f t="shared" si="2"/>
        <v>137</v>
      </c>
      <c r="B147" s="43">
        <v>22346.41136565803</v>
      </c>
      <c r="C147" s="43">
        <f>($F$22+B147)*$F$23/Main!$K$3</f>
        <v>431.66982816502457</v>
      </c>
    </row>
    <row r="148" spans="1:3" x14ac:dyDescent="0.2">
      <c r="A148" s="43">
        <f t="shared" si="2"/>
        <v>138</v>
      </c>
      <c r="B148" s="43">
        <v>12250.022883442954</v>
      </c>
      <c r="C148" s="43">
        <f>($F$22+B148)*$F$23/Main!$K$3</f>
        <v>344.11040551780013</v>
      </c>
    </row>
    <row r="149" spans="1:3" x14ac:dyDescent="0.2">
      <c r="A149" s="43">
        <f t="shared" si="2"/>
        <v>139</v>
      </c>
      <c r="B149" s="43">
        <v>-1369.586014810749</v>
      </c>
      <c r="C149" s="43">
        <f>($F$22+B149)*$F$23/Main!$K$3</f>
        <v>225.99637950614797</v>
      </c>
    </row>
    <row r="150" spans="1:3" x14ac:dyDescent="0.2">
      <c r="A150" s="43">
        <f t="shared" si="2"/>
        <v>140</v>
      </c>
      <c r="B150" s="43">
        <v>2248.2724691483568</v>
      </c>
      <c r="C150" s="43">
        <f>($F$22+B150)*$F$23/Main!$K$3</f>
        <v>257.37171739383228</v>
      </c>
    </row>
    <row r="151" spans="1:3" x14ac:dyDescent="0.2">
      <c r="A151" s="43">
        <f t="shared" si="2"/>
        <v>141</v>
      </c>
      <c r="B151" s="43">
        <v>13805.38195772265</v>
      </c>
      <c r="C151" s="43">
        <f>($F$22+B151)*$F$23/Main!$K$3</f>
        <v>357.59902501703448</v>
      </c>
    </row>
    <row r="152" spans="1:3" x14ac:dyDescent="0.2">
      <c r="A152" s="43">
        <f t="shared" si="2"/>
        <v>142</v>
      </c>
      <c r="B152" s="43">
        <v>8226.1407227170694</v>
      </c>
      <c r="C152" s="43">
        <f>($F$22+B152)*$F$23/Main!$K$3</f>
        <v>309.21388787545135</v>
      </c>
    </row>
    <row r="153" spans="1:3" x14ac:dyDescent="0.2">
      <c r="A153" s="43">
        <f t="shared" si="2"/>
        <v>143</v>
      </c>
      <c r="B153" s="43">
        <v>14652.047868702737</v>
      </c>
      <c r="C153" s="43">
        <f>($F$22+B153)*$F$23/Main!$K$3</f>
        <v>364.94160880044274</v>
      </c>
    </row>
    <row r="154" spans="1:3" x14ac:dyDescent="0.2">
      <c r="A154" s="43">
        <f t="shared" si="2"/>
        <v>144</v>
      </c>
      <c r="B154" s="43">
        <v>135.61321054782738</v>
      </c>
      <c r="C154" s="43">
        <f>($F$22+B154)*$F$23/Main!$K$3</f>
        <v>239.04999519987885</v>
      </c>
    </row>
    <row r="155" spans="1:3" x14ac:dyDescent="0.2">
      <c r="A155" s="43">
        <f t="shared" si="2"/>
        <v>145</v>
      </c>
      <c r="B155" s="43">
        <v>23952.629903083991</v>
      </c>
      <c r="C155" s="43">
        <f>($F$22+B155)*$F$23/Main!$K$3</f>
        <v>445.59951876974179</v>
      </c>
    </row>
    <row r="156" spans="1:3" x14ac:dyDescent="0.2">
      <c r="A156" s="43">
        <f t="shared" si="2"/>
        <v>146</v>
      </c>
      <c r="B156" s="43">
        <v>10953.921013221561</v>
      </c>
      <c r="C156" s="43">
        <f>($F$22+B156)*$F$23/Main!$K$3</f>
        <v>332.87015543743911</v>
      </c>
    </row>
    <row r="157" spans="1:3" x14ac:dyDescent="0.2">
      <c r="A157" s="43">
        <f t="shared" si="2"/>
        <v>147</v>
      </c>
      <c r="B157" s="43">
        <v>2554.4913604682238</v>
      </c>
      <c r="C157" s="43">
        <f>($F$22+B157)*$F$23/Main!$K$3</f>
        <v>260.02735503840893</v>
      </c>
    </row>
    <row r="158" spans="1:3" x14ac:dyDescent="0.2">
      <c r="A158" s="43">
        <f t="shared" si="2"/>
        <v>148</v>
      </c>
      <c r="B158" s="43">
        <v>4447.8887047015151</v>
      </c>
      <c r="C158" s="43">
        <f>($F$22+B158)*$F$23/Main!$K$3</f>
        <v>276.44756099570617</v>
      </c>
    </row>
    <row r="159" spans="1:3" x14ac:dyDescent="0.2">
      <c r="A159" s="43">
        <f t="shared" si="2"/>
        <v>149</v>
      </c>
      <c r="B159" s="43">
        <v>4403.5470753359823</v>
      </c>
      <c r="C159" s="43">
        <f>($F$22+B159)*$F$23/Main!$K$3</f>
        <v>276.06301483117198</v>
      </c>
    </row>
    <row r="160" spans="1:3" x14ac:dyDescent="0.2">
      <c r="A160" s="43">
        <f t="shared" si="2"/>
        <v>150</v>
      </c>
      <c r="B160" s="43">
        <v>7021.5524304123546</v>
      </c>
      <c r="C160" s="43">
        <f>($F$22+B160)*$F$23/Main!$K$3</f>
        <v>298.76727564498896</v>
      </c>
    </row>
    <row r="161" spans="1:3" x14ac:dyDescent="0.2">
      <c r="A161" s="43">
        <f t="shared" si="2"/>
        <v>151</v>
      </c>
      <c r="B161" s="43">
        <v>1521.6334786051891</v>
      </c>
      <c r="C161" s="43">
        <f>($F$22+B161)*$F$23/Main!$K$3</f>
        <v>251.07004916890247</v>
      </c>
    </row>
    <row r="162" spans="1:3" x14ac:dyDescent="0.2">
      <c r="A162" s="43">
        <f t="shared" si="2"/>
        <v>152</v>
      </c>
      <c r="B162" s="43">
        <v>5180.5861587519012</v>
      </c>
      <c r="C162" s="43">
        <f>($F$22+B162)*$F$23/Main!$K$3</f>
        <v>282.8017703414294</v>
      </c>
    </row>
    <row r="163" spans="1:3" x14ac:dyDescent="0.2">
      <c r="A163" s="43">
        <f t="shared" si="2"/>
        <v>153</v>
      </c>
      <c r="B163" s="43">
        <v>12243.126350481394</v>
      </c>
      <c r="C163" s="43">
        <f>($F$22+B163)*$F$23/Main!$K$3</f>
        <v>344.05059636471077</v>
      </c>
    </row>
    <row r="164" spans="1:3" x14ac:dyDescent="0.2">
      <c r="A164" s="43">
        <f t="shared" si="2"/>
        <v>154</v>
      </c>
      <c r="B164" s="43">
        <v>2033.2032021538444</v>
      </c>
      <c r="C164" s="43">
        <f>($F$22+B164)*$F$23/Main!$K$3</f>
        <v>255.50656126593833</v>
      </c>
    </row>
    <row r="165" spans="1:3" x14ac:dyDescent="0.2">
      <c r="A165" s="43">
        <f t="shared" si="2"/>
        <v>155</v>
      </c>
      <c r="B165" s="43">
        <v>9319.6310116448531</v>
      </c>
      <c r="C165" s="43">
        <f>($F$22+B165)*$F$23/Main!$K$3</f>
        <v>318.69701924836949</v>
      </c>
    </row>
    <row r="166" spans="1:3" x14ac:dyDescent="0.2">
      <c r="A166" s="43">
        <f t="shared" si="2"/>
        <v>156</v>
      </c>
      <c r="B166" s="43">
        <v>2709.7571497253007</v>
      </c>
      <c r="C166" s="43">
        <f>($F$22+B166)*$F$23/Main!$K$3</f>
        <v>261.37387442879918</v>
      </c>
    </row>
    <row r="167" spans="1:3" x14ac:dyDescent="0.2">
      <c r="A167" s="43">
        <f t="shared" si="2"/>
        <v>157</v>
      </c>
      <c r="B167" s="43">
        <v>5358.5230245448938</v>
      </c>
      <c r="C167" s="43">
        <f>($F$22+B167)*$F$23/Main!$K$3</f>
        <v>284.34490126036496</v>
      </c>
    </row>
    <row r="168" spans="1:3" x14ac:dyDescent="0.2">
      <c r="A168" s="43">
        <f t="shared" si="2"/>
        <v>158</v>
      </c>
      <c r="B168" s="43">
        <v>7201.1934469165571</v>
      </c>
      <c r="C168" s="43">
        <f>($F$22+B168)*$F$23/Main!$K$3</f>
        <v>300.32518555669412</v>
      </c>
    </row>
    <row r="169" spans="1:3" x14ac:dyDescent="0.2">
      <c r="A169" s="43">
        <f t="shared" si="2"/>
        <v>159</v>
      </c>
      <c r="B169" s="43">
        <v>2080.3181831461479</v>
      </c>
      <c r="C169" s="43">
        <f>($F$22+B169)*$F$23/Main!$K$3</f>
        <v>255.91515890864869</v>
      </c>
    </row>
    <row r="170" spans="1:3" x14ac:dyDescent="0.2">
      <c r="A170" s="43">
        <f t="shared" si="2"/>
        <v>160</v>
      </c>
      <c r="B170" s="43">
        <v>451.88192292431432</v>
      </c>
      <c r="C170" s="43">
        <f>($F$22+B170)*$F$23/Main!$K$3</f>
        <v>241.79278841805251</v>
      </c>
    </row>
    <row r="171" spans="1:3" x14ac:dyDescent="0.2">
      <c r="A171" s="43">
        <f t="shared" si="2"/>
        <v>161</v>
      </c>
      <c r="B171" s="43">
        <v>2229.8031400660238</v>
      </c>
      <c r="C171" s="43">
        <f>($F$22+B171)*$F$23/Main!$K$3</f>
        <v>257.21154489314262</v>
      </c>
    </row>
    <row r="172" spans="1:3" x14ac:dyDescent="0.2">
      <c r="A172" s="43">
        <f t="shared" si="2"/>
        <v>162</v>
      </c>
      <c r="B172" s="43">
        <v>-8913.5232952147271</v>
      </c>
      <c r="C172" s="43">
        <f>($F$22+B172)*$F$23/Main!$K$3</f>
        <v>160.57270905976998</v>
      </c>
    </row>
    <row r="173" spans="1:3" x14ac:dyDescent="0.2">
      <c r="A173" s="43">
        <f t="shared" si="2"/>
        <v>163</v>
      </c>
      <c r="B173" s="43">
        <v>6110.9325351500702</v>
      </c>
      <c r="C173" s="43">
        <f>($F$22+B173)*$F$23/Main!$K$3</f>
        <v>290.87006047535755</v>
      </c>
    </row>
    <row r="174" spans="1:3" x14ac:dyDescent="0.2">
      <c r="A174" s="43">
        <f t="shared" si="2"/>
        <v>164</v>
      </c>
      <c r="B174" s="43">
        <v>-1905.3199032592736</v>
      </c>
      <c r="C174" s="43">
        <f>($F$22+B174)*$F$23/Main!$K$3</f>
        <v>221.35030729451154</v>
      </c>
    </row>
    <row r="175" spans="1:3" x14ac:dyDescent="0.2">
      <c r="A175" s="43">
        <f t="shared" si="2"/>
        <v>165</v>
      </c>
      <c r="B175" s="43">
        <v>7171.664921814714</v>
      </c>
      <c r="C175" s="43">
        <f>($F$22+B175)*$F$23/Main!$K$3</f>
        <v>300.06910382864891</v>
      </c>
    </row>
    <row r="176" spans="1:3" x14ac:dyDescent="0.2">
      <c r="A176" s="43">
        <f t="shared" si="2"/>
        <v>166</v>
      </c>
      <c r="B176" s="43">
        <v>475.15105499404251</v>
      </c>
      <c r="C176" s="43">
        <f>($F$22+B176)*$F$23/Main!$K$3</f>
        <v>241.99458649397999</v>
      </c>
    </row>
    <row r="177" spans="1:3" x14ac:dyDescent="0.2">
      <c r="A177" s="43">
        <f t="shared" si="2"/>
        <v>167</v>
      </c>
      <c r="B177" s="43">
        <v>7893.3296177388265</v>
      </c>
      <c r="C177" s="43">
        <f>($F$22+B177)*$F$23/Main!$K$3</f>
        <v>306.32763322570088</v>
      </c>
    </row>
    <row r="178" spans="1:3" x14ac:dyDescent="0.2">
      <c r="A178" s="43">
        <f t="shared" si="2"/>
        <v>168</v>
      </c>
      <c r="B178" s="43">
        <v>12306.631874286402</v>
      </c>
      <c r="C178" s="43">
        <f>($F$22+B178)*$F$23/Main!$K$3</f>
        <v>344.60133854435952</v>
      </c>
    </row>
    <row r="179" spans="1:3" x14ac:dyDescent="0.2">
      <c r="A179" s="43">
        <f t="shared" si="2"/>
        <v>169</v>
      </c>
      <c r="B179" s="43">
        <v>15677.718159345866</v>
      </c>
      <c r="C179" s="43">
        <f>($F$22+B179)*$F$23/Main!$K$3</f>
        <v>373.83658135754268</v>
      </c>
    </row>
    <row r="180" spans="1:3" x14ac:dyDescent="0.2">
      <c r="A180" s="43">
        <f t="shared" si="2"/>
        <v>170</v>
      </c>
      <c r="B180" s="43">
        <v>10397.215442193517</v>
      </c>
      <c r="C180" s="43">
        <f>($F$22+B180)*$F$23/Main!$K$3</f>
        <v>328.04220943778057</v>
      </c>
    </row>
    <row r="181" spans="1:3" x14ac:dyDescent="0.2">
      <c r="A181" s="43">
        <f t="shared" si="2"/>
        <v>171</v>
      </c>
      <c r="B181" s="43">
        <v>785.18668253710234</v>
      </c>
      <c r="C181" s="43">
        <f>($F$22+B181)*$F$23/Main!$K$3</f>
        <v>244.68332421396369</v>
      </c>
    </row>
    <row r="182" spans="1:3" x14ac:dyDescent="0.2">
      <c r="A182" s="43">
        <f t="shared" si="2"/>
        <v>172</v>
      </c>
      <c r="B182" s="43">
        <v>692.35304964763031</v>
      </c>
      <c r="C182" s="43">
        <f>($F$22+B182)*$F$23/Main!$K$3</f>
        <v>243.87823838427667</v>
      </c>
    </row>
    <row r="183" spans="1:3" x14ac:dyDescent="0.2">
      <c r="A183" s="43">
        <f t="shared" si="2"/>
        <v>173</v>
      </c>
      <c r="B183" s="43">
        <v>2876.6829453512364</v>
      </c>
      <c r="C183" s="43">
        <f>($F$22+B183)*$F$23/Main!$K$3</f>
        <v>262.82151348465385</v>
      </c>
    </row>
    <row r="184" spans="1:3" x14ac:dyDescent="0.2">
      <c r="A184" s="43">
        <f t="shared" si="2"/>
        <v>174</v>
      </c>
      <c r="B184" s="43">
        <v>45320.810357234041</v>
      </c>
      <c r="C184" s="43">
        <f>($F$22+B184)*$F$23/Main!$K$3</f>
        <v>630.91187544885054</v>
      </c>
    </row>
    <row r="185" spans="1:3" x14ac:dyDescent="0.2">
      <c r="A185" s="43">
        <f t="shared" si="2"/>
        <v>175</v>
      </c>
      <c r="B185" s="43">
        <v>-2112.2696562823785</v>
      </c>
      <c r="C185" s="43">
        <f>($F$22+B185)*$F$23/Main!$K$3</f>
        <v>219.5555664400359</v>
      </c>
    </row>
    <row r="186" spans="1:3" x14ac:dyDescent="0.2">
      <c r="A186" s="43">
        <f t="shared" si="2"/>
        <v>176</v>
      </c>
      <c r="B186" s="43">
        <v>208.79617780164313</v>
      </c>
      <c r="C186" s="43">
        <f>($F$22+B186)*$F$23/Main!$K$3</f>
        <v>239.68466356388271</v>
      </c>
    </row>
    <row r="187" spans="1:3" x14ac:dyDescent="0.2">
      <c r="A187" s="43">
        <f t="shared" si="2"/>
        <v>177</v>
      </c>
      <c r="B187" s="43">
        <v>5734.9911353269699</v>
      </c>
      <c r="C187" s="43">
        <f>($F$22+B187)*$F$23/Main!$K$3</f>
        <v>287.6097647789623</v>
      </c>
    </row>
    <row r="188" spans="1:3" x14ac:dyDescent="0.2">
      <c r="A188" s="43">
        <f t="shared" si="2"/>
        <v>178</v>
      </c>
      <c r="B188" s="43">
        <v>608.67339738574174</v>
      </c>
      <c r="C188" s="43">
        <f>($F$22+B188)*$F$23/Main!$K$3</f>
        <v>243.1525390857326</v>
      </c>
    </row>
    <row r="189" spans="1:3" x14ac:dyDescent="0.2">
      <c r="A189" s="43">
        <f t="shared" si="2"/>
        <v>179</v>
      </c>
      <c r="B189" s="43">
        <v>6691.6246819125508</v>
      </c>
      <c r="C189" s="43">
        <f>($F$22+B189)*$F$23/Main!$K$3</f>
        <v>295.90602647407718</v>
      </c>
    </row>
    <row r="190" spans="1:3" x14ac:dyDescent="0.2">
      <c r="A190" s="43">
        <f t="shared" si="2"/>
        <v>180</v>
      </c>
      <c r="B190" s="43">
        <v>770.60805919279346</v>
      </c>
      <c r="C190" s="43">
        <f>($F$22+B190)*$F$23/Main!$K$3</f>
        <v>244.55689327826153</v>
      </c>
    </row>
    <row r="191" spans="1:3" x14ac:dyDescent="0.2">
      <c r="A191" s="43">
        <f t="shared" si="2"/>
        <v>181</v>
      </c>
      <c r="B191" s="43">
        <v>27750.373698337455</v>
      </c>
      <c r="C191" s="43">
        <f>($F$22+B191)*$F$23/Main!$K$3</f>
        <v>478.53488517924808</v>
      </c>
    </row>
    <row r="192" spans="1:3" x14ac:dyDescent="0.2">
      <c r="A192" s="43">
        <f t="shared" si="2"/>
        <v>182</v>
      </c>
      <c r="B192" s="43">
        <v>1808.5223568993349</v>
      </c>
      <c r="C192" s="43">
        <f>($F$22+B192)*$F$23/Main!$K$3</f>
        <v>253.55805015971166</v>
      </c>
    </row>
    <row r="193" spans="1:3" x14ac:dyDescent="0.2">
      <c r="A193" s="43">
        <f t="shared" si="2"/>
        <v>183</v>
      </c>
      <c r="B193" s="43">
        <v>5593.4298081615025</v>
      </c>
      <c r="C193" s="43">
        <f>($F$22+B193)*$F$23/Main!$K$3</f>
        <v>286.38209529124231</v>
      </c>
    </row>
    <row r="194" spans="1:3" x14ac:dyDescent="0.2">
      <c r="A194" s="43">
        <f t="shared" si="2"/>
        <v>184</v>
      </c>
      <c r="B194" s="43">
        <v>11861.268827241975</v>
      </c>
      <c r="C194" s="43">
        <f>($F$22+B194)*$F$23/Main!$K$3</f>
        <v>340.73899397072216</v>
      </c>
    </row>
    <row r="195" spans="1:3" x14ac:dyDescent="0.2">
      <c r="A195" s="43">
        <f t="shared" si="2"/>
        <v>185</v>
      </c>
      <c r="B195" s="43">
        <v>23909.383103844462</v>
      </c>
      <c r="C195" s="43">
        <f>($F$22+B195)*$F$23/Main!$K$3</f>
        <v>445.2244673561176</v>
      </c>
    </row>
    <row r="196" spans="1:3" x14ac:dyDescent="0.2">
      <c r="A196" s="43">
        <f t="shared" si="2"/>
        <v>186</v>
      </c>
      <c r="B196" s="43">
        <v>12217.776980781771</v>
      </c>
      <c r="C196" s="43">
        <f>($F$22+B196)*$F$23/Main!$K$3</f>
        <v>343.83075773832667</v>
      </c>
    </row>
    <row r="197" spans="1:3" x14ac:dyDescent="0.2">
      <c r="A197" s="43">
        <f t="shared" si="2"/>
        <v>187</v>
      </c>
      <c r="B197" s="43">
        <v>4076.0413937114117</v>
      </c>
      <c r="C197" s="43">
        <f>($F$22+B197)*$F$23/Main!$K$3</f>
        <v>273.22277067384323</v>
      </c>
    </row>
    <row r="198" spans="1:3" x14ac:dyDescent="0.2">
      <c r="A198" s="43">
        <f t="shared" si="2"/>
        <v>188</v>
      </c>
      <c r="B198" s="43">
        <v>1292.3563229239617</v>
      </c>
      <c r="C198" s="43">
        <f>($F$22+B198)*$F$23/Main!$K$3</f>
        <v>249.08167724630772</v>
      </c>
    </row>
    <row r="199" spans="1:3" x14ac:dyDescent="0.2">
      <c r="A199" s="43">
        <f t="shared" si="2"/>
        <v>189</v>
      </c>
      <c r="B199" s="43">
        <v>10264.255098225276</v>
      </c>
      <c r="C199" s="43">
        <f>($F$22+B199)*$F$23/Main!$K$3</f>
        <v>326.88913069350053</v>
      </c>
    </row>
    <row r="200" spans="1:3" x14ac:dyDescent="0.2">
      <c r="A200" s="43">
        <f t="shared" si="2"/>
        <v>190</v>
      </c>
      <c r="B200" s="43">
        <v>3914.7019711213893</v>
      </c>
      <c r="C200" s="43">
        <f>($F$22+B200)*$F$23/Main!$K$3</f>
        <v>271.82357860460939</v>
      </c>
    </row>
    <row r="201" spans="1:3" x14ac:dyDescent="0.2">
      <c r="A201" s="43">
        <f t="shared" si="2"/>
        <v>191</v>
      </c>
      <c r="B201" s="43">
        <v>1528.0868267066837</v>
      </c>
      <c r="C201" s="43">
        <f>($F$22+B201)*$F$23/Main!$K$3</f>
        <v>251.12601486741971</v>
      </c>
    </row>
    <row r="202" spans="1:3" x14ac:dyDescent="0.2">
      <c r="A202" s="43">
        <f t="shared" si="2"/>
        <v>192</v>
      </c>
      <c r="B202" s="43">
        <v>8902.6816696749775</v>
      </c>
      <c r="C202" s="43">
        <f>($F$22+B202)*$F$23/Main!$K$3</f>
        <v>315.08108829243099</v>
      </c>
    </row>
    <row r="203" spans="1:3" x14ac:dyDescent="0.2">
      <c r="A203" s="43">
        <f t="shared" si="2"/>
        <v>193</v>
      </c>
      <c r="B203" s="43">
        <v>5355.072162657304</v>
      </c>
      <c r="C203" s="43">
        <f>($F$22+B203)*$F$23/Main!$K$3</f>
        <v>284.31497417554209</v>
      </c>
    </row>
    <row r="204" spans="1:3" x14ac:dyDescent="0.2">
      <c r="A204" s="43">
        <f t="shared" si="2"/>
        <v>194</v>
      </c>
      <c r="B204" s="43">
        <v>2659.9896183342357</v>
      </c>
      <c r="C204" s="43">
        <f>($F$22+B204)*$F$23/Main!$K$3</f>
        <v>260.94227293853811</v>
      </c>
    </row>
    <row r="205" spans="1:3" x14ac:dyDescent="0.2">
      <c r="A205" s="43">
        <f t="shared" ref="A205:A268" si="3">A204+1</f>
        <v>195</v>
      </c>
      <c r="B205" s="43">
        <v>5004.5950991419686</v>
      </c>
      <c r="C205" s="43">
        <f>($F$22+B205)*$F$23/Main!$K$3</f>
        <v>281.27551413628601</v>
      </c>
    </row>
    <row r="206" spans="1:3" x14ac:dyDescent="0.2">
      <c r="A206" s="43">
        <f t="shared" si="3"/>
        <v>196</v>
      </c>
      <c r="B206" s="43">
        <v>-4858.6917812754082</v>
      </c>
      <c r="C206" s="43">
        <f>($F$22+B206)*$F$23/Main!$K$3</f>
        <v>195.73763034996239</v>
      </c>
    </row>
    <row r="207" spans="1:3" x14ac:dyDescent="0.2">
      <c r="A207" s="43">
        <f t="shared" si="3"/>
        <v>197</v>
      </c>
      <c r="B207" s="43">
        <v>19775.147102242496</v>
      </c>
      <c r="C207" s="43">
        <f>($F$22+B207)*$F$23/Main!$K$3</f>
        <v>409.37092249447818</v>
      </c>
    </row>
    <row r="208" spans="1:3" x14ac:dyDescent="0.2">
      <c r="A208" s="43">
        <f t="shared" si="3"/>
        <v>198</v>
      </c>
      <c r="B208" s="43">
        <v>16845.061117429919</v>
      </c>
      <c r="C208" s="43">
        <f>($F$22+B208)*$F$23/Main!$K$3</f>
        <v>383.96018898428872</v>
      </c>
    </row>
    <row r="209" spans="1:3" x14ac:dyDescent="0.2">
      <c r="A209" s="43">
        <f t="shared" si="3"/>
        <v>199</v>
      </c>
      <c r="B209" s="43">
        <v>20871.563833967928</v>
      </c>
      <c r="C209" s="43">
        <f>($F$22+B209)*$F$23/Main!$K$3</f>
        <v>418.87943300590945</v>
      </c>
    </row>
    <row r="210" spans="1:3" x14ac:dyDescent="0.2">
      <c r="A210" s="43">
        <f t="shared" si="3"/>
        <v>200</v>
      </c>
      <c r="B210" s="43">
        <v>3152.200949048738</v>
      </c>
      <c r="C210" s="43">
        <f>($F$22+B210)*$F$23/Main!$K$3</f>
        <v>265.21090226215227</v>
      </c>
    </row>
    <row r="211" spans="1:3" x14ac:dyDescent="0.2">
      <c r="A211" s="43">
        <f t="shared" si="3"/>
        <v>201</v>
      </c>
      <c r="B211" s="43">
        <v>12791.335570052001</v>
      </c>
      <c r="C211" s="43">
        <f>($F$22+B211)*$F$23/Main!$K$3</f>
        <v>348.80485902408077</v>
      </c>
    </row>
    <row r="212" spans="1:3" x14ac:dyDescent="0.2">
      <c r="A212" s="43">
        <f t="shared" ref="A212:A275" si="4">A211+1</f>
        <v>202</v>
      </c>
      <c r="B212" s="43">
        <v>1955.3074279491832</v>
      </c>
      <c r="C212" s="43">
        <f>($F$22+B212)*$F$23/Main!$K$3</f>
        <v>254.83102178684314</v>
      </c>
    </row>
    <row r="213" spans="1:3" x14ac:dyDescent="0.2">
      <c r="A213" s="43">
        <f t="shared" si="4"/>
        <v>203</v>
      </c>
      <c r="B213" s="43">
        <v>2014.1303025478792</v>
      </c>
      <c r="C213" s="43">
        <f>($F$22+B213)*$F$23/Main!$K$3</f>
        <v>255.34115438994019</v>
      </c>
    </row>
    <row r="214" spans="1:3" x14ac:dyDescent="0.2">
      <c r="A214" s="43">
        <f t="shared" si="4"/>
        <v>204</v>
      </c>
      <c r="B214" s="43">
        <v>1495.0633425588428</v>
      </c>
      <c r="C214" s="43">
        <f>($F$22+B214)*$F$23/Main!$K$3</f>
        <v>250.83962362852489</v>
      </c>
    </row>
    <row r="215" spans="1:3" x14ac:dyDescent="0.2">
      <c r="A215" s="43">
        <f t="shared" si="4"/>
        <v>205</v>
      </c>
      <c r="B215" s="43">
        <v>10787.489501006516</v>
      </c>
      <c r="C215" s="43">
        <f>($F$22+B215)*$F$23/Main!$K$3</f>
        <v>331.42680298071423</v>
      </c>
    </row>
    <row r="216" spans="1:3" x14ac:dyDescent="0.2">
      <c r="A216" s="43">
        <f t="shared" si="4"/>
        <v>206</v>
      </c>
      <c r="B216" s="43">
        <v>257.3945848212424</v>
      </c>
      <c r="C216" s="43">
        <f>($F$22+B216)*$F$23/Main!$K$3</f>
        <v>240.10612599747535</v>
      </c>
    </row>
    <row r="217" spans="1:3" x14ac:dyDescent="0.2">
      <c r="A217" s="43">
        <f t="shared" si="4"/>
        <v>207</v>
      </c>
      <c r="B217" s="43">
        <v>23349.565521007542</v>
      </c>
      <c r="C217" s="43">
        <f>($F$22+B217)*$F$23/Main!$K$3</f>
        <v>440.36953289838459</v>
      </c>
    </row>
    <row r="218" spans="1:3" x14ac:dyDescent="0.2">
      <c r="A218" s="43">
        <f t="shared" si="4"/>
        <v>208</v>
      </c>
      <c r="B218" s="43">
        <v>-527.73805999094043</v>
      </c>
      <c r="C218" s="43">
        <f>($F$22+B218)*$F$23/Main!$K$3</f>
        <v>233.29718028363519</v>
      </c>
    </row>
    <row r="219" spans="1:3" x14ac:dyDescent="0.2">
      <c r="A219" s="43">
        <f t="shared" si="4"/>
        <v>209</v>
      </c>
      <c r="B219" s="43">
        <v>11864.68165194719</v>
      </c>
      <c r="C219" s="43">
        <f>($F$22+B219)*$F$23/Main!$K$3</f>
        <v>340.76859118375643</v>
      </c>
    </row>
    <row r="220" spans="1:3" x14ac:dyDescent="0.2">
      <c r="A220" s="43">
        <f t="shared" si="4"/>
        <v>210</v>
      </c>
      <c r="B220" s="43">
        <v>10151.040377121992</v>
      </c>
      <c r="C220" s="43">
        <f>($F$22+B220)*$F$23/Main!$K$3</f>
        <v>325.90729291730639</v>
      </c>
    </row>
    <row r="221" spans="1:3" x14ac:dyDescent="0.2">
      <c r="A221" s="43">
        <f t="shared" si="4"/>
        <v>211</v>
      </c>
      <c r="B221" s="43">
        <v>1422.1214291059557</v>
      </c>
      <c r="C221" s="43">
        <f>($F$22+B221)*$F$23/Main!$K$3</f>
        <v>250.2070457676424</v>
      </c>
    </row>
    <row r="222" spans="1:3" x14ac:dyDescent="0.2">
      <c r="A222" s="43">
        <f t="shared" si="4"/>
        <v>212</v>
      </c>
      <c r="B222" s="43">
        <v>628.35002913564983</v>
      </c>
      <c r="C222" s="43">
        <f>($F$22+B222)*$F$23/Main!$K$3</f>
        <v>243.32318173866727</v>
      </c>
    </row>
    <row r="223" spans="1:3" x14ac:dyDescent="0.2">
      <c r="A223" s="43">
        <f t="shared" si="4"/>
        <v>213</v>
      </c>
      <c r="B223" s="43">
        <v>8138.5550528159174</v>
      </c>
      <c r="C223" s="43">
        <f>($F$22+B223)*$F$23/Main!$K$3</f>
        <v>308.45431422174096</v>
      </c>
    </row>
    <row r="224" spans="1:3" x14ac:dyDescent="0.2">
      <c r="A224" s="43">
        <f t="shared" si="4"/>
        <v>214</v>
      </c>
      <c r="B224" s="43">
        <v>14862.552437612998</v>
      </c>
      <c r="C224" s="43">
        <f>($F$22+B224)*$F$23/Main!$K$3</f>
        <v>366.76717826529182</v>
      </c>
    </row>
    <row r="225" spans="1:3" x14ac:dyDescent="0.2">
      <c r="A225" s="43">
        <f t="shared" si="4"/>
        <v>215</v>
      </c>
      <c r="B225" s="43">
        <v>16922.993868827591</v>
      </c>
      <c r="C225" s="43">
        <f>($F$22+B225)*$F$23/Main!$K$3</f>
        <v>384.63604914257297</v>
      </c>
    </row>
    <row r="226" spans="1:3" x14ac:dyDescent="0.2">
      <c r="A226" s="43">
        <f t="shared" si="4"/>
        <v>216</v>
      </c>
      <c r="B226" s="43">
        <v>1601.2659475416681</v>
      </c>
      <c r="C226" s="43">
        <f>($F$22+B226)*$F$23/Main!$K$3</f>
        <v>251.76064987393019</v>
      </c>
    </row>
    <row r="227" spans="1:3" x14ac:dyDescent="0.2">
      <c r="A227" s="43">
        <f t="shared" si="4"/>
        <v>217</v>
      </c>
      <c r="B227" s="43">
        <v>1200.2478266150681</v>
      </c>
      <c r="C227" s="43">
        <f>($F$22+B227)*$F$23/Main!$K$3</f>
        <v>248.28288005541935</v>
      </c>
    </row>
    <row r="228" spans="1:3" x14ac:dyDescent="0.2">
      <c r="A228" s="43">
        <f t="shared" si="4"/>
        <v>218</v>
      </c>
      <c r="B228" s="43">
        <v>431.6922979460133</v>
      </c>
      <c r="C228" s="43">
        <f>($F$22+B228)*$F$23/Main!$K$3</f>
        <v>241.61769690788751</v>
      </c>
    </row>
    <row r="229" spans="1:3" x14ac:dyDescent="0.2">
      <c r="A229" s="43">
        <f t="shared" si="4"/>
        <v>219</v>
      </c>
      <c r="B229" s="43">
        <v>6374.2288096091543</v>
      </c>
      <c r="C229" s="43">
        <f>($F$22+B229)*$F$23/Main!$K$3</f>
        <v>293.15345812961897</v>
      </c>
    </row>
    <row r="230" spans="1:3" x14ac:dyDescent="0.2">
      <c r="A230" s="43">
        <f t="shared" si="4"/>
        <v>220</v>
      </c>
      <c r="B230" s="43">
        <v>4672.2392856831348</v>
      </c>
      <c r="C230" s="43">
        <f>($F$22+B230)*$F$23/Main!$K$3</f>
        <v>278.39320793430443</v>
      </c>
    </row>
    <row r="231" spans="1:3" x14ac:dyDescent="0.2">
      <c r="A231" s="43">
        <f t="shared" si="4"/>
        <v>221</v>
      </c>
      <c r="B231" s="43">
        <v>-1084.040984940975</v>
      </c>
      <c r="C231" s="43">
        <f>($F$22+B231)*$F$23/Main!$K$3</f>
        <v>228.47272617201006</v>
      </c>
    </row>
    <row r="232" spans="1:3" x14ac:dyDescent="0.2">
      <c r="A232" s="43">
        <f t="shared" si="4"/>
        <v>222</v>
      </c>
      <c r="B232" s="43">
        <v>-346.92462123234378</v>
      </c>
      <c r="C232" s="43">
        <f>($F$22+B232)*$F$23/Main!$K$3</f>
        <v>234.86525785240644</v>
      </c>
    </row>
    <row r="233" spans="1:3" x14ac:dyDescent="0.2">
      <c r="A233" s="43">
        <f t="shared" si="4"/>
        <v>223</v>
      </c>
      <c r="B233" s="43">
        <v>-1110.6438708292435</v>
      </c>
      <c r="C233" s="43">
        <f>($F$22+B233)*$F$23/Main!$K$3</f>
        <v>228.24201661351495</v>
      </c>
    </row>
    <row r="234" spans="1:3" x14ac:dyDescent="0.2">
      <c r="A234" s="43">
        <f t="shared" si="4"/>
        <v>224</v>
      </c>
      <c r="B234" s="43">
        <v>115.9421227732222</v>
      </c>
      <c r="C234" s="43">
        <f>($F$22+B234)*$F$23/Main!$K$3</f>
        <v>238.87940062624281</v>
      </c>
    </row>
    <row r="235" spans="1:3" x14ac:dyDescent="0.2">
      <c r="A235" s="43">
        <f t="shared" si="4"/>
        <v>225</v>
      </c>
      <c r="B235" s="43">
        <v>6159.2871306162242</v>
      </c>
      <c r="C235" s="43">
        <f>($F$22+B235)*$F$23/Main!$K$3</f>
        <v>291.28940848963157</v>
      </c>
    </row>
    <row r="236" spans="1:3" x14ac:dyDescent="0.2">
      <c r="A236" s="43">
        <f t="shared" si="4"/>
        <v>226</v>
      </c>
      <c r="B236" s="43">
        <v>5614.9390800616138</v>
      </c>
      <c r="C236" s="43">
        <f>($F$22+B236)*$F$23/Main!$K$3</f>
        <v>286.56863124243449</v>
      </c>
    </row>
    <row r="237" spans="1:3" x14ac:dyDescent="0.2">
      <c r="A237" s="43">
        <f t="shared" si="4"/>
        <v>227</v>
      </c>
      <c r="B237" s="43">
        <v>877.11718015432132</v>
      </c>
      <c r="C237" s="43">
        <f>($F$22+B237)*$F$23/Main!$K$3</f>
        <v>245.48057773775733</v>
      </c>
    </row>
    <row r="238" spans="1:3" x14ac:dyDescent="0.2">
      <c r="A238" s="43">
        <f t="shared" si="4"/>
        <v>228</v>
      </c>
      <c r="B238" s="43">
        <v>1725.8745559979507</v>
      </c>
      <c r="C238" s="43">
        <f>($F$22+B238)*$F$23/Main!$K$3</f>
        <v>252.84129943813082</v>
      </c>
    </row>
    <row r="239" spans="1:3" x14ac:dyDescent="0.2">
      <c r="A239" s="43">
        <f t="shared" si="4"/>
        <v>229</v>
      </c>
      <c r="B239" s="43">
        <v>595.90010487874554</v>
      </c>
      <c r="C239" s="43">
        <f>($F$22+B239)*$F$23/Main!$K$3</f>
        <v>243.04176461234675</v>
      </c>
    </row>
    <row r="240" spans="1:3" x14ac:dyDescent="0.2">
      <c r="A240" s="43">
        <f t="shared" si="4"/>
        <v>230</v>
      </c>
      <c r="B240" s="43">
        <v>-222.39629565620015</v>
      </c>
      <c r="C240" s="43">
        <f>($F$22+B240)*$F$23/Main!$K$3</f>
        <v>235.945211175308</v>
      </c>
    </row>
    <row r="241" spans="1:3" x14ac:dyDescent="0.2">
      <c r="A241" s="43">
        <f t="shared" si="4"/>
        <v>231</v>
      </c>
      <c r="B241" s="43">
        <v>990.71422077263173</v>
      </c>
      <c r="C241" s="43">
        <f>($F$22+B241)*$F$23/Main!$K$3</f>
        <v>246.46573112290031</v>
      </c>
    </row>
    <row r="242" spans="1:3" x14ac:dyDescent="0.2">
      <c r="A242" s="43">
        <f t="shared" si="4"/>
        <v>232</v>
      </c>
      <c r="B242" s="43">
        <v>6204.4583308962983</v>
      </c>
      <c r="C242" s="43">
        <f>($F$22+B242)*$F$23/Main!$K$3</f>
        <v>291.68114898414331</v>
      </c>
    </row>
    <row r="243" spans="1:3" x14ac:dyDescent="0.2">
      <c r="A243" s="43">
        <f t="shared" si="4"/>
        <v>233</v>
      </c>
      <c r="B243" s="43">
        <v>4090.0881511119669</v>
      </c>
      <c r="C243" s="43">
        <f>($F$22+B243)*$F$23/Main!$K$3</f>
        <v>273.34458908150691</v>
      </c>
    </row>
    <row r="244" spans="1:3" x14ac:dyDescent="0.2">
      <c r="A244" s="43">
        <f t="shared" si="4"/>
        <v>234</v>
      </c>
      <c r="B244" s="43">
        <v>10081.942291754722</v>
      </c>
      <c r="C244" s="43">
        <f>($F$22+B244)*$F$23/Main!$K$3</f>
        <v>325.3080500819654</v>
      </c>
    </row>
    <row r="245" spans="1:3" x14ac:dyDescent="0.2">
      <c r="A245" s="43">
        <f t="shared" si="4"/>
        <v>235</v>
      </c>
      <c r="B245" s="43">
        <v>11744.685791713784</v>
      </c>
      <c r="C245" s="43">
        <f>($F$22+B245)*$F$23/Main!$K$3</f>
        <v>339.72794499025838</v>
      </c>
    </row>
    <row r="246" spans="1:3" x14ac:dyDescent="0.2">
      <c r="A246" s="43">
        <f t="shared" si="4"/>
        <v>236</v>
      </c>
      <c r="B246" s="43">
        <v>15298.783608340804</v>
      </c>
      <c r="C246" s="43">
        <f>($F$22+B246)*$F$23/Main!$K$3</f>
        <v>370.55032800412488</v>
      </c>
    </row>
    <row r="247" spans="1:3" x14ac:dyDescent="0.2">
      <c r="A247" s="43">
        <f t="shared" si="4"/>
        <v>237</v>
      </c>
      <c r="B247" s="43">
        <v>548.89539656857789</v>
      </c>
      <c r="C247" s="43">
        <f>($F$22+B247)*$F$23/Main!$K$3</f>
        <v>242.6341232930186</v>
      </c>
    </row>
    <row r="248" spans="1:3" x14ac:dyDescent="0.2">
      <c r="A248" s="43">
        <f t="shared" si="4"/>
        <v>238</v>
      </c>
      <c r="B248" s="43">
        <v>18818.765321941977</v>
      </c>
      <c r="C248" s="43">
        <f>($F$22+B248)*$F$23/Main!$K$3</f>
        <v>401.07684420490483</v>
      </c>
    </row>
    <row r="249" spans="1:3" x14ac:dyDescent="0.2">
      <c r="A249" s="43">
        <f t="shared" si="4"/>
        <v>239</v>
      </c>
      <c r="B249" s="43">
        <v>1478.3206233556314</v>
      </c>
      <c r="C249" s="43">
        <f>($F$22+B249)*$F$23/Main!$K$3</f>
        <v>250.69442489438745</v>
      </c>
    </row>
    <row r="250" spans="1:3" x14ac:dyDescent="0.2">
      <c r="A250" s="43">
        <f t="shared" si="4"/>
        <v>240</v>
      </c>
      <c r="B250" s="43">
        <v>6831.0821756840551</v>
      </c>
      <c r="C250" s="43">
        <f>($F$22+B250)*$F$23/Main!$K$3</f>
        <v>297.11545078059737</v>
      </c>
    </row>
    <row r="251" spans="1:3" x14ac:dyDescent="0.2">
      <c r="A251" s="43">
        <f t="shared" si="4"/>
        <v>241</v>
      </c>
      <c r="B251" s="43">
        <v>3447.0621425670597</v>
      </c>
      <c r="C251" s="43">
        <f>($F$22+B251)*$F$23/Main!$K$3</f>
        <v>267.76804196720764</v>
      </c>
    </row>
    <row r="252" spans="1:3" x14ac:dyDescent="0.2">
      <c r="A252" s="43">
        <f t="shared" si="4"/>
        <v>242</v>
      </c>
      <c r="B252" s="43">
        <v>18232.006388519778</v>
      </c>
      <c r="C252" s="43">
        <f>($F$22+B252)*$F$23/Main!$K$3</f>
        <v>395.98826490409351</v>
      </c>
    </row>
    <row r="253" spans="1:3" x14ac:dyDescent="0.2">
      <c r="A253" s="43">
        <f t="shared" si="4"/>
        <v>243</v>
      </c>
      <c r="B253" s="43">
        <v>2120.9646154057282</v>
      </c>
      <c r="C253" s="43">
        <f>($F$22+B253)*$F$23/Main!$K$3</f>
        <v>256.26765902763555</v>
      </c>
    </row>
    <row r="254" spans="1:3" x14ac:dyDescent="0.2">
      <c r="A254" s="43">
        <f t="shared" si="4"/>
        <v>244</v>
      </c>
      <c r="B254" s="43">
        <v>5077.8179709705728</v>
      </c>
      <c r="C254" s="43">
        <f>($F$22+B254)*$F$23/Main!$K$3</f>
        <v>281.91052856676066</v>
      </c>
    </row>
    <row r="255" spans="1:3" x14ac:dyDescent="0.2">
      <c r="A255" s="43">
        <f t="shared" si="4"/>
        <v>245</v>
      </c>
      <c r="B255" s="43">
        <v>4391.2263001745441</v>
      </c>
      <c r="C255" s="43">
        <f>($F$22+B255)*$F$23/Main!$K$3</f>
        <v>275.95616474694611</v>
      </c>
    </row>
    <row r="256" spans="1:3" x14ac:dyDescent="0.2">
      <c r="A256" s="43">
        <f t="shared" si="4"/>
        <v>246</v>
      </c>
      <c r="B256" s="43">
        <v>4588.5950619280993</v>
      </c>
      <c r="C256" s="43">
        <f>($F$22+B256)*$F$23/Main!$K$3</f>
        <v>277.66781588419985</v>
      </c>
    </row>
    <row r="257" spans="1:3" x14ac:dyDescent="0.2">
      <c r="A257" s="43">
        <f t="shared" si="4"/>
        <v>247</v>
      </c>
      <c r="B257" s="43">
        <v>9692.3967881729805</v>
      </c>
      <c r="C257" s="43">
        <f>($F$22+B257)*$F$23/Main!$K$3</f>
        <v>321.92977482556836</v>
      </c>
    </row>
    <row r="258" spans="1:3" x14ac:dyDescent="0.2">
      <c r="A258" s="43">
        <f t="shared" si="4"/>
        <v>248</v>
      </c>
      <c r="B258" s="43">
        <v>16838.775964456545</v>
      </c>
      <c r="C258" s="43">
        <f>($F$22+B258)*$F$23/Main!$K$3</f>
        <v>383.90568193292398</v>
      </c>
    </row>
    <row r="259" spans="1:3" x14ac:dyDescent="0.2">
      <c r="A259" s="43">
        <f t="shared" si="4"/>
        <v>249</v>
      </c>
      <c r="B259" s="43">
        <v>2992.4191552814</v>
      </c>
      <c r="C259" s="43">
        <f>($F$22+B259)*$F$23/Main!$K$3</f>
        <v>263.82521849647208</v>
      </c>
    </row>
    <row r="260" spans="1:3" x14ac:dyDescent="0.2">
      <c r="A260" s="43">
        <f t="shared" si="4"/>
        <v>250</v>
      </c>
      <c r="B260" s="43">
        <v>8988.9652957543349</v>
      </c>
      <c r="C260" s="43">
        <f>($F$22+B260)*$F$23/Main!$K$3</f>
        <v>315.82937016537255</v>
      </c>
    </row>
    <row r="261" spans="1:3" x14ac:dyDescent="0.2">
      <c r="A261" s="43">
        <f t="shared" si="4"/>
        <v>251</v>
      </c>
      <c r="B261" s="43">
        <v>2853.4694981111488</v>
      </c>
      <c r="C261" s="43">
        <f>($F$22+B261)*$F$23/Main!$K$3</f>
        <v>262.6201983271028</v>
      </c>
    </row>
    <row r="262" spans="1:3" x14ac:dyDescent="0.2">
      <c r="A262" s="43">
        <f t="shared" si="4"/>
        <v>252</v>
      </c>
      <c r="B262" s="43">
        <v>-120.13006767486304</v>
      </c>
      <c r="C262" s="43">
        <f>($F$22+B262)*$F$23/Main!$K$3</f>
        <v>236.83209977850791</v>
      </c>
    </row>
    <row r="263" spans="1:3" x14ac:dyDescent="0.2">
      <c r="A263" s="43">
        <f t="shared" si="4"/>
        <v>253</v>
      </c>
      <c r="B263" s="43">
        <v>5096.405377740798</v>
      </c>
      <c r="C263" s="43">
        <f>($F$22+B263)*$F$23/Main!$K$3</f>
        <v>282.07172507858036</v>
      </c>
    </row>
    <row r="264" spans="1:3" x14ac:dyDescent="0.2">
      <c r="A264" s="43">
        <f t="shared" si="4"/>
        <v>254</v>
      </c>
      <c r="B264" s="43">
        <v>2967.2921277475753</v>
      </c>
      <c r="C264" s="43">
        <f>($F$22+B264)*$F$23/Main!$K$3</f>
        <v>263.60730809934563</v>
      </c>
    </row>
    <row r="265" spans="1:3" x14ac:dyDescent="0.2">
      <c r="A265" s="43">
        <f t="shared" si="4"/>
        <v>255</v>
      </c>
      <c r="B265" s="43">
        <v>9119.1404047780052</v>
      </c>
      <c r="C265" s="43">
        <f>($F$22+B265)*$F$23/Main!$K$3</f>
        <v>316.95829437517591</v>
      </c>
    </row>
    <row r="266" spans="1:3" x14ac:dyDescent="0.2">
      <c r="A266" s="43">
        <f t="shared" si="4"/>
        <v>256</v>
      </c>
      <c r="B266" s="43">
        <v>14028.973414204698</v>
      </c>
      <c r="C266" s="43">
        <f>($F$22+B266)*$F$23/Main!$K$3</f>
        <v>359.53808856167774</v>
      </c>
    </row>
    <row r="267" spans="1:3" x14ac:dyDescent="0.2">
      <c r="A267" s="43">
        <f t="shared" si="4"/>
        <v>257</v>
      </c>
      <c r="B267" s="43">
        <v>971.42473123867308</v>
      </c>
      <c r="C267" s="43">
        <f>($F$22+B267)*$F$23/Main!$K$3</f>
        <v>246.29844590306863</v>
      </c>
    </row>
    <row r="268" spans="1:3" x14ac:dyDescent="0.2">
      <c r="A268" s="43">
        <f t="shared" si="4"/>
        <v>258</v>
      </c>
      <c r="B268" s="43">
        <v>5322.8589700135981</v>
      </c>
      <c r="C268" s="43">
        <f>($F$22+B268)*$F$23/Main!$K$3</f>
        <v>284.03561006881466</v>
      </c>
    </row>
    <row r="269" spans="1:3" x14ac:dyDescent="0.2">
      <c r="A269" s="43">
        <f t="shared" si="4"/>
        <v>259</v>
      </c>
      <c r="B269" s="43">
        <v>20.193421620506445</v>
      </c>
      <c r="C269" s="43">
        <f>($F$22+B269)*$F$23/Main!$K$3</f>
        <v>238.04903430199516</v>
      </c>
    </row>
    <row r="270" spans="1:3" x14ac:dyDescent="0.2">
      <c r="A270" s="43">
        <f t="shared" si="4"/>
        <v>260</v>
      </c>
      <c r="B270" s="43">
        <v>582.64623327885442</v>
      </c>
      <c r="C270" s="43">
        <f>($F$22+B270)*$F$23/Main!$K$3</f>
        <v>242.92682238848408</v>
      </c>
    </row>
    <row r="271" spans="1:3" x14ac:dyDescent="0.2">
      <c r="A271" s="43">
        <f t="shared" si="4"/>
        <v>261</v>
      </c>
      <c r="B271" s="43">
        <v>-43.685753962274553</v>
      </c>
      <c r="C271" s="43">
        <f>($F$22+B271)*$F$23/Main!$K$3</f>
        <v>237.49505168305555</v>
      </c>
    </row>
    <row r="272" spans="1:3" x14ac:dyDescent="0.2">
      <c r="A272" s="43">
        <f t="shared" si="4"/>
        <v>262</v>
      </c>
      <c r="B272" s="43">
        <v>3999.0783035010436</v>
      </c>
      <c r="C272" s="43">
        <f>($F$22+B272)*$F$23/Main!$K$3</f>
        <v>272.55531975752427</v>
      </c>
    </row>
    <row r="273" spans="1:3" x14ac:dyDescent="0.2">
      <c r="A273" s="43">
        <f t="shared" si="4"/>
        <v>263</v>
      </c>
      <c r="B273" s="43">
        <v>2905.1510682769244</v>
      </c>
      <c r="C273" s="43">
        <f>($F$22+B273)*$F$23/Main!$K$3</f>
        <v>263.06839903304717</v>
      </c>
    </row>
    <row r="274" spans="1:3" x14ac:dyDescent="0.2">
      <c r="A274" s="43">
        <f t="shared" si="4"/>
        <v>264</v>
      </c>
      <c r="B274" s="43">
        <v>10462.876138399795</v>
      </c>
      <c r="C274" s="43">
        <f>($F$22+B274)*$F$23/Main!$K$3</f>
        <v>328.61164202850972</v>
      </c>
    </row>
    <row r="275" spans="1:3" x14ac:dyDescent="0.2">
      <c r="A275" s="43">
        <f t="shared" si="4"/>
        <v>265</v>
      </c>
      <c r="B275" s="43">
        <v>8670.0736852512182</v>
      </c>
      <c r="C275" s="43">
        <f>($F$22+B275)*$F$23/Main!$K$3</f>
        <v>313.06383025455381</v>
      </c>
    </row>
    <row r="276" spans="1:3" x14ac:dyDescent="0.2">
      <c r="A276" s="43">
        <f t="shared" ref="A276:A339" si="5">A275+1</f>
        <v>266</v>
      </c>
      <c r="B276" s="43">
        <v>11499.30313626231</v>
      </c>
      <c r="C276" s="43">
        <f>($F$22+B276)*$F$23/Main!$K$3</f>
        <v>337.59990052398007</v>
      </c>
    </row>
    <row r="277" spans="1:3" x14ac:dyDescent="0.2">
      <c r="A277" s="43">
        <f t="shared" si="5"/>
        <v>267</v>
      </c>
      <c r="B277" s="43">
        <v>17606.862132498438</v>
      </c>
      <c r="C277" s="43">
        <f>($F$22+B277)*$F$23/Main!$K$3</f>
        <v>390.56679462044929</v>
      </c>
    </row>
    <row r="278" spans="1:3" x14ac:dyDescent="0.2">
      <c r="A278" s="43">
        <f t="shared" si="5"/>
        <v>268</v>
      </c>
      <c r="B278" s="43">
        <v>3949.8490181107136</v>
      </c>
      <c r="C278" s="43">
        <f>($F$22+B278)*$F$23/Main!$K$3</f>
        <v>272.12838612539372</v>
      </c>
    </row>
    <row r="279" spans="1:3" x14ac:dyDescent="0.2">
      <c r="A279" s="43">
        <f t="shared" si="5"/>
        <v>269</v>
      </c>
      <c r="B279" s="43">
        <v>8326.2407520008692</v>
      </c>
      <c r="C279" s="43">
        <f>($F$22+B279)*$F$23/Main!$K$3</f>
        <v>310.08199044366165</v>
      </c>
    </row>
    <row r="280" spans="1:3" x14ac:dyDescent="0.2">
      <c r="A280" s="43">
        <f t="shared" si="5"/>
        <v>270</v>
      </c>
      <c r="B280" s="43">
        <v>3768.5123769482584</v>
      </c>
      <c r="C280" s="43">
        <f>($F$22+B280)*$F$23/Main!$K$3</f>
        <v>270.55577116184116</v>
      </c>
    </row>
    <row r="281" spans="1:3" x14ac:dyDescent="0.2">
      <c r="A281" s="43">
        <f t="shared" si="5"/>
        <v>271</v>
      </c>
      <c r="B281" s="43">
        <v>125.35799012187405</v>
      </c>
      <c r="C281" s="43">
        <f>($F$22+B281)*$F$23/Main!$K$3</f>
        <v>238.9610583308986</v>
      </c>
    </row>
    <row r="282" spans="1:3" x14ac:dyDescent="0.2">
      <c r="A282" s="43">
        <f t="shared" si="5"/>
        <v>272</v>
      </c>
      <c r="B282" s="43">
        <v>335.1725376125824</v>
      </c>
      <c r="C282" s="43">
        <f>($F$22+B282)*$F$23/Main!$K$3</f>
        <v>240.7806436879435</v>
      </c>
    </row>
    <row r="283" spans="1:3" x14ac:dyDescent="0.2">
      <c r="A283" s="43">
        <f t="shared" si="5"/>
        <v>273</v>
      </c>
      <c r="B283" s="43">
        <v>-892.90666897985795</v>
      </c>
      <c r="C283" s="43">
        <f>($F$22+B283)*$F$23/Main!$K$3</f>
        <v>230.13031000835983</v>
      </c>
    </row>
    <row r="284" spans="1:3" x14ac:dyDescent="0.2">
      <c r="A284" s="43">
        <f t="shared" si="5"/>
        <v>274</v>
      </c>
      <c r="B284" s="43">
        <v>20323.73216643601</v>
      </c>
      <c r="C284" s="43">
        <f>($F$22+B284)*$F$23/Main!$K$3</f>
        <v>414.12844461026111</v>
      </c>
    </row>
    <row r="285" spans="1:3" x14ac:dyDescent="0.2">
      <c r="A285" s="43">
        <f t="shared" si="5"/>
        <v>275</v>
      </c>
      <c r="B285" s="43">
        <v>1147.6672538209277</v>
      </c>
      <c r="C285" s="43">
        <f>($F$22+B285)*$F$23/Main!$K$3</f>
        <v>247.82688288331914</v>
      </c>
    </row>
    <row r="286" spans="1:3" x14ac:dyDescent="0.2">
      <c r="A286" s="43">
        <f t="shared" si="5"/>
        <v>276</v>
      </c>
      <c r="B286" s="43">
        <v>4884.429795349628</v>
      </c>
      <c r="C286" s="43">
        <f>($F$22+B286)*$F$23/Main!$K$3</f>
        <v>280.23339846880555</v>
      </c>
    </row>
    <row r="287" spans="1:3" x14ac:dyDescent="0.2">
      <c r="A287" s="43">
        <f t="shared" si="5"/>
        <v>277</v>
      </c>
      <c r="B287" s="43">
        <v>2177.7151536393139</v>
      </c>
      <c r="C287" s="43">
        <f>($F$22+B287)*$F$23/Main!$K$3</f>
        <v>256.75981960281598</v>
      </c>
    </row>
    <row r="288" spans="1:3" x14ac:dyDescent="0.2">
      <c r="A288" s="43">
        <f t="shared" si="5"/>
        <v>278</v>
      </c>
      <c r="B288" s="43">
        <v>4026.7739471672744</v>
      </c>
      <c r="C288" s="43">
        <f>($F$22+B288)*$F$23/Main!$K$3</f>
        <v>272.79550609480026</v>
      </c>
    </row>
    <row r="289" spans="1:3" x14ac:dyDescent="0.2">
      <c r="A289" s="43">
        <f t="shared" si="5"/>
        <v>279</v>
      </c>
      <c r="B289" s="43">
        <v>16630.919806323498</v>
      </c>
      <c r="C289" s="43">
        <f>($F$22+B289)*$F$23/Main!$K$3</f>
        <v>382.10308041537547</v>
      </c>
    </row>
    <row r="290" spans="1:3" x14ac:dyDescent="0.2">
      <c r="A290" s="43">
        <f t="shared" si="5"/>
        <v>280</v>
      </c>
      <c r="B290" s="43">
        <v>11248.722957575346</v>
      </c>
      <c r="C290" s="43">
        <f>($F$22+B290)*$F$23/Main!$K$3</f>
        <v>335.42678131295554</v>
      </c>
    </row>
    <row r="291" spans="1:3" x14ac:dyDescent="0.2">
      <c r="A291" s="43">
        <f t="shared" si="5"/>
        <v>281</v>
      </c>
      <c r="B291" s="43">
        <v>3668.0786072741853</v>
      </c>
      <c r="C291" s="43">
        <f>($F$22+B291)*$F$23/Main!$K$3</f>
        <v>269.68477427989308</v>
      </c>
    </row>
    <row r="292" spans="1:3" x14ac:dyDescent="0.2">
      <c r="A292" s="43">
        <f t="shared" si="5"/>
        <v>282</v>
      </c>
      <c r="B292" s="43">
        <v>8963.709954406997</v>
      </c>
      <c r="C292" s="43">
        <f>($F$22+B292)*$F$23/Main!$K$3</f>
        <v>315.61034698584388</v>
      </c>
    </row>
    <row r="293" spans="1:3" x14ac:dyDescent="0.2">
      <c r="A293" s="43">
        <f t="shared" si="5"/>
        <v>283</v>
      </c>
      <c r="B293" s="43">
        <v>18953.647283376489</v>
      </c>
      <c r="C293" s="43">
        <f>($F$22+B293)*$F$23/Main!$K$3</f>
        <v>402.24658788993986</v>
      </c>
    </row>
    <row r="294" spans="1:3" x14ac:dyDescent="0.2">
      <c r="A294" s="43">
        <f t="shared" si="5"/>
        <v>284</v>
      </c>
      <c r="B294" s="43">
        <v>2271.1991912867766</v>
      </c>
      <c r="C294" s="43">
        <f>($F$22+B294)*$F$23/Main!$K$3</f>
        <v>257.5705459707209</v>
      </c>
    </row>
    <row r="295" spans="1:3" x14ac:dyDescent="0.2">
      <c r="A295" s="43">
        <f t="shared" si="5"/>
        <v>285</v>
      </c>
      <c r="B295" s="43">
        <v>396.29192697501588</v>
      </c>
      <c r="C295" s="43">
        <f>($F$22+B295)*$F$23/Main!$K$3</f>
        <v>241.31069247267007</v>
      </c>
    </row>
    <row r="296" spans="1:3" x14ac:dyDescent="0.2">
      <c r="A296" s="43">
        <f t="shared" si="5"/>
        <v>286</v>
      </c>
      <c r="B296" s="43">
        <v>11810.980206611281</v>
      </c>
      <c r="C296" s="43">
        <f>($F$22+B296)*$F$23/Main!$K$3</f>
        <v>340.30287341178121</v>
      </c>
    </row>
    <row r="297" spans="1:3" x14ac:dyDescent="0.2">
      <c r="A297" s="43">
        <f t="shared" si="5"/>
        <v>287</v>
      </c>
      <c r="B297" s="43">
        <v>11151.706657333722</v>
      </c>
      <c r="C297" s="43">
        <f>($F$22+B297)*$F$23/Main!$K$3</f>
        <v>334.5854219247455</v>
      </c>
    </row>
    <row r="298" spans="1:3" x14ac:dyDescent="0.2">
      <c r="A298" s="43">
        <f t="shared" si="5"/>
        <v>288</v>
      </c>
      <c r="B298" s="43">
        <v>12534.958937361551</v>
      </c>
      <c r="C298" s="43">
        <f>($F$22+B298)*$F$23/Main!$K$3</f>
        <v>346.58147093058983</v>
      </c>
    </row>
    <row r="299" spans="1:3" x14ac:dyDescent="0.2">
      <c r="A299" s="43">
        <f t="shared" si="5"/>
        <v>289</v>
      </c>
      <c r="B299" s="43">
        <v>2369.6459939377605</v>
      </c>
      <c r="C299" s="43">
        <f>($F$22+B299)*$F$23/Main!$K$3</f>
        <v>258.42431117763323</v>
      </c>
    </row>
    <row r="300" spans="1:3" x14ac:dyDescent="0.2">
      <c r="A300" s="43">
        <f t="shared" si="5"/>
        <v>290</v>
      </c>
      <c r="B300" s="43">
        <v>4245.2649470143033</v>
      </c>
      <c r="C300" s="43">
        <f>($F$22+B300)*$F$23/Main!$K$3</f>
        <v>274.69033669030676</v>
      </c>
    </row>
    <row r="301" spans="1:3" x14ac:dyDescent="0.2">
      <c r="A301" s="43">
        <f t="shared" si="5"/>
        <v>291</v>
      </c>
      <c r="B301" s="43">
        <v>7297.8166156492316</v>
      </c>
      <c r="C301" s="43">
        <f>($F$22+B301)*$F$23/Main!$K$3</f>
        <v>301.16313557055116</v>
      </c>
    </row>
    <row r="302" spans="1:3" x14ac:dyDescent="0.2">
      <c r="A302" s="43">
        <f t="shared" si="5"/>
        <v>292</v>
      </c>
      <c r="B302" s="43">
        <v>8702.0684053435343</v>
      </c>
      <c r="C302" s="43">
        <f>($F$22+B302)*$F$23/Main!$K$3</f>
        <v>313.34129969067715</v>
      </c>
    </row>
    <row r="303" spans="1:3" x14ac:dyDescent="0.2">
      <c r="A303" s="43">
        <f t="shared" si="5"/>
        <v>293</v>
      </c>
      <c r="B303" s="43">
        <v>3769.5931857764649</v>
      </c>
      <c r="C303" s="43">
        <f>($F$22+B303)*$F$23/Main!$K$3</f>
        <v>270.56514431513818</v>
      </c>
    </row>
    <row r="304" spans="1:3" x14ac:dyDescent="0.2">
      <c r="A304" s="43">
        <f t="shared" si="5"/>
        <v>294</v>
      </c>
      <c r="B304" s="43">
        <v>1383.5564260402912</v>
      </c>
      <c r="C304" s="43">
        <f>($F$22+B304)*$F$23/Main!$K$3</f>
        <v>249.87259653277326</v>
      </c>
    </row>
    <row r="305" spans="1:3" x14ac:dyDescent="0.2">
      <c r="A305" s="43">
        <f t="shared" si="5"/>
        <v>295</v>
      </c>
      <c r="B305" s="43">
        <v>-4431.8547730055143</v>
      </c>
      <c r="C305" s="43">
        <f>($F$22+B305)*$F$23/Main!$K$3</f>
        <v>199.43931061656605</v>
      </c>
    </row>
    <row r="306" spans="1:3" x14ac:dyDescent="0.2">
      <c r="A306" s="43">
        <f t="shared" si="5"/>
        <v>296</v>
      </c>
      <c r="B306" s="43">
        <v>5146.2964436253915</v>
      </c>
      <c r="C306" s="43">
        <f>($F$22+B306)*$F$23/Main!$K$3</f>
        <v>282.50439790330421</v>
      </c>
    </row>
    <row r="307" spans="1:3" x14ac:dyDescent="0.2">
      <c r="A307" s="43">
        <f t="shared" si="5"/>
        <v>297</v>
      </c>
      <c r="B307" s="43">
        <v>10343.453579825173</v>
      </c>
      <c r="C307" s="43">
        <f>($F$22+B307)*$F$23/Main!$K$3</f>
        <v>327.57596770810625</v>
      </c>
    </row>
    <row r="308" spans="1:3" x14ac:dyDescent="0.2">
      <c r="A308" s="43">
        <f t="shared" si="5"/>
        <v>298</v>
      </c>
      <c r="B308" s="43">
        <v>5260.3651981404037</v>
      </c>
      <c r="C308" s="43">
        <f>($F$22+B308)*$F$23/Main!$K$3</f>
        <v>283.49364215683272</v>
      </c>
    </row>
    <row r="309" spans="1:3" x14ac:dyDescent="0.2">
      <c r="A309" s="43">
        <f t="shared" si="5"/>
        <v>299</v>
      </c>
      <c r="B309" s="43">
        <v>-15704.816144953602</v>
      </c>
      <c r="C309" s="43">
        <f>($F$22+B309)*$F$23/Main!$K$3</f>
        <v>101.6762351375522</v>
      </c>
    </row>
    <row r="310" spans="1:3" x14ac:dyDescent="0.2">
      <c r="A310" s="43">
        <f t="shared" si="5"/>
        <v>300</v>
      </c>
      <c r="B310" s="43">
        <v>2303.1102642471033</v>
      </c>
      <c r="C310" s="43">
        <f>($F$22+B310)*$F$23/Main!$K$3</f>
        <v>257.84728998957291</v>
      </c>
    </row>
    <row r="311" spans="1:3" x14ac:dyDescent="0.2">
      <c r="A311" s="43">
        <f t="shared" si="5"/>
        <v>301</v>
      </c>
      <c r="B311" s="43">
        <v>867.8671150870241</v>
      </c>
      <c r="C311" s="43">
        <f>($F$22+B311)*$F$23/Main!$K$3</f>
        <v>245.40035792864751</v>
      </c>
    </row>
    <row r="312" spans="1:3" x14ac:dyDescent="0.2">
      <c r="A312" s="43">
        <f t="shared" si="5"/>
        <v>302</v>
      </c>
      <c r="B312" s="43">
        <v>4296.6911890104029</v>
      </c>
      <c r="C312" s="43">
        <f>($F$22+B312)*$F$23/Main!$K$3</f>
        <v>275.13632310079669</v>
      </c>
    </row>
    <row r="313" spans="1:3" x14ac:dyDescent="0.2">
      <c r="A313" s="43">
        <f t="shared" si="5"/>
        <v>303</v>
      </c>
      <c r="B313" s="43">
        <v>-7878.0645925140543</v>
      </c>
      <c r="C313" s="43">
        <f>($F$22+B313)*$F$23/Main!$K$3</f>
        <v>169.55257015992683</v>
      </c>
    </row>
    <row r="314" spans="1:3" x14ac:dyDescent="0.2">
      <c r="A314" s="43">
        <f t="shared" si="5"/>
        <v>304</v>
      </c>
      <c r="B314" s="43">
        <v>1642.2426731564567</v>
      </c>
      <c r="C314" s="43">
        <f>($F$22+B314)*$F$23/Main!$K$3</f>
        <v>252.11601441275755</v>
      </c>
    </row>
    <row r="315" spans="1:3" x14ac:dyDescent="0.2">
      <c r="A315" s="43">
        <f t="shared" si="5"/>
        <v>305</v>
      </c>
      <c r="B315" s="43">
        <v>11106.921069820823</v>
      </c>
      <c r="C315" s="43">
        <f>($F$22+B315)*$F$23/Main!$K$3</f>
        <v>334.19702559942056</v>
      </c>
    </row>
    <row r="316" spans="1:3" x14ac:dyDescent="0.2">
      <c r="A316" s="43">
        <f t="shared" si="5"/>
        <v>306</v>
      </c>
      <c r="B316" s="43">
        <v>22916.464431658231</v>
      </c>
      <c r="C316" s="43">
        <f>($F$22+B316)*$F$23/Main!$K$3</f>
        <v>436.61352832327231</v>
      </c>
    </row>
    <row r="317" spans="1:3" x14ac:dyDescent="0.2">
      <c r="A317" s="43">
        <f t="shared" si="5"/>
        <v>307</v>
      </c>
      <c r="B317" s="43">
        <v>-604.29034320696837</v>
      </c>
      <c r="C317" s="43">
        <f>($F$22+B317)*$F$23/Main!$K$3</f>
        <v>232.6332920296789</v>
      </c>
    </row>
    <row r="318" spans="1:3" x14ac:dyDescent="0.2">
      <c r="A318" s="43">
        <f t="shared" si="5"/>
        <v>308</v>
      </c>
      <c r="B318" s="43">
        <v>13715.991356058883</v>
      </c>
      <c r="C318" s="43">
        <f>($F$22+B318)*$F$23/Main!$K$3</f>
        <v>356.82379836192359</v>
      </c>
    </row>
    <row r="319" spans="1:3" x14ac:dyDescent="0.2">
      <c r="A319" s="43">
        <f t="shared" si="5"/>
        <v>309</v>
      </c>
      <c r="B319" s="43">
        <v>-692.21702116178176</v>
      </c>
      <c r="C319" s="43">
        <f>($F$22+B319)*$F$23/Main!$K$3</f>
        <v>231.8707610345044</v>
      </c>
    </row>
    <row r="320" spans="1:3" x14ac:dyDescent="0.2">
      <c r="A320" s="43">
        <f t="shared" si="5"/>
        <v>310</v>
      </c>
      <c r="B320" s="43">
        <v>4326.8694361568496</v>
      </c>
      <c r="C320" s="43">
        <f>($F$22+B320)*$F$23/Main!$K$3</f>
        <v>275.39803944632979</v>
      </c>
    </row>
    <row r="321" spans="1:3" x14ac:dyDescent="0.2">
      <c r="A321" s="43">
        <f t="shared" si="5"/>
        <v>311</v>
      </c>
      <c r="B321" s="43">
        <v>10107.851031919949</v>
      </c>
      <c r="C321" s="43">
        <f>($F$22+B321)*$F$23/Main!$K$3</f>
        <v>325.5327397652498</v>
      </c>
    </row>
    <row r="322" spans="1:3" x14ac:dyDescent="0.2">
      <c r="A322" s="43">
        <f t="shared" si="5"/>
        <v>312</v>
      </c>
      <c r="B322" s="43">
        <v>14048.129783636832</v>
      </c>
      <c r="C322" s="43">
        <f>($F$22+B322)*$F$23/Main!$K$3</f>
        <v>359.70421931728902</v>
      </c>
    </row>
    <row r="323" spans="1:3" x14ac:dyDescent="0.2">
      <c r="A323" s="43">
        <f t="shared" si="5"/>
        <v>313</v>
      </c>
      <c r="B323" s="43">
        <v>-2847.8735405826646</v>
      </c>
      <c r="C323" s="43">
        <f>($F$22+B323)*$F$23/Main!$K$3</f>
        <v>213.17615151163389</v>
      </c>
    </row>
    <row r="324" spans="1:3" x14ac:dyDescent="0.2">
      <c r="A324" s="43">
        <f t="shared" si="5"/>
        <v>314</v>
      </c>
      <c r="B324" s="43">
        <v>8616.5092988555134</v>
      </c>
      <c r="C324" s="43">
        <f>($F$22+B324)*$F$23/Main!$K$3</f>
        <v>312.59930110578716</v>
      </c>
    </row>
    <row r="325" spans="1:3" x14ac:dyDescent="0.2">
      <c r="A325" s="43">
        <f t="shared" si="5"/>
        <v>315</v>
      </c>
      <c r="B325" s="43">
        <v>6997.2712680898885</v>
      </c>
      <c r="C325" s="43">
        <f>($F$22+B325)*$F$23/Main!$K$3</f>
        <v>298.55670088769796</v>
      </c>
    </row>
    <row r="326" spans="1:3" x14ac:dyDescent="0.2">
      <c r="A326" s="43">
        <f t="shared" si="5"/>
        <v>316</v>
      </c>
      <c r="B326" s="43">
        <v>-791.61598456697459</v>
      </c>
      <c r="C326" s="43">
        <f>($F$22+B326)*$F$23/Main!$K$3</f>
        <v>231.00873835552147</v>
      </c>
    </row>
    <row r="327" spans="1:3" x14ac:dyDescent="0.2">
      <c r="A327" s="43">
        <f t="shared" si="5"/>
        <v>317</v>
      </c>
      <c r="B327" s="43">
        <v>11123.01568435296</v>
      </c>
      <c r="C327" s="43">
        <f>($F$22+B327)*$F$23/Main!$K$3</f>
        <v>334.3366037425007</v>
      </c>
    </row>
    <row r="328" spans="1:3" x14ac:dyDescent="0.2">
      <c r="A328" s="43">
        <f t="shared" si="5"/>
        <v>318</v>
      </c>
      <c r="B328" s="43">
        <v>9324.3762371654975</v>
      </c>
      <c r="C328" s="43">
        <f>($F$22+B328)*$F$23/Main!$K$3</f>
        <v>318.73817150867029</v>
      </c>
    </row>
    <row r="329" spans="1:3" x14ac:dyDescent="0.2">
      <c r="A329" s="43">
        <f t="shared" si="5"/>
        <v>319</v>
      </c>
      <c r="B329" s="43">
        <v>7564.0190298413127</v>
      </c>
      <c r="C329" s="43">
        <f>($F$22+B329)*$F$23/Main!$K$3</f>
        <v>303.47173628802699</v>
      </c>
    </row>
    <row r="330" spans="1:3" x14ac:dyDescent="0.2">
      <c r="A330" s="43">
        <f t="shared" si="5"/>
        <v>320</v>
      </c>
      <c r="B330" s="43">
        <v>2608.114830523306</v>
      </c>
      <c r="C330" s="43">
        <f>($F$22+B330)*$F$23/Main!$K$3</f>
        <v>260.49239658139578</v>
      </c>
    </row>
    <row r="331" spans="1:3" x14ac:dyDescent="0.2">
      <c r="A331" s="43">
        <f t="shared" si="5"/>
        <v>321</v>
      </c>
      <c r="B331" s="43">
        <v>5023.5052811539599</v>
      </c>
      <c r="C331" s="43">
        <f>($F$22+B331)*$F$23/Main!$K$3</f>
        <v>281.43950986822921</v>
      </c>
    </row>
    <row r="332" spans="1:3" x14ac:dyDescent="0.2">
      <c r="A332" s="43">
        <f t="shared" si="5"/>
        <v>322</v>
      </c>
      <c r="B332" s="43">
        <v>-2929.8797118959333</v>
      </c>
      <c r="C332" s="43">
        <f>($F$22+B332)*$F$23/Main!$K$3</f>
        <v>212.46496522691956</v>
      </c>
    </row>
    <row r="333" spans="1:3" x14ac:dyDescent="0.2">
      <c r="A333" s="43">
        <f t="shared" si="5"/>
        <v>323</v>
      </c>
      <c r="B333" s="43">
        <v>-6509.5172316978606</v>
      </c>
      <c r="C333" s="43">
        <f>($F$22+B333)*$F$23/Main!$K$3</f>
        <v>181.42109294800395</v>
      </c>
    </row>
    <row r="334" spans="1:3" x14ac:dyDescent="0.2">
      <c r="A334" s="43">
        <f t="shared" si="5"/>
        <v>324</v>
      </c>
      <c r="B334" s="43">
        <v>390.20542181348378</v>
      </c>
      <c r="C334" s="43">
        <f>($F$22+B334)*$F$23/Main!$K$3</f>
        <v>241.25790816481367</v>
      </c>
    </row>
    <row r="335" spans="1:3" x14ac:dyDescent="0.2">
      <c r="A335" s="43">
        <f t="shared" si="5"/>
        <v>325</v>
      </c>
      <c r="B335" s="43">
        <v>8136.8430998789245</v>
      </c>
      <c r="C335" s="43">
        <f>($F$22+B335)*$F$23/Main!$K$3</f>
        <v>308.43946756533245</v>
      </c>
    </row>
    <row r="336" spans="1:3" x14ac:dyDescent="0.2">
      <c r="A336" s="43">
        <f t="shared" si="5"/>
        <v>326</v>
      </c>
      <c r="B336" s="43">
        <v>13099.253609666735</v>
      </c>
      <c r="C336" s="43">
        <f>($F$22+B336)*$F$23/Main!$K$3</f>
        <v>351.47523227871761</v>
      </c>
    </row>
    <row r="337" spans="1:3" x14ac:dyDescent="0.2">
      <c r="A337" s="43">
        <f t="shared" si="5"/>
        <v>327</v>
      </c>
      <c r="B337" s="43">
        <v>6154.3276229471812</v>
      </c>
      <c r="C337" s="43">
        <f>($F$22+B337)*$F$23/Main!$K$3</f>
        <v>291.2463978993714</v>
      </c>
    </row>
    <row r="338" spans="1:3" x14ac:dyDescent="0.2">
      <c r="A338" s="43">
        <f t="shared" si="5"/>
        <v>328</v>
      </c>
      <c r="B338" s="43">
        <v>-552.81196647663933</v>
      </c>
      <c r="C338" s="43">
        <f>($F$22+B338)*$F$23/Main!$K$3</f>
        <v>233.07973057087253</v>
      </c>
    </row>
    <row r="339" spans="1:3" x14ac:dyDescent="0.2">
      <c r="A339" s="43">
        <f t="shared" si="5"/>
        <v>329</v>
      </c>
      <c r="B339" s="43">
        <v>13134.386973824772</v>
      </c>
      <c r="C339" s="43">
        <f>($F$22+B339)*$F$23/Main!$K$3</f>
        <v>351.77992113718926</v>
      </c>
    </row>
    <row r="340" spans="1:3" x14ac:dyDescent="0.2">
      <c r="A340" s="43">
        <f t="shared" ref="A340:A403" si="6">A339+1</f>
        <v>330</v>
      </c>
      <c r="B340" s="43">
        <v>7838.5948159842292</v>
      </c>
      <c r="C340" s="43">
        <f>($F$22+B340)*$F$23/Main!$K$3</f>
        <v>305.85295382436993</v>
      </c>
    </row>
    <row r="341" spans="1:3" x14ac:dyDescent="0.2">
      <c r="A341" s="43">
        <f t="shared" si="6"/>
        <v>331</v>
      </c>
      <c r="B341" s="43">
        <v>-726.59226918253603</v>
      </c>
      <c r="C341" s="43">
        <f>($F$22+B341)*$F$23/Main!$K$3</f>
        <v>231.57264682511612</v>
      </c>
    </row>
    <row r="342" spans="1:3" x14ac:dyDescent="0.2">
      <c r="A342" s="43">
        <f t="shared" si="6"/>
        <v>332</v>
      </c>
      <c r="B342" s="43">
        <v>27425.549667462048</v>
      </c>
      <c r="C342" s="43">
        <f>($F$22+B342)*$F$23/Main!$K$3</f>
        <v>475.71789723791699</v>
      </c>
    </row>
    <row r="343" spans="1:3" x14ac:dyDescent="0.2">
      <c r="A343" s="43">
        <f t="shared" si="6"/>
        <v>333</v>
      </c>
      <c r="B343" s="43">
        <v>2370.4161809221519</v>
      </c>
      <c r="C343" s="43">
        <f>($F$22+B343)*$F$23/Main!$K$3</f>
        <v>258.43099050933705</v>
      </c>
    </row>
    <row r="344" spans="1:3" x14ac:dyDescent="0.2">
      <c r="A344" s="43">
        <f t="shared" si="6"/>
        <v>334</v>
      </c>
      <c r="B344" s="43">
        <v>8832.2862640331787</v>
      </c>
      <c r="C344" s="43">
        <f>($F$22+B344)*$F$23/Main!$K$3</f>
        <v>314.47059464058009</v>
      </c>
    </row>
    <row r="345" spans="1:3" x14ac:dyDescent="0.2">
      <c r="A345" s="43">
        <f t="shared" si="6"/>
        <v>335</v>
      </c>
      <c r="B345" s="43">
        <v>1003.1973040731857</v>
      </c>
      <c r="C345" s="43">
        <f>($F$22+B345)*$F$23/Main!$K$3</f>
        <v>246.57398880024493</v>
      </c>
    </row>
    <row r="346" spans="1:3" x14ac:dyDescent="0.2">
      <c r="A346" s="43">
        <f t="shared" si="6"/>
        <v>336</v>
      </c>
      <c r="B346" s="43">
        <v>3480.8031044597997</v>
      </c>
      <c r="C346" s="43">
        <f>($F$22+B346)*$F$23/Main!$K$3</f>
        <v>268.06065542479143</v>
      </c>
    </row>
    <row r="347" spans="1:3" x14ac:dyDescent="0.2">
      <c r="A347" s="43">
        <f t="shared" si="6"/>
        <v>337</v>
      </c>
      <c r="B347" s="43">
        <v>555.03398289459233</v>
      </c>
      <c r="C347" s="43">
        <f>($F$22+B347)*$F$23/Main!$K$3</f>
        <v>242.68735926700302</v>
      </c>
    </row>
    <row r="348" spans="1:3" x14ac:dyDescent="0.2">
      <c r="A348" s="43">
        <f t="shared" si="6"/>
        <v>338</v>
      </c>
      <c r="B348" s="43">
        <v>6763.3656305848981</v>
      </c>
      <c r="C348" s="43">
        <f>($F$22+B348)*$F$23/Main!$K$3</f>
        <v>296.52818914709439</v>
      </c>
    </row>
    <row r="349" spans="1:3" x14ac:dyDescent="0.2">
      <c r="A349" s="43">
        <f t="shared" si="6"/>
        <v>339</v>
      </c>
      <c r="B349" s="43">
        <v>20190.563487040014</v>
      </c>
      <c r="C349" s="43">
        <f>($F$22+B349)*$F$23/Main!$K$3</f>
        <v>412.97355910806925</v>
      </c>
    </row>
    <row r="350" spans="1:3" x14ac:dyDescent="0.2">
      <c r="A350" s="43">
        <f t="shared" si="6"/>
        <v>340</v>
      </c>
      <c r="B350" s="43">
        <v>12076.441915647121</v>
      </c>
      <c r="C350" s="43">
        <f>($F$22+B350)*$F$23/Main!$K$3</f>
        <v>342.60505047430877</v>
      </c>
    </row>
    <row r="351" spans="1:3" x14ac:dyDescent="0.2">
      <c r="A351" s="43">
        <f t="shared" si="6"/>
        <v>341</v>
      </c>
      <c r="B351" s="43">
        <v>4616.5393573089768</v>
      </c>
      <c r="C351" s="43">
        <f>($F$22+B351)*$F$23/Main!$K$3</f>
        <v>277.91015861637015</v>
      </c>
    </row>
    <row r="352" spans="1:3" x14ac:dyDescent="0.2">
      <c r="A352" s="43">
        <f t="shared" si="6"/>
        <v>342</v>
      </c>
      <c r="B352" s="43">
        <v>11902.837482376619</v>
      </c>
      <c r="C352" s="43">
        <f>($F$22+B352)*$F$23/Main!$K$3</f>
        <v>341.09949192998971</v>
      </c>
    </row>
    <row r="353" spans="1:3" x14ac:dyDescent="0.2">
      <c r="A353" s="43">
        <f t="shared" si="6"/>
        <v>343</v>
      </c>
      <c r="B353" s="43">
        <v>17571.008222965578</v>
      </c>
      <c r="C353" s="43">
        <f>($F$22+B353)*$F$23/Main!$K$3</f>
        <v>390.2558569397259</v>
      </c>
    </row>
    <row r="354" spans="1:3" x14ac:dyDescent="0.2">
      <c r="A354" s="43">
        <f t="shared" si="6"/>
        <v>344</v>
      </c>
      <c r="B354" s="43">
        <v>-2473.3390150563878</v>
      </c>
      <c r="C354" s="43">
        <f>($F$22+B354)*$F$23/Main!$K$3</f>
        <v>216.42424630060719</v>
      </c>
    </row>
    <row r="355" spans="1:3" x14ac:dyDescent="0.2">
      <c r="A355" s="43">
        <f t="shared" si="6"/>
        <v>345</v>
      </c>
      <c r="B355" s="43">
        <v>775.67118414973584</v>
      </c>
      <c r="C355" s="43">
        <f>($F$22+B355)*$F$23/Main!$K$3</f>
        <v>244.6008024739904</v>
      </c>
    </row>
    <row r="356" spans="1:3" x14ac:dyDescent="0.2">
      <c r="A356" s="43">
        <f t="shared" si="6"/>
        <v>346</v>
      </c>
      <c r="B356" s="43">
        <v>5554.8069330770013</v>
      </c>
      <c r="C356" s="43">
        <f>($F$22+B356)*$F$23/Main!$K$3</f>
        <v>286.04714416992482</v>
      </c>
    </row>
    <row r="357" spans="1:3" x14ac:dyDescent="0.2">
      <c r="A357" s="43">
        <f t="shared" si="6"/>
        <v>347</v>
      </c>
      <c r="B357" s="43">
        <v>11081.515279534115</v>
      </c>
      <c r="C357" s="43">
        <f>($F$22+B357)*$F$23/Main!$K$3</f>
        <v>333.97669767391335</v>
      </c>
    </row>
    <row r="358" spans="1:3" x14ac:dyDescent="0.2">
      <c r="A358" s="43">
        <f t="shared" si="6"/>
        <v>348</v>
      </c>
      <c r="B358" s="43">
        <v>-2268.1379156367248</v>
      </c>
      <c r="C358" s="43">
        <f>($F$22+B358)*$F$23/Main!$K$3</f>
        <v>218.2038222176206</v>
      </c>
    </row>
    <row r="359" spans="1:3" x14ac:dyDescent="0.2">
      <c r="A359" s="43">
        <f t="shared" si="6"/>
        <v>349</v>
      </c>
      <c r="B359" s="43">
        <v>8261.0132379068928</v>
      </c>
      <c r="C359" s="43">
        <f>($F$22+B359)*$F$23/Main!$K$3</f>
        <v>309.51631456016702</v>
      </c>
    </row>
    <row r="360" spans="1:3" x14ac:dyDescent="0.2">
      <c r="A360" s="43">
        <f t="shared" si="6"/>
        <v>350</v>
      </c>
      <c r="B360" s="43">
        <v>7090.7263688936655</v>
      </c>
      <c r="C360" s="43">
        <f>($F$22+B360)*$F$23/Main!$K$3</f>
        <v>299.36717630514363</v>
      </c>
    </row>
    <row r="361" spans="1:3" x14ac:dyDescent="0.2">
      <c r="A361" s="43">
        <f t="shared" si="6"/>
        <v>351</v>
      </c>
      <c r="B361" s="43">
        <v>9068.5513072289759</v>
      </c>
      <c r="C361" s="43">
        <f>($F$22+B361)*$F$23/Main!$K$3</f>
        <v>316.51956797499429</v>
      </c>
    </row>
    <row r="362" spans="1:3" x14ac:dyDescent="0.2">
      <c r="A362" s="43">
        <f t="shared" si="6"/>
        <v>352</v>
      </c>
      <c r="B362" s="43">
        <v>18163.875183382981</v>
      </c>
      <c r="C362" s="43">
        <f>($F$22+B362)*$F$23/Main!$K$3</f>
        <v>395.39740719328483</v>
      </c>
    </row>
    <row r="363" spans="1:3" x14ac:dyDescent="0.2">
      <c r="A363" s="43">
        <f t="shared" si="6"/>
        <v>353</v>
      </c>
      <c r="B363" s="43">
        <v>432.67595744087572</v>
      </c>
      <c r="C363" s="43">
        <f>($F$22+B363)*$F$23/Main!$K$3</f>
        <v>241.62622754808652</v>
      </c>
    </row>
    <row r="364" spans="1:3" x14ac:dyDescent="0.2">
      <c r="A364" s="43">
        <f t="shared" si="6"/>
        <v>354</v>
      </c>
      <c r="B364" s="43">
        <v>7701.8290138018183</v>
      </c>
      <c r="C364" s="43">
        <f>($F$22+B364)*$F$23/Main!$K$3</f>
        <v>304.66687281153344</v>
      </c>
    </row>
    <row r="365" spans="1:3" x14ac:dyDescent="0.2">
      <c r="A365" s="43">
        <f t="shared" si="6"/>
        <v>355</v>
      </c>
      <c r="B365" s="43">
        <v>46396.702613066918</v>
      </c>
      <c r="C365" s="43">
        <f>($F$22+B365)*$F$23/Main!$K$3</f>
        <v>640.24239050552546</v>
      </c>
    </row>
    <row r="366" spans="1:3" x14ac:dyDescent="0.2">
      <c r="A366" s="43">
        <f t="shared" si="6"/>
        <v>356</v>
      </c>
      <c r="B366" s="43">
        <v>7377.9670272255535</v>
      </c>
      <c r="C366" s="43">
        <f>($F$22+B366)*$F$23/Main!$K$3</f>
        <v>301.85822805584161</v>
      </c>
    </row>
    <row r="367" spans="1:3" x14ac:dyDescent="0.2">
      <c r="A367" s="43">
        <f t="shared" si="6"/>
        <v>357</v>
      </c>
      <c r="B367" s="43">
        <v>525.19981235910768</v>
      </c>
      <c r="C367" s="43">
        <f>($F$22+B367)*$F$23/Main!$K$3</f>
        <v>242.42862687453939</v>
      </c>
    </row>
    <row r="368" spans="1:3" x14ac:dyDescent="0.2">
      <c r="A368" s="43">
        <f t="shared" si="6"/>
        <v>358</v>
      </c>
      <c r="B368" s="43">
        <v>5974.1871154962</v>
      </c>
      <c r="C368" s="43">
        <f>($F$22+B368)*$F$23/Main!$K$3</f>
        <v>289.68415622695852</v>
      </c>
    </row>
    <row r="369" spans="1:3" x14ac:dyDescent="0.2">
      <c r="A369" s="43">
        <f t="shared" si="6"/>
        <v>359</v>
      </c>
      <c r="B369" s="43">
        <v>1328.6820706338356</v>
      </c>
      <c r="C369" s="43">
        <f>($F$22+B369)*$F$23/Main!$K$3</f>
        <v>249.39670687321913</v>
      </c>
    </row>
    <row r="370" spans="1:3" x14ac:dyDescent="0.2">
      <c r="A370" s="43">
        <f t="shared" si="6"/>
        <v>360</v>
      </c>
      <c r="B370" s="43">
        <v>14542.244679299751</v>
      </c>
      <c r="C370" s="43">
        <f>($F$22+B370)*$F$23/Main!$K$3</f>
        <v>363.98935702389065</v>
      </c>
    </row>
    <row r="371" spans="1:3" x14ac:dyDescent="0.2">
      <c r="A371" s="43">
        <f t="shared" si="6"/>
        <v>361</v>
      </c>
      <c r="B371" s="43">
        <v>10451.899735847604</v>
      </c>
      <c r="C371" s="43">
        <f>($F$22+B371)*$F$23/Main!$K$3</f>
        <v>328.51645081514613</v>
      </c>
    </row>
    <row r="372" spans="1:3" x14ac:dyDescent="0.2">
      <c r="A372" s="43">
        <f t="shared" si="6"/>
        <v>362</v>
      </c>
      <c r="B372" s="43">
        <v>19827.916305849656</v>
      </c>
      <c r="C372" s="43">
        <f>($F$22+B372)*$F$23/Main!$K$3</f>
        <v>409.82855553915897</v>
      </c>
    </row>
    <row r="373" spans="1:3" x14ac:dyDescent="0.2">
      <c r="A373" s="43">
        <f t="shared" si="6"/>
        <v>363</v>
      </c>
      <c r="B373" s="43">
        <v>10677.301631925031</v>
      </c>
      <c r="C373" s="43">
        <f>($F$22+B373)*$F$23/Main!$K$3</f>
        <v>330.47121512704774</v>
      </c>
    </row>
    <row r="374" spans="1:3" x14ac:dyDescent="0.2">
      <c r="A374" s="43">
        <f t="shared" si="6"/>
        <v>364</v>
      </c>
      <c r="B374" s="43">
        <v>5639.1477181686914</v>
      </c>
      <c r="C374" s="43">
        <f>($F$22+B374)*$F$23/Main!$K$3</f>
        <v>286.7785770442888</v>
      </c>
    </row>
    <row r="375" spans="1:3" x14ac:dyDescent="0.2">
      <c r="A375" s="43">
        <f t="shared" si="6"/>
        <v>365</v>
      </c>
      <c r="B375" s="43">
        <v>1492.1233425912624</v>
      </c>
      <c r="C375" s="43">
        <f>($F$22+B375)*$F$23/Main!$K$3</f>
        <v>250.81412691747843</v>
      </c>
    </row>
    <row r="376" spans="1:3" x14ac:dyDescent="0.2">
      <c r="A376" s="43">
        <f t="shared" si="6"/>
        <v>366</v>
      </c>
      <c r="B376" s="43">
        <v>-2973.9639198996706</v>
      </c>
      <c r="C376" s="43">
        <f>($F$22+B376)*$F$23/Main!$K$3</f>
        <v>212.0826515107361</v>
      </c>
    </row>
    <row r="377" spans="1:3" x14ac:dyDescent="0.2">
      <c r="A377" s="43">
        <f t="shared" si="6"/>
        <v>367</v>
      </c>
      <c r="B377" s="43">
        <v>3650.7798492475217</v>
      </c>
      <c r="C377" s="43">
        <f>($F$22+B377)*$F$23/Main!$K$3</f>
        <v>269.5347533820248</v>
      </c>
    </row>
    <row r="378" spans="1:3" x14ac:dyDescent="0.2">
      <c r="A378" s="43">
        <f t="shared" si="6"/>
        <v>368</v>
      </c>
      <c r="B378" s="43">
        <v>19453.403682143493</v>
      </c>
      <c r="C378" s="43">
        <f>($F$22+B378)*$F$23/Main!$K$3</f>
        <v>406.58065069045273</v>
      </c>
    </row>
    <row r="379" spans="1:3" x14ac:dyDescent="0.2">
      <c r="A379" s="43">
        <f t="shared" si="6"/>
        <v>369</v>
      </c>
      <c r="B379" s="43">
        <v>6094.0543457623207</v>
      </c>
      <c r="C379" s="43">
        <f>($F$22+B379)*$F$23/Main!$K$3</f>
        <v>290.7236868962579</v>
      </c>
    </row>
    <row r="380" spans="1:3" x14ac:dyDescent="0.2">
      <c r="A380" s="43">
        <f t="shared" si="6"/>
        <v>370</v>
      </c>
      <c r="B380" s="43">
        <v>3138.0688897178011</v>
      </c>
      <c r="C380" s="43">
        <f>($F$22+B380)*$F$23/Main!$K$3</f>
        <v>265.08834408622505</v>
      </c>
    </row>
    <row r="381" spans="1:3" x14ac:dyDescent="0.2">
      <c r="A381" s="43">
        <f t="shared" si="6"/>
        <v>371</v>
      </c>
      <c r="B381" s="43">
        <v>1728.4820320702595</v>
      </c>
      <c r="C381" s="43">
        <f>($F$22+B381)*$F$23/Main!$K$3</f>
        <v>252.8639123853109</v>
      </c>
    </row>
    <row r="382" spans="1:3" x14ac:dyDescent="0.2">
      <c r="A382" s="43">
        <f t="shared" si="6"/>
        <v>372</v>
      </c>
      <c r="B382" s="43">
        <v>13523.107365726035</v>
      </c>
      <c r="C382" s="43">
        <f>($F$22+B382)*$F$23/Main!$K$3</f>
        <v>355.15104073565084</v>
      </c>
    </row>
    <row r="383" spans="1:3" x14ac:dyDescent="0.2">
      <c r="A383" s="43">
        <f t="shared" si="6"/>
        <v>373</v>
      </c>
      <c r="B383" s="43">
        <v>7966.5744835655014</v>
      </c>
      <c r="C383" s="43">
        <f>($F$22+B383)*$F$23/Main!$K$3</f>
        <v>306.96283839584208</v>
      </c>
    </row>
    <row r="384" spans="1:3" x14ac:dyDescent="0.2">
      <c r="A384" s="43">
        <f t="shared" si="6"/>
        <v>374</v>
      </c>
      <c r="B384" s="43">
        <v>1141.5506036472741</v>
      </c>
      <c r="C384" s="43">
        <f>($F$22+B384)*$F$23/Main!$K$3</f>
        <v>247.77383714734296</v>
      </c>
    </row>
    <row r="385" spans="1:3" x14ac:dyDescent="0.2">
      <c r="A385" s="43">
        <f t="shared" si="6"/>
        <v>375</v>
      </c>
      <c r="B385" s="43">
        <v>4720.9046980680969</v>
      </c>
      <c r="C385" s="43">
        <f>($F$22+B385)*$F$23/Main!$K$3</f>
        <v>278.81525146193042</v>
      </c>
    </row>
    <row r="386" spans="1:3" x14ac:dyDescent="0.2">
      <c r="A386" s="43">
        <f t="shared" si="6"/>
        <v>376</v>
      </c>
      <c r="B386" s="43">
        <v>32020.366999065154</v>
      </c>
      <c r="C386" s="43">
        <f>($F$22+B386)*$F$23/Main!$K$3</f>
        <v>515.56576496144203</v>
      </c>
    </row>
    <row r="387" spans="1:3" x14ac:dyDescent="0.2">
      <c r="A387" s="43">
        <f t="shared" si="6"/>
        <v>377</v>
      </c>
      <c r="B387" s="43">
        <v>2717.744860656835</v>
      </c>
      <c r="C387" s="43">
        <f>($F$22+B387)*$F$23/Main!$K$3</f>
        <v>261.44314666002032</v>
      </c>
    </row>
    <row r="388" spans="1:3" x14ac:dyDescent="0.2">
      <c r="A388" s="43">
        <f t="shared" si="6"/>
        <v>378</v>
      </c>
      <c r="B388" s="43">
        <v>23314.572229570465</v>
      </c>
      <c r="C388" s="43">
        <f>($F$22+B388)*$F$23/Main!$K$3</f>
        <v>440.06605879968532</v>
      </c>
    </row>
    <row r="389" spans="1:3" x14ac:dyDescent="0.2">
      <c r="A389" s="43">
        <f t="shared" si="6"/>
        <v>379</v>
      </c>
      <c r="B389" s="43">
        <v>3628.9267604324446</v>
      </c>
      <c r="C389" s="43">
        <f>($F$22+B389)*$F$23/Main!$K$3</f>
        <v>269.34523572993788</v>
      </c>
    </row>
    <row r="390" spans="1:3" x14ac:dyDescent="0.2">
      <c r="A390" s="43">
        <f t="shared" si="6"/>
        <v>380</v>
      </c>
      <c r="B390" s="43">
        <v>2820.0350875759646</v>
      </c>
      <c r="C390" s="43">
        <f>($F$22+B390)*$F$23/Main!$K$3</f>
        <v>262.33024339042737</v>
      </c>
    </row>
    <row r="391" spans="1:3" x14ac:dyDescent="0.2">
      <c r="A391" s="43">
        <f t="shared" si="6"/>
        <v>381</v>
      </c>
      <c r="B391" s="43">
        <v>11835.726481941778</v>
      </c>
      <c r="C391" s="43">
        <f>($F$22+B391)*$F$23/Main!$K$3</f>
        <v>340.51748179223563</v>
      </c>
    </row>
    <row r="392" spans="1:3" x14ac:dyDescent="0.2">
      <c r="A392" s="43">
        <f t="shared" si="6"/>
        <v>382</v>
      </c>
      <c r="B392" s="43">
        <v>2438.2413388822902</v>
      </c>
      <c r="C392" s="43">
        <f>($F$22+B392)*$F$23/Main!$K$3</f>
        <v>259.01919407167105</v>
      </c>
    </row>
    <row r="393" spans="1:3" x14ac:dyDescent="0.2">
      <c r="A393" s="43">
        <f t="shared" si="6"/>
        <v>383</v>
      </c>
      <c r="B393" s="43">
        <v>2382.8299686456853</v>
      </c>
      <c r="C393" s="43">
        <f>($F$22+B393)*$F$23/Main!$K$3</f>
        <v>258.53864723112946</v>
      </c>
    </row>
    <row r="394" spans="1:3" x14ac:dyDescent="0.2">
      <c r="A394" s="43">
        <f t="shared" si="6"/>
        <v>384</v>
      </c>
      <c r="B394" s="43">
        <v>7319.0314402491358</v>
      </c>
      <c r="C394" s="43">
        <f>($F$22+B394)*$F$23/Main!$K$3</f>
        <v>301.34711797146628</v>
      </c>
    </row>
    <row r="395" spans="1:3" x14ac:dyDescent="0.2">
      <c r="A395" s="43">
        <f t="shared" si="6"/>
        <v>385</v>
      </c>
      <c r="B395" s="43">
        <v>2740.9790381512821</v>
      </c>
      <c r="C395" s="43">
        <f>($F$22+B395)*$F$23/Main!$K$3</f>
        <v>261.64464159760917</v>
      </c>
    </row>
    <row r="396" spans="1:3" x14ac:dyDescent="0.2">
      <c r="A396" s="43">
        <f t="shared" si="6"/>
        <v>386</v>
      </c>
      <c r="B396" s="43">
        <v>46238.385664115485</v>
      </c>
      <c r="C396" s="43">
        <f>($F$22+B396)*$F$23/Main!$K$3</f>
        <v>638.86941038794419</v>
      </c>
    </row>
    <row r="397" spans="1:3" x14ac:dyDescent="0.2">
      <c r="A397" s="43">
        <f t="shared" si="6"/>
        <v>387</v>
      </c>
      <c r="B397" s="43">
        <v>9196.5795329727935</v>
      </c>
      <c r="C397" s="43">
        <f>($F$22+B397)*$F$23/Main!$K$3</f>
        <v>317.62987365988585</v>
      </c>
    </row>
    <row r="398" spans="1:3" x14ac:dyDescent="0.2">
      <c r="A398" s="43">
        <f t="shared" si="6"/>
        <v>388</v>
      </c>
      <c r="B398" s="43">
        <v>23446.034644814554</v>
      </c>
      <c r="C398" s="43">
        <f>($F$22+B398)*$F$23/Main!$K$3</f>
        <v>441.20614698060859</v>
      </c>
    </row>
    <row r="399" spans="1:3" x14ac:dyDescent="0.2">
      <c r="A399" s="43">
        <f t="shared" si="6"/>
        <v>389</v>
      </c>
      <c r="B399" s="43">
        <v>1649.8475528613851</v>
      </c>
      <c r="C399" s="43">
        <f>($F$22+B399)*$F$23/Main!$K$3</f>
        <v>252.18196659728756</v>
      </c>
    </row>
    <row r="400" spans="1:3" x14ac:dyDescent="0.2">
      <c r="A400" s="43">
        <f t="shared" si="6"/>
        <v>390</v>
      </c>
      <c r="B400" s="43">
        <v>14433.675518443304</v>
      </c>
      <c r="C400" s="43">
        <f>($F$22+B400)*$F$23/Main!$K$3</f>
        <v>363.04780717578114</v>
      </c>
    </row>
    <row r="401" spans="1:3" x14ac:dyDescent="0.2">
      <c r="A401" s="43">
        <f t="shared" si="6"/>
        <v>391</v>
      </c>
      <c r="B401" s="43">
        <v>635.77915324869286</v>
      </c>
      <c r="C401" s="43">
        <f>($F$22+B401)*$F$23/Main!$K$3</f>
        <v>243.38760970905079</v>
      </c>
    </row>
    <row r="402" spans="1:3" x14ac:dyDescent="0.2">
      <c r="A402" s="43">
        <f t="shared" si="6"/>
        <v>392</v>
      </c>
      <c r="B402" s="43">
        <v>3077.2185668012448</v>
      </c>
      <c r="C402" s="43">
        <f>($F$22+B402)*$F$23/Main!$K$3</f>
        <v>264.56062874010337</v>
      </c>
    </row>
    <row r="403" spans="1:3" x14ac:dyDescent="0.2">
      <c r="A403" s="43">
        <f t="shared" si="6"/>
        <v>393</v>
      </c>
      <c r="B403" s="43">
        <v>15184.038250621357</v>
      </c>
      <c r="C403" s="43">
        <f>($F$22+B403)*$F$23/Main!$K$3</f>
        <v>369.55521601026078</v>
      </c>
    </row>
    <row r="404" spans="1:3" x14ac:dyDescent="0.2">
      <c r="A404" s="43">
        <f t="shared" ref="A404:A467" si="7">A403+1</f>
        <v>394</v>
      </c>
      <c r="B404" s="43">
        <v>12545.955656545018</v>
      </c>
      <c r="C404" s="43">
        <f>($F$22+B404)*$F$23/Main!$K$3</f>
        <v>346.67683833690688</v>
      </c>
    </row>
    <row r="405" spans="1:3" x14ac:dyDescent="0.2">
      <c r="A405" s="43">
        <f t="shared" si="7"/>
        <v>395</v>
      </c>
      <c r="B405" s="43">
        <v>14836.677385228855</v>
      </c>
      <c r="C405" s="43">
        <f>($F$22+B405)*$F$23/Main!$K$3</f>
        <v>366.54278073426241</v>
      </c>
    </row>
    <row r="406" spans="1:3" x14ac:dyDescent="0.2">
      <c r="A406" s="43">
        <f t="shared" si="7"/>
        <v>396</v>
      </c>
      <c r="B406" s="43">
        <v>1341.0880604498229</v>
      </c>
      <c r="C406" s="43">
        <f>($F$22+B406)*$F$23/Main!$K$3</f>
        <v>249.50429596882188</v>
      </c>
    </row>
    <row r="407" spans="1:3" x14ac:dyDescent="0.2">
      <c r="A407" s="43">
        <f t="shared" si="7"/>
        <v>397</v>
      </c>
      <c r="B407" s="43">
        <v>9495.8385381891967</v>
      </c>
      <c r="C407" s="43">
        <f>($F$22+B407)*$F$23/Main!$K$3</f>
        <v>320.22515273070292</v>
      </c>
    </row>
    <row r="408" spans="1:3" x14ac:dyDescent="0.2">
      <c r="A408" s="43">
        <f t="shared" si="7"/>
        <v>398</v>
      </c>
      <c r="B408" s="43">
        <v>29368.469854907056</v>
      </c>
      <c r="C408" s="43">
        <f>($F$22+B408)*$F$23/Main!$K$3</f>
        <v>492.56758266374942</v>
      </c>
    </row>
    <row r="409" spans="1:3" x14ac:dyDescent="0.2">
      <c r="A409" s="43">
        <f t="shared" si="7"/>
        <v>399</v>
      </c>
      <c r="B409" s="43">
        <v>1159.1091602908873</v>
      </c>
      <c r="C409" s="43">
        <f>($F$22+B409)*$F$23/Main!$K$3</f>
        <v>247.92611110995261</v>
      </c>
    </row>
    <row r="410" spans="1:3" x14ac:dyDescent="0.2">
      <c r="A410" s="43">
        <f t="shared" si="7"/>
        <v>400</v>
      </c>
      <c r="B410" s="43">
        <v>-2653.1862434458899</v>
      </c>
      <c r="C410" s="43">
        <f>($F$22+B410)*$F$23/Main!$K$3</f>
        <v>214.86454804709535</v>
      </c>
    </row>
    <row r="411" spans="1:3" x14ac:dyDescent="0.2">
      <c r="A411" s="43">
        <f t="shared" si="7"/>
        <v>401</v>
      </c>
      <c r="B411" s="43">
        <v>6998.94068978006</v>
      </c>
      <c r="C411" s="43">
        <f>($F$22+B411)*$F$23/Main!$K$3</f>
        <v>298.5711786982144</v>
      </c>
    </row>
    <row r="412" spans="1:3" x14ac:dyDescent="0.2">
      <c r="A412" s="43">
        <f t="shared" si="7"/>
        <v>402</v>
      </c>
      <c r="B412" s="43">
        <v>26952.696655418735</v>
      </c>
      <c r="C412" s="43">
        <f>($F$22+B412)*$F$23/Main!$K$3</f>
        <v>471.61715004455721</v>
      </c>
    </row>
    <row r="413" spans="1:3" x14ac:dyDescent="0.2">
      <c r="A413" s="43">
        <f t="shared" si="7"/>
        <v>403</v>
      </c>
      <c r="B413" s="43">
        <v>11973.725107037784</v>
      </c>
      <c r="C413" s="43">
        <f>($F$22+B413)*$F$23/Main!$K$3</f>
        <v>341.71425427784288</v>
      </c>
    </row>
    <row r="414" spans="1:3" x14ac:dyDescent="0.2">
      <c r="A414" s="43">
        <f t="shared" si="7"/>
        <v>404</v>
      </c>
      <c r="B414" s="43">
        <v>23787.851279540562</v>
      </c>
      <c r="C414" s="43">
        <f>($F$22+B414)*$F$23/Main!$K$3</f>
        <v>444.17050074339687</v>
      </c>
    </row>
    <row r="415" spans="1:3" x14ac:dyDescent="0.2">
      <c r="A415" s="43">
        <f t="shared" si="7"/>
        <v>405</v>
      </c>
      <c r="B415" s="43">
        <v>2400.5509619429131</v>
      </c>
      <c r="C415" s="43">
        <f>($F$22+B415)*$F$23/Main!$K$3</f>
        <v>258.69232990138073</v>
      </c>
    </row>
    <row r="416" spans="1:3" x14ac:dyDescent="0.2">
      <c r="A416" s="43">
        <f t="shared" si="7"/>
        <v>406</v>
      </c>
      <c r="B416" s="43">
        <v>11288.791959564327</v>
      </c>
      <c r="C416" s="43">
        <f>($F$22+B416)*$F$23/Main!$K$3</f>
        <v>335.77427375407797</v>
      </c>
    </row>
    <row r="417" spans="1:3" x14ac:dyDescent="0.2">
      <c r="A417" s="43">
        <f t="shared" si="7"/>
        <v>407</v>
      </c>
      <c r="B417" s="43">
        <v>14703.338788799343</v>
      </c>
      <c r="C417" s="43">
        <f>($F$22+B417)*$F$23/Main!$K$3</f>
        <v>365.38642165195046</v>
      </c>
    </row>
    <row r="418" spans="1:3" x14ac:dyDescent="0.2">
      <c r="A418" s="43">
        <f t="shared" si="7"/>
        <v>408</v>
      </c>
      <c r="B418" s="43">
        <v>2776.88224934858</v>
      </c>
      <c r="C418" s="43">
        <f>($F$22+B418)*$F$23/Main!$K$3</f>
        <v>261.95600683966126</v>
      </c>
    </row>
    <row r="419" spans="1:3" x14ac:dyDescent="0.2">
      <c r="A419" s="43">
        <f t="shared" si="7"/>
        <v>409</v>
      </c>
      <c r="B419" s="43">
        <v>10257.932352539887</v>
      </c>
      <c r="C419" s="43">
        <f>($F$22+B419)*$F$23/Main!$K$3</f>
        <v>326.83429762495007</v>
      </c>
    </row>
    <row r="420" spans="1:3" x14ac:dyDescent="0.2">
      <c r="A420" s="43">
        <f t="shared" si="7"/>
        <v>410</v>
      </c>
      <c r="B420" s="43">
        <v>6270.9276299135317</v>
      </c>
      <c r="C420" s="43">
        <f>($F$22+B420)*$F$23/Main!$K$3</f>
        <v>292.25759406210028</v>
      </c>
    </row>
    <row r="421" spans="1:3" x14ac:dyDescent="0.2">
      <c r="A421" s="43">
        <f t="shared" si="7"/>
        <v>411</v>
      </c>
      <c r="B421" s="43">
        <v>21839.86586315796</v>
      </c>
      <c r="C421" s="43">
        <f>($F$22+B421)*$F$23/Main!$K$3</f>
        <v>427.27688787537721</v>
      </c>
    </row>
    <row r="422" spans="1:3" x14ac:dyDescent="0.2">
      <c r="A422" s="43">
        <f t="shared" si="7"/>
        <v>412</v>
      </c>
      <c r="B422" s="43">
        <v>-3597.8549982822947</v>
      </c>
      <c r="C422" s="43">
        <f>($F$22+B422)*$F$23/Main!$K$3</f>
        <v>206.67204922317913</v>
      </c>
    </row>
    <row r="423" spans="1:3" x14ac:dyDescent="0.2">
      <c r="A423" s="43">
        <f t="shared" si="7"/>
        <v>413</v>
      </c>
      <c r="B423" s="43">
        <v>7837.5537564407996</v>
      </c>
      <c r="C423" s="43">
        <f>($F$22+B423)*$F$23/Main!$K$3</f>
        <v>305.84392539081426</v>
      </c>
    </row>
    <row r="424" spans="1:3" x14ac:dyDescent="0.2">
      <c r="A424" s="43">
        <f t="shared" si="7"/>
        <v>414</v>
      </c>
      <c r="B424" s="43">
        <v>23498.447012806955</v>
      </c>
      <c r="C424" s="43">
        <f>($F$22+B424)*$F$23/Main!$K$3</f>
        <v>441.66068542166323</v>
      </c>
    </row>
    <row r="425" spans="1:3" x14ac:dyDescent="0.2">
      <c r="A425" s="43">
        <f t="shared" si="7"/>
        <v>415</v>
      </c>
      <c r="B425" s="43">
        <v>53516.078876311891</v>
      </c>
      <c r="C425" s="43">
        <f>($F$22+B425)*$F$23/Main!$K$3</f>
        <v>701.98411887861221</v>
      </c>
    </row>
    <row r="426" spans="1:3" x14ac:dyDescent="0.2">
      <c r="A426" s="43">
        <f t="shared" si="7"/>
        <v>416</v>
      </c>
      <c r="B426" s="43">
        <v>3312.9785512800004</v>
      </c>
      <c r="C426" s="43">
        <f>($F$22+B426)*$F$23/Main!$K$3</f>
        <v>266.60522202815298</v>
      </c>
    </row>
    <row r="427" spans="1:3" x14ac:dyDescent="0.2">
      <c r="A427" s="43">
        <f t="shared" si="7"/>
        <v>417</v>
      </c>
      <c r="B427" s="43">
        <v>5351.0985703162323</v>
      </c>
      <c r="C427" s="43">
        <f>($F$22+B427)*$F$23/Main!$K$3</f>
        <v>284.28051378885698</v>
      </c>
    </row>
    <row r="428" spans="1:3" x14ac:dyDescent="0.2">
      <c r="A428" s="43">
        <f t="shared" si="7"/>
        <v>418</v>
      </c>
      <c r="B428" s="43">
        <v>-1891.1771423154364</v>
      </c>
      <c r="C428" s="43">
        <f>($F$22+B428)*$F$23/Main!$K$3</f>
        <v>221.47295827857991</v>
      </c>
    </row>
    <row r="429" spans="1:3" x14ac:dyDescent="0.2">
      <c r="A429" s="43">
        <f t="shared" si="7"/>
        <v>419</v>
      </c>
      <c r="B429" s="43">
        <v>1946.6117916179719</v>
      </c>
      <c r="C429" s="43">
        <f>($F$22+B429)*$F$23/Main!$K$3</f>
        <v>254.75561017822162</v>
      </c>
    </row>
    <row r="430" spans="1:3" x14ac:dyDescent="0.2">
      <c r="A430" s="43">
        <f t="shared" si="7"/>
        <v>420</v>
      </c>
      <c r="B430" s="43">
        <v>-20583.092011386227</v>
      </c>
      <c r="C430" s="43">
        <f>($F$22+B430)*$F$23/Main!$K$3</f>
        <v>59.370115565079253</v>
      </c>
    </row>
    <row r="431" spans="1:3" x14ac:dyDescent="0.2">
      <c r="A431" s="43">
        <f t="shared" si="7"/>
        <v>421</v>
      </c>
      <c r="B431" s="43">
        <v>11967.854055394357</v>
      </c>
      <c r="C431" s="43">
        <f>($F$22+B431)*$F$23/Main!$K$3</f>
        <v>341.66333845847487</v>
      </c>
    </row>
    <row r="432" spans="1:3" x14ac:dyDescent="0.2">
      <c r="A432" s="43">
        <f t="shared" si="7"/>
        <v>422</v>
      </c>
      <c r="B432" s="43">
        <v>-3957.6099822864553</v>
      </c>
      <c r="C432" s="43">
        <f>($F$22+B432)*$F$23/Main!$K$3</f>
        <v>203.55212780282636</v>
      </c>
    </row>
    <row r="433" spans="1:3" x14ac:dyDescent="0.2">
      <c r="A433" s="43">
        <f t="shared" si="7"/>
        <v>423</v>
      </c>
      <c r="B433" s="43">
        <v>6752.2964549170747</v>
      </c>
      <c r="C433" s="43">
        <f>($F$22+B433)*$F$23/Main!$K$3</f>
        <v>296.43219337272785</v>
      </c>
    </row>
    <row r="434" spans="1:3" x14ac:dyDescent="0.2">
      <c r="A434" s="43">
        <f t="shared" si="7"/>
        <v>424</v>
      </c>
      <c r="B434" s="43">
        <v>12181.976586256902</v>
      </c>
      <c r="C434" s="43">
        <f>($F$22+B434)*$F$23/Main!$K$3</f>
        <v>343.52028415852516</v>
      </c>
    </row>
    <row r="435" spans="1:3" x14ac:dyDescent="0.2">
      <c r="A435" s="43">
        <f t="shared" si="7"/>
        <v>425</v>
      </c>
      <c r="B435" s="43">
        <v>12447.983768713075</v>
      </c>
      <c r="C435" s="43">
        <f>($F$22+B435)*$F$23/Main!$K$3</f>
        <v>345.82719175790152</v>
      </c>
    </row>
    <row r="436" spans="1:3" x14ac:dyDescent="0.2">
      <c r="A436" s="43">
        <f t="shared" si="7"/>
        <v>426</v>
      </c>
      <c r="B436" s="43">
        <v>8991.4676313864147</v>
      </c>
      <c r="C436" s="43">
        <f>($F$22+B436)*$F$23/Main!$K$3</f>
        <v>315.85107129777259</v>
      </c>
    </row>
    <row r="437" spans="1:3" x14ac:dyDescent="0.2">
      <c r="A437" s="43">
        <f t="shared" si="7"/>
        <v>427</v>
      </c>
      <c r="B437" s="43">
        <v>14901.56179595104</v>
      </c>
      <c r="C437" s="43">
        <f>($F$22+B437)*$F$23/Main!$K$3</f>
        <v>367.1054811049591</v>
      </c>
    </row>
    <row r="438" spans="1:3" x14ac:dyDescent="0.2">
      <c r="A438" s="43">
        <f t="shared" si="7"/>
        <v>428</v>
      </c>
      <c r="B438" s="43">
        <v>2048.6972167180215</v>
      </c>
      <c r="C438" s="43">
        <f>($F$22+B438)*$F$23/Main!$K$3</f>
        <v>255.64093079541084</v>
      </c>
    </row>
    <row r="439" spans="1:3" x14ac:dyDescent="0.2">
      <c r="A439" s="43">
        <f t="shared" si="7"/>
        <v>429</v>
      </c>
      <c r="B439" s="43">
        <v>5536.7435800344429</v>
      </c>
      <c r="C439" s="43">
        <f>($F$22+B439)*$F$23/Main!$K$3</f>
        <v>285.89049243586504</v>
      </c>
    </row>
    <row r="440" spans="1:3" x14ac:dyDescent="0.2">
      <c r="A440" s="43">
        <f t="shared" si="7"/>
        <v>430</v>
      </c>
      <c r="B440" s="43">
        <v>10957.587946262303</v>
      </c>
      <c r="C440" s="43">
        <f>($F$22+B440)*$F$23/Main!$K$3</f>
        <v>332.90195636709819</v>
      </c>
    </row>
    <row r="441" spans="1:3" x14ac:dyDescent="0.2">
      <c r="A441" s="43">
        <f t="shared" si="7"/>
        <v>431</v>
      </c>
      <c r="B441" s="43">
        <v>8435.4797649814845</v>
      </c>
      <c r="C441" s="43">
        <f>($F$22+B441)*$F$23/Main!$K$3</f>
        <v>311.02934948437047</v>
      </c>
    </row>
    <row r="442" spans="1:3" x14ac:dyDescent="0.2">
      <c r="A442" s="43">
        <f t="shared" si="7"/>
        <v>432</v>
      </c>
      <c r="B442" s="43">
        <v>2768.7964204455698</v>
      </c>
      <c r="C442" s="43">
        <f>($F$22+B442)*$F$23/Main!$K$3</f>
        <v>261.88588369497256</v>
      </c>
    </row>
    <row r="443" spans="1:3" x14ac:dyDescent="0.2">
      <c r="A443" s="43">
        <f t="shared" si="7"/>
        <v>433</v>
      </c>
      <c r="B443" s="43">
        <v>10298.501193931303</v>
      </c>
      <c r="C443" s="43">
        <f>($F$22+B443)*$F$23/Main!$K$3</f>
        <v>327.18612484870999</v>
      </c>
    </row>
    <row r="444" spans="1:3" x14ac:dyDescent="0.2">
      <c r="A444" s="43">
        <f t="shared" si="7"/>
        <v>434</v>
      </c>
      <c r="B444" s="43">
        <v>1005.540647865632</v>
      </c>
      <c r="C444" s="43">
        <f>($F$22+B444)*$F$23/Main!$K$3</f>
        <v>246.59431109963865</v>
      </c>
    </row>
    <row r="445" spans="1:3" x14ac:dyDescent="0.2">
      <c r="A445" s="43">
        <f t="shared" si="7"/>
        <v>435</v>
      </c>
      <c r="B445" s="43">
        <v>12819.732861210037</v>
      </c>
      <c r="C445" s="43">
        <f>($F$22+B445)*$F$23/Main!$K$3</f>
        <v>349.05113029453776</v>
      </c>
    </row>
    <row r="446" spans="1:3" x14ac:dyDescent="0.2">
      <c r="A446" s="43">
        <f t="shared" si="7"/>
        <v>436</v>
      </c>
      <c r="B446" s="43">
        <v>4568.1761583404395</v>
      </c>
      <c r="C446" s="43">
        <f>($F$22+B446)*$F$23/Main!$K$3</f>
        <v>277.49073598950537</v>
      </c>
    </row>
    <row r="447" spans="1:3" x14ac:dyDescent="0.2">
      <c r="A447" s="43">
        <f t="shared" si="7"/>
        <v>437</v>
      </c>
      <c r="B447" s="43">
        <v>432.49116480808584</v>
      </c>
      <c r="C447" s="43">
        <f>($F$22+B447)*$F$23/Main!$K$3</f>
        <v>241.62462496155126</v>
      </c>
    </row>
    <row r="448" spans="1:3" x14ac:dyDescent="0.2">
      <c r="A448" s="43">
        <f t="shared" si="7"/>
        <v>438</v>
      </c>
      <c r="B448" s="43">
        <v>-695.58377889671965</v>
      </c>
      <c r="C448" s="43">
        <f>($F$22+B448)*$F$23/Main!$K$3</f>
        <v>231.84156333039633</v>
      </c>
    </row>
    <row r="449" spans="1:3" x14ac:dyDescent="0.2">
      <c r="A449" s="43">
        <f t="shared" si="7"/>
        <v>439</v>
      </c>
      <c r="B449" s="43">
        <v>5030.1731640530106</v>
      </c>
      <c r="C449" s="43">
        <f>($F$22+B449)*$F$23/Main!$K$3</f>
        <v>281.49733608776791</v>
      </c>
    </row>
    <row r="450" spans="1:3" x14ac:dyDescent="0.2">
      <c r="A450" s="43">
        <f t="shared" si="7"/>
        <v>440</v>
      </c>
      <c r="B450" s="43">
        <v>10882.100750885087</v>
      </c>
      <c r="C450" s="43">
        <f>($F$22+B450)*$F$23/Main!$K$3</f>
        <v>332.24730492850404</v>
      </c>
    </row>
    <row r="451" spans="1:3" x14ac:dyDescent="0.2">
      <c r="A451" s="43">
        <f t="shared" si="7"/>
        <v>441</v>
      </c>
      <c r="B451" s="43">
        <v>14731.031659744716</v>
      </c>
      <c r="C451" s="43">
        <f>($F$22+B451)*$F$23/Main!$K$3</f>
        <v>365.62658394321852</v>
      </c>
    </row>
    <row r="452" spans="1:3" x14ac:dyDescent="0.2">
      <c r="A452" s="43">
        <f t="shared" si="7"/>
        <v>442</v>
      </c>
      <c r="B452" s="43">
        <v>26700.502748280735</v>
      </c>
      <c r="C452" s="43">
        <f>($F$22+B452)*$F$23/Main!$K$3</f>
        <v>469.43003601432252</v>
      </c>
    </row>
    <row r="453" spans="1:3" x14ac:dyDescent="0.2">
      <c r="A453" s="43">
        <f t="shared" si="7"/>
        <v>443</v>
      </c>
      <c r="B453" s="43">
        <v>-6909.4572758482736</v>
      </c>
      <c r="C453" s="43">
        <f>($F$22+B453)*$F$23/Main!$K$3</f>
        <v>177.95267258947658</v>
      </c>
    </row>
    <row r="454" spans="1:3" x14ac:dyDescent="0.2">
      <c r="A454" s="43">
        <f t="shared" si="7"/>
        <v>444</v>
      </c>
      <c r="B454" s="43">
        <v>6648.2452794406918</v>
      </c>
      <c r="C454" s="43">
        <f>($F$22+B454)*$F$23/Main!$K$3</f>
        <v>295.5298250787061</v>
      </c>
    </row>
    <row r="455" spans="1:3" x14ac:dyDescent="0.2">
      <c r="A455" s="43">
        <f t="shared" si="7"/>
        <v>445</v>
      </c>
      <c r="B455" s="43">
        <v>3185.1589677913644</v>
      </c>
      <c r="C455" s="43">
        <f>($F$22+B455)*$F$23/Main!$K$3</f>
        <v>265.49672576208837</v>
      </c>
    </row>
    <row r="456" spans="1:3" x14ac:dyDescent="0.2">
      <c r="A456" s="43">
        <f t="shared" si="7"/>
        <v>446</v>
      </c>
      <c r="B456" s="43">
        <v>1374.9861266514854</v>
      </c>
      <c r="C456" s="43">
        <f>($F$22+B456)*$F$23/Main!$K$3</f>
        <v>249.79827189008353</v>
      </c>
    </row>
    <row r="457" spans="1:3" x14ac:dyDescent="0.2">
      <c r="A457" s="43">
        <f t="shared" si="7"/>
        <v>447</v>
      </c>
      <c r="B457" s="43">
        <v>12352.833160564833</v>
      </c>
      <c r="C457" s="43">
        <f>($F$22+B457)*$F$23/Main!$K$3</f>
        <v>345.0020123059947</v>
      </c>
    </row>
    <row r="458" spans="1:3" x14ac:dyDescent="0.2">
      <c r="A458" s="43">
        <f t="shared" si="7"/>
        <v>448</v>
      </c>
      <c r="B458" s="43">
        <v>3504.1362888096428</v>
      </c>
      <c r="C458" s="43">
        <f>($F$22+B458)*$F$23/Main!$K$3</f>
        <v>268.26300898456111</v>
      </c>
    </row>
    <row r="459" spans="1:3" x14ac:dyDescent="0.2">
      <c r="A459" s="43">
        <f t="shared" si="7"/>
        <v>449</v>
      </c>
      <c r="B459" s="43">
        <v>1672.3043223882421</v>
      </c>
      <c r="C459" s="43">
        <f>($F$22+B459)*$F$23/Main!$K$3</f>
        <v>252.3767195802732</v>
      </c>
    </row>
    <row r="460" spans="1:3" x14ac:dyDescent="0.2">
      <c r="A460" s="43">
        <f t="shared" si="7"/>
        <v>450</v>
      </c>
      <c r="B460" s="43">
        <v>2794.430825587257</v>
      </c>
      <c r="C460" s="43">
        <f>($F$22+B460)*$F$23/Main!$K$3</f>
        <v>262.10819424869828</v>
      </c>
    </row>
    <row r="461" spans="1:3" x14ac:dyDescent="0.2">
      <c r="A461" s="43">
        <f t="shared" si="7"/>
        <v>451</v>
      </c>
      <c r="B461" s="43">
        <v>4996.6810998260507</v>
      </c>
      <c r="C461" s="43">
        <f>($F$22+B461)*$F$23/Main!$K$3</f>
        <v>281.20688115805297</v>
      </c>
    </row>
    <row r="462" spans="1:3" x14ac:dyDescent="0.2">
      <c r="A462" s="43">
        <f t="shared" si="7"/>
        <v>452</v>
      </c>
      <c r="B462" s="43">
        <v>33660.513128302038</v>
      </c>
      <c r="C462" s="43">
        <f>($F$22+B462)*$F$23/Main!$K$3</f>
        <v>529.78968754386176</v>
      </c>
    </row>
    <row r="463" spans="1:3" x14ac:dyDescent="0.2">
      <c r="A463" s="43">
        <f t="shared" si="7"/>
        <v>453</v>
      </c>
      <c r="B463" s="43">
        <v>8756.7194082574897</v>
      </c>
      <c r="C463" s="43">
        <f>($F$22+B463)*$F$23/Main!$K$3</f>
        <v>313.81525235906616</v>
      </c>
    </row>
    <row r="464" spans="1:3" x14ac:dyDescent="0.2">
      <c r="A464" s="43">
        <f t="shared" si="7"/>
        <v>454</v>
      </c>
      <c r="B464" s="43">
        <v>-1443.2022071530764</v>
      </c>
      <c r="C464" s="43">
        <f>($F$22+B464)*$F$23/Main!$K$3</f>
        <v>225.35795406220475</v>
      </c>
    </row>
    <row r="465" spans="1:3" x14ac:dyDescent="0.2">
      <c r="A465" s="43">
        <f t="shared" si="7"/>
        <v>455</v>
      </c>
      <c r="B465" s="43">
        <v>674.27425390358951</v>
      </c>
      <c r="C465" s="43">
        <f>($F$22+B465)*$F$23/Main!$K$3</f>
        <v>243.72145272569253</v>
      </c>
    </row>
    <row r="466" spans="1:3" x14ac:dyDescent="0.2">
      <c r="A466" s="43">
        <f t="shared" si="7"/>
        <v>456</v>
      </c>
      <c r="B466" s="43">
        <v>24050.083287821115</v>
      </c>
      <c r="C466" s="43">
        <f>($F$22+B466)*$F$23/Main!$K$3</f>
        <v>446.44466870802239</v>
      </c>
    </row>
    <row r="467" spans="1:3" x14ac:dyDescent="0.2">
      <c r="A467" s="43">
        <f t="shared" si="7"/>
        <v>457</v>
      </c>
      <c r="B467" s="43">
        <v>16218.267330082284</v>
      </c>
      <c r="C467" s="43">
        <f>($F$22+B467)*$F$23/Main!$K$3</f>
        <v>378.52441338634088</v>
      </c>
    </row>
    <row r="468" spans="1:3" x14ac:dyDescent="0.2">
      <c r="A468" s="43">
        <f t="shared" ref="A468:A531" si="8">A467+1</f>
        <v>458</v>
      </c>
      <c r="B468" s="43">
        <v>4005.7672404748328</v>
      </c>
      <c r="C468" s="43">
        <f>($F$22+B468)*$F$23/Main!$K$3</f>
        <v>272.61332856538468</v>
      </c>
    </row>
    <row r="469" spans="1:3" x14ac:dyDescent="0.2">
      <c r="A469" s="43">
        <f t="shared" si="8"/>
        <v>459</v>
      </c>
      <c r="B469" s="43">
        <v>4882.9168536497991</v>
      </c>
      <c r="C469" s="43">
        <f>($F$22+B469)*$F$23/Main!$K$3</f>
        <v>280.2202777076572</v>
      </c>
    </row>
    <row r="470" spans="1:3" x14ac:dyDescent="0.2">
      <c r="A470" s="43">
        <f t="shared" si="8"/>
        <v>460</v>
      </c>
      <c r="B470" s="43">
        <v>3479.1835804822717</v>
      </c>
      <c r="C470" s="43">
        <f>($F$22+B470)*$F$23/Main!$K$3</f>
        <v>268.04661034474276</v>
      </c>
    </row>
    <row r="471" spans="1:3" x14ac:dyDescent="0.2">
      <c r="A471" s="43">
        <f t="shared" si="8"/>
        <v>461</v>
      </c>
      <c r="B471" s="43">
        <v>22993.219046685343</v>
      </c>
      <c r="C471" s="43">
        <f>($F$22+B471)*$F$23/Main!$K$3</f>
        <v>437.27917126967066</v>
      </c>
    </row>
    <row r="472" spans="1:3" x14ac:dyDescent="0.2">
      <c r="A472" s="43">
        <f t="shared" si="8"/>
        <v>462</v>
      </c>
      <c r="B472" s="43">
        <v>6006.7137609347837</v>
      </c>
      <c r="C472" s="43">
        <f>($F$22+B472)*$F$23/Main!$K$3</f>
        <v>289.96623870627974</v>
      </c>
    </row>
    <row r="473" spans="1:3" x14ac:dyDescent="0.2">
      <c r="A473" s="43">
        <f t="shared" si="8"/>
        <v>463</v>
      </c>
      <c r="B473" s="43">
        <v>10378.1497738701</v>
      </c>
      <c r="C473" s="43">
        <f>($F$22+B473)*$F$23/Main!$K$3</f>
        <v>327.87686527400137</v>
      </c>
    </row>
    <row r="474" spans="1:3" x14ac:dyDescent="0.2">
      <c r="A474" s="43">
        <f t="shared" si="8"/>
        <v>464</v>
      </c>
      <c r="B474" s="43">
        <v>5254.972258459371</v>
      </c>
      <c r="C474" s="43">
        <f>($F$22+B474)*$F$23/Main!$K$3</f>
        <v>283.44687269212022</v>
      </c>
    </row>
    <row r="475" spans="1:3" x14ac:dyDescent="0.2">
      <c r="A475" s="43">
        <f t="shared" si="8"/>
        <v>465</v>
      </c>
      <c r="B475" s="43">
        <v>9314.4713753822671</v>
      </c>
      <c r="C475" s="43">
        <f>($F$22+B475)*$F$23/Main!$K$3</f>
        <v>318.65227307274267</v>
      </c>
    </row>
    <row r="476" spans="1:3" x14ac:dyDescent="0.2">
      <c r="A476" s="43">
        <f t="shared" si="8"/>
        <v>466</v>
      </c>
      <c r="B476" s="43">
        <v>-101.45561092289421</v>
      </c>
      <c r="C476" s="43">
        <f>($F$22+B476)*$F$23/Main!$K$3</f>
        <v>236.99405121830571</v>
      </c>
    </row>
    <row r="477" spans="1:3" x14ac:dyDescent="0.2">
      <c r="A477" s="43">
        <f t="shared" si="8"/>
        <v>467</v>
      </c>
      <c r="B477" s="43">
        <v>-335.93704020527372</v>
      </c>
      <c r="C477" s="43">
        <f>($F$22+B477)*$F$23/Main!$K$3</f>
        <v>234.96054600942563</v>
      </c>
    </row>
    <row r="478" spans="1:3" x14ac:dyDescent="0.2">
      <c r="A478" s="43">
        <f t="shared" si="8"/>
        <v>468</v>
      </c>
      <c r="B478" s="43">
        <v>1034.5657564537091</v>
      </c>
      <c r="C478" s="43">
        <f>($F$22+B478)*$F$23/Main!$K$3</f>
        <v>246.84602702308212</v>
      </c>
    </row>
    <row r="479" spans="1:3" x14ac:dyDescent="0.2">
      <c r="A479" s="43">
        <f t="shared" si="8"/>
        <v>469</v>
      </c>
      <c r="B479" s="43">
        <v>1030.0821287662632</v>
      </c>
      <c r="C479" s="43">
        <f>($F$22+B479)*$F$23/Main!$K$3</f>
        <v>246.80714343095713</v>
      </c>
    </row>
    <row r="480" spans="1:3" x14ac:dyDescent="0.2">
      <c r="A480" s="43">
        <f t="shared" si="8"/>
        <v>470</v>
      </c>
      <c r="B480" s="43">
        <v>13228.502970995789</v>
      </c>
      <c r="C480" s="43">
        <f>($F$22+B480)*$F$23/Main!$K$3</f>
        <v>352.59612807976862</v>
      </c>
    </row>
    <row r="481" spans="1:3" x14ac:dyDescent="0.2">
      <c r="A481" s="43">
        <f t="shared" si="8"/>
        <v>471</v>
      </c>
      <c r="B481" s="43">
        <v>8985.5069444103228</v>
      </c>
      <c r="C481" s="43">
        <f>($F$22+B481)*$F$23/Main!$K$3</f>
        <v>315.79937812935623</v>
      </c>
    </row>
    <row r="482" spans="1:3" x14ac:dyDescent="0.2">
      <c r="A482" s="43">
        <f t="shared" si="8"/>
        <v>472</v>
      </c>
      <c r="B482" s="43">
        <v>5083.3661722612378</v>
      </c>
      <c r="C482" s="43">
        <f>($F$22+B482)*$F$23/Main!$K$3</f>
        <v>281.95864451461637</v>
      </c>
    </row>
    <row r="483" spans="1:3" x14ac:dyDescent="0.2">
      <c r="A483" s="43">
        <f t="shared" si="8"/>
        <v>473</v>
      </c>
      <c r="B483" s="43">
        <v>-3.8816850893678554</v>
      </c>
      <c r="C483" s="43">
        <f>($F$22+B483)*$F$23/Main!$K$3</f>
        <v>237.84024653125908</v>
      </c>
    </row>
    <row r="484" spans="1:3" x14ac:dyDescent="0.2">
      <c r="A484" s="43">
        <f t="shared" si="8"/>
        <v>474</v>
      </c>
      <c r="B484" s="43">
        <v>24487.797426070978</v>
      </c>
      <c r="C484" s="43">
        <f>($F$22+B484)*$F$23/Main!$K$3</f>
        <v>450.24067926141942</v>
      </c>
    </row>
    <row r="485" spans="1:3" x14ac:dyDescent="0.2">
      <c r="A485" s="43">
        <f t="shared" si="8"/>
        <v>475</v>
      </c>
      <c r="B485" s="43">
        <v>183.79940468226766</v>
      </c>
      <c r="C485" s="43">
        <f>($F$22+B485)*$F$23/Main!$K$3</f>
        <v>239.46788277873051</v>
      </c>
    </row>
    <row r="486" spans="1:3" x14ac:dyDescent="0.2">
      <c r="A486" s="43">
        <f t="shared" si="8"/>
        <v>476</v>
      </c>
      <c r="B486" s="43">
        <v>1277.7380287254639</v>
      </c>
      <c r="C486" s="43">
        <f>($F$22+B486)*$F$23/Main!$K$3</f>
        <v>248.95490227104179</v>
      </c>
    </row>
    <row r="487" spans="1:3" x14ac:dyDescent="0.2">
      <c r="A487" s="43">
        <f t="shared" si="8"/>
        <v>477</v>
      </c>
      <c r="B487" s="43">
        <v>15422.425579224137</v>
      </c>
      <c r="C487" s="43">
        <f>($F$22+B487)*$F$23/Main!$K$3</f>
        <v>371.62259454820446</v>
      </c>
    </row>
    <row r="488" spans="1:3" x14ac:dyDescent="0.2">
      <c r="A488" s="43">
        <f t="shared" si="8"/>
        <v>478</v>
      </c>
      <c r="B488" s="43">
        <v>4671.9071434154521</v>
      </c>
      <c r="C488" s="43">
        <f>($F$22+B488)*$F$23/Main!$K$3</f>
        <v>278.39032748004632</v>
      </c>
    </row>
    <row r="489" spans="1:3" x14ac:dyDescent="0.2">
      <c r="A489" s="43">
        <f t="shared" si="8"/>
        <v>479</v>
      </c>
      <c r="B489" s="43">
        <v>8756.6586379027012</v>
      </c>
      <c r="C489" s="43">
        <f>($F$22+B489)*$F$23/Main!$K$3</f>
        <v>313.81472533723172</v>
      </c>
    </row>
    <row r="490" spans="1:3" x14ac:dyDescent="0.2">
      <c r="A490" s="43">
        <f t="shared" si="8"/>
        <v>480</v>
      </c>
      <c r="B490" s="43">
        <v>2751.3293976573727</v>
      </c>
      <c r="C490" s="43">
        <f>($F$22+B490)*$F$23/Main!$K$3</f>
        <v>261.7344035460664</v>
      </c>
    </row>
    <row r="491" spans="1:3" x14ac:dyDescent="0.2">
      <c r="A491" s="43">
        <f t="shared" si="8"/>
        <v>481</v>
      </c>
      <c r="B491" s="43">
        <v>-194.085315757167</v>
      </c>
      <c r="C491" s="43">
        <f>($F$22+B491)*$F$23/Main!$K$3</f>
        <v>236.19073392424966</v>
      </c>
    </row>
    <row r="492" spans="1:3" x14ac:dyDescent="0.2">
      <c r="A492" s="43">
        <f t="shared" si="8"/>
        <v>482</v>
      </c>
      <c r="B492" s="43">
        <v>-562.03014928192738</v>
      </c>
      <c r="C492" s="43">
        <f>($F$22+B492)*$F$23/Main!$K$3</f>
        <v>232.99978725592288</v>
      </c>
    </row>
    <row r="493" spans="1:3" x14ac:dyDescent="0.2">
      <c r="A493" s="43">
        <f t="shared" si="8"/>
        <v>483</v>
      </c>
      <c r="B493" s="43">
        <v>6200.1265276321492</v>
      </c>
      <c r="C493" s="43">
        <f>($F$22+B493)*$F$23/Main!$K$3</f>
        <v>291.64358206667589</v>
      </c>
    </row>
    <row r="494" spans="1:3" x14ac:dyDescent="0.2">
      <c r="A494" s="43">
        <f t="shared" si="8"/>
        <v>484</v>
      </c>
      <c r="B494" s="43">
        <v>21485.025318853521</v>
      </c>
      <c r="C494" s="43">
        <f>($F$22+B494)*$F$23/Main!$K$3</f>
        <v>424.19958620004519</v>
      </c>
    </row>
    <row r="495" spans="1:3" x14ac:dyDescent="0.2">
      <c r="A495" s="43">
        <f t="shared" si="8"/>
        <v>485</v>
      </c>
      <c r="B495" s="43">
        <v>1159.2254353580943</v>
      </c>
      <c r="C495" s="43">
        <f>($F$22+B495)*$F$23/Main!$K$3</f>
        <v>247.92711948812379</v>
      </c>
    </row>
    <row r="496" spans="1:3" x14ac:dyDescent="0.2">
      <c r="A496" s="43">
        <f t="shared" si="8"/>
        <v>486</v>
      </c>
      <c r="B496" s="43">
        <v>9443.2763816907973</v>
      </c>
      <c r="C496" s="43">
        <f>($F$22+B496)*$F$23/Main!$K$3</f>
        <v>319.76931527117961</v>
      </c>
    </row>
    <row r="497" spans="1:3" x14ac:dyDescent="0.2">
      <c r="A497" s="43">
        <f t="shared" si="8"/>
        <v>487</v>
      </c>
      <c r="B497" s="43">
        <v>810.9929422169871</v>
      </c>
      <c r="C497" s="43">
        <f>($F$22+B497)*$F$23/Main!$K$3</f>
        <v>244.90712515052979</v>
      </c>
    </row>
    <row r="498" spans="1:3" x14ac:dyDescent="0.2">
      <c r="A498" s="43">
        <f t="shared" si="8"/>
        <v>488</v>
      </c>
      <c r="B498" s="43">
        <v>5003.8436975507848</v>
      </c>
      <c r="C498" s="43">
        <f>($F$22+B498)*$F$23/Main!$K$3</f>
        <v>281.26899771810184</v>
      </c>
    </row>
    <row r="499" spans="1:3" x14ac:dyDescent="0.2">
      <c r="A499" s="43">
        <f t="shared" si="8"/>
        <v>489</v>
      </c>
      <c r="B499" s="43">
        <v>7415.8648842320026</v>
      </c>
      <c r="C499" s="43">
        <f>($F$22+B499)*$F$23/Main!$K$3</f>
        <v>302.18689156605586</v>
      </c>
    </row>
    <row r="500" spans="1:3" x14ac:dyDescent="0.2">
      <c r="A500" s="43">
        <f t="shared" si="8"/>
        <v>490</v>
      </c>
      <c r="B500" s="43">
        <v>20718.067380891251</v>
      </c>
      <c r="C500" s="43">
        <f>($F$22+B500)*$F$23/Main!$K$3</f>
        <v>417.54825791954414</v>
      </c>
    </row>
    <row r="501" spans="1:3" x14ac:dyDescent="0.2">
      <c r="A501" s="43">
        <f t="shared" si="8"/>
        <v>491</v>
      </c>
      <c r="B501" s="43">
        <v>79.18423041987667</v>
      </c>
      <c r="C501" s="43">
        <f>($F$22+B501)*$F$23/Main!$K$3</f>
        <v>238.56062328939041</v>
      </c>
    </row>
    <row r="502" spans="1:3" x14ac:dyDescent="0.2">
      <c r="A502" s="43">
        <f t="shared" si="8"/>
        <v>492</v>
      </c>
      <c r="B502" s="43">
        <v>8366.5518532378956</v>
      </c>
      <c r="C502" s="43">
        <f>($F$22+B502)*$F$23/Main!$K$3</f>
        <v>310.43158245438951</v>
      </c>
    </row>
    <row r="503" spans="1:3" x14ac:dyDescent="0.2">
      <c r="A503" s="43">
        <f t="shared" si="8"/>
        <v>493</v>
      </c>
      <c r="B503" s="43">
        <v>-114.09865246784248</v>
      </c>
      <c r="C503" s="43">
        <f>($F$22+B503)*$F$23/Main!$K$3</f>
        <v>236.88440632695369</v>
      </c>
    </row>
    <row r="504" spans="1:3" x14ac:dyDescent="0.2">
      <c r="A504" s="43">
        <f t="shared" si="8"/>
        <v>494</v>
      </c>
      <c r="B504" s="43">
        <v>779.37274729459443</v>
      </c>
      <c r="C504" s="43">
        <f>($F$22+B504)*$F$23/Main!$K$3</f>
        <v>244.63290372806031</v>
      </c>
    </row>
    <row r="505" spans="1:3" x14ac:dyDescent="0.2">
      <c r="A505" s="43">
        <f t="shared" si="8"/>
        <v>495</v>
      </c>
      <c r="B505" s="43">
        <v>10220.181786285326</v>
      </c>
      <c r="C505" s="43">
        <f>($F$22+B505)*$F$23/Main!$K$3</f>
        <v>326.50691147180459</v>
      </c>
    </row>
    <row r="506" spans="1:3" x14ac:dyDescent="0.2">
      <c r="A506" s="43">
        <f t="shared" si="8"/>
        <v>496</v>
      </c>
      <c r="B506" s="43">
        <v>2471.1726028178218</v>
      </c>
      <c r="C506" s="43">
        <f>($F$22+B506)*$F$23/Main!$K$3</f>
        <v>259.30478554453464</v>
      </c>
    </row>
    <row r="507" spans="1:3" x14ac:dyDescent="0.2">
      <c r="A507" s="43">
        <f t="shared" si="8"/>
        <v>497</v>
      </c>
      <c r="B507" s="43">
        <v>16660.152750786965</v>
      </c>
      <c r="C507" s="43">
        <f>($F$22+B507)*$F$23/Main!$K$3</f>
        <v>382.35659876443748</v>
      </c>
    </row>
    <row r="508" spans="1:3" x14ac:dyDescent="0.2">
      <c r="A508" s="43">
        <f t="shared" si="8"/>
        <v>498</v>
      </c>
      <c r="B508" s="43">
        <v>1162.3971149388415</v>
      </c>
      <c r="C508" s="43">
        <f>($F$22+B508)*$F$23/Main!$K$3</f>
        <v>247.95462540604697</v>
      </c>
    </row>
    <row r="509" spans="1:3" x14ac:dyDescent="0.2">
      <c r="A509" s="43">
        <f t="shared" si="8"/>
        <v>499</v>
      </c>
      <c r="B509" s="43">
        <v>46564.693346533633</v>
      </c>
      <c r="C509" s="43">
        <f>($F$22+B509)*$F$23/Main!$K$3</f>
        <v>641.69926507590674</v>
      </c>
    </row>
    <row r="510" spans="1:3" x14ac:dyDescent="0.2">
      <c r="A510" s="43">
        <f t="shared" si="8"/>
        <v>500</v>
      </c>
      <c r="B510" s="43">
        <v>2319.5474819836177</v>
      </c>
      <c r="C510" s="43">
        <f>($F$22+B510)*$F$23/Main!$K$3</f>
        <v>257.98983930782384</v>
      </c>
    </row>
    <row r="511" spans="1:3" x14ac:dyDescent="0.2">
      <c r="A511" s="43">
        <f t="shared" si="8"/>
        <v>501</v>
      </c>
      <c r="B511" s="43">
        <v>-1365.1164086217386</v>
      </c>
      <c r="C511" s="43">
        <f>($F$22+B511)*$F$23/Main!$K$3</f>
        <v>226.0351414989199</v>
      </c>
    </row>
    <row r="512" spans="1:3" x14ac:dyDescent="0.2">
      <c r="A512" s="43">
        <f t="shared" si="8"/>
        <v>502</v>
      </c>
      <c r="B512" s="43">
        <v>7419.7049825184104</v>
      </c>
      <c r="C512" s="43">
        <f>($F$22+B512)*$F$23/Main!$K$3</f>
        <v>302.22019424547022</v>
      </c>
    </row>
    <row r="513" spans="1:3" x14ac:dyDescent="0.2">
      <c r="A513" s="43">
        <f t="shared" si="8"/>
        <v>503</v>
      </c>
      <c r="B513" s="43">
        <v>10886.647740802639</v>
      </c>
      <c r="C513" s="43">
        <f>($F$22+B513)*$F$23/Main!$K$3</f>
        <v>332.28673802011548</v>
      </c>
    </row>
    <row r="514" spans="1:3" x14ac:dyDescent="0.2">
      <c r="A514" s="43">
        <f t="shared" si="8"/>
        <v>504</v>
      </c>
      <c r="B514" s="43">
        <v>1967.5380002113723</v>
      </c>
      <c r="C514" s="43">
        <f>($F$22+B514)*$F$23/Main!$K$3</f>
        <v>254.93708959988422</v>
      </c>
    </row>
    <row r="515" spans="1:3" x14ac:dyDescent="0.2">
      <c r="A515" s="43">
        <f t="shared" si="8"/>
        <v>505</v>
      </c>
      <c r="B515" s="43">
        <v>-1451.753470331661</v>
      </c>
      <c r="C515" s="43">
        <f>($F$22+B515)*$F$23/Main!$K$3</f>
        <v>225.28379450820779</v>
      </c>
    </row>
    <row r="516" spans="1:3" x14ac:dyDescent="0.2">
      <c r="A516" s="43">
        <f t="shared" si="8"/>
        <v>506</v>
      </c>
      <c r="B516" s="43">
        <v>10261.185886701356</v>
      </c>
      <c r="C516" s="43">
        <f>($F$22+B516)*$F$23/Main!$K$3</f>
        <v>326.86251341451117</v>
      </c>
    </row>
    <row r="517" spans="1:3" x14ac:dyDescent="0.2">
      <c r="A517" s="43">
        <f t="shared" si="8"/>
        <v>507</v>
      </c>
      <c r="B517" s="43">
        <v>162.37145025564109</v>
      </c>
      <c r="C517" s="43">
        <f>($F$22+B517)*$F$23/Main!$K$3</f>
        <v>239.28205204119385</v>
      </c>
    </row>
    <row r="518" spans="1:3" x14ac:dyDescent="0.2">
      <c r="A518" s="43">
        <f t="shared" si="8"/>
        <v>508</v>
      </c>
      <c r="B518" s="43">
        <v>325.56782038437774</v>
      </c>
      <c r="C518" s="43">
        <f>($F$22+B518)*$F$23/Main!$K$3</f>
        <v>240.69734821088522</v>
      </c>
    </row>
    <row r="519" spans="1:3" x14ac:dyDescent="0.2">
      <c r="A519" s="43">
        <f t="shared" si="8"/>
        <v>509</v>
      </c>
      <c r="B519" s="43">
        <v>-1414.2581592147189</v>
      </c>
      <c r="C519" s="43">
        <f>($F$22+B519)*$F$23/Main!$K$3</f>
        <v>225.60896699925846</v>
      </c>
    </row>
    <row r="520" spans="1:3" x14ac:dyDescent="0.2">
      <c r="A520" s="43">
        <f t="shared" si="8"/>
        <v>510</v>
      </c>
      <c r="B520" s="43">
        <v>8573.5923994122531</v>
      </c>
      <c r="C520" s="43">
        <f>($F$22+B520)*$F$23/Main!$K$3</f>
        <v>312.22711069892239</v>
      </c>
    </row>
    <row r="521" spans="1:3" x14ac:dyDescent="0.2">
      <c r="A521" s="43">
        <f t="shared" si="8"/>
        <v>511</v>
      </c>
      <c r="B521" s="43">
        <v>2041.0967015371216</v>
      </c>
      <c r="C521" s="43">
        <f>($F$22+B521)*$F$23/Main!$K$3</f>
        <v>255.57501646156433</v>
      </c>
    </row>
    <row r="522" spans="1:3" x14ac:dyDescent="0.2">
      <c r="A522" s="43">
        <f t="shared" si="8"/>
        <v>512</v>
      </c>
      <c r="B522" s="43">
        <v>2959.0565572352625</v>
      </c>
      <c r="C522" s="43">
        <f>($F$22+B522)*$F$23/Main!$K$3</f>
        <v>263.53588634289292</v>
      </c>
    </row>
    <row r="523" spans="1:3" x14ac:dyDescent="0.2">
      <c r="A523" s="43">
        <f t="shared" si="8"/>
        <v>513</v>
      </c>
      <c r="B523" s="43">
        <v>4363.2675052751165</v>
      </c>
      <c r="C523" s="43">
        <f>($F$22+B523)*$F$23/Main!$K$3</f>
        <v>275.71369626986461</v>
      </c>
    </row>
    <row r="524" spans="1:3" x14ac:dyDescent="0.2">
      <c r="A524" s="43">
        <f t="shared" si="8"/>
        <v>514</v>
      </c>
      <c r="B524" s="43">
        <v>3928.9062722261615</v>
      </c>
      <c r="C524" s="43">
        <f>($F$22+B524)*$F$23/Main!$K$3</f>
        <v>271.94676328654117</v>
      </c>
    </row>
    <row r="525" spans="1:3" x14ac:dyDescent="0.2">
      <c r="A525" s="43">
        <f t="shared" si="8"/>
        <v>515</v>
      </c>
      <c r="B525" s="43">
        <v>993.79931721873504</v>
      </c>
      <c r="C525" s="43">
        <f>($F$22+B525)*$F$23/Main!$K$3</f>
        <v>246.49248616150717</v>
      </c>
    </row>
    <row r="526" spans="1:3" x14ac:dyDescent="0.2">
      <c r="A526" s="43">
        <f t="shared" si="8"/>
        <v>516</v>
      </c>
      <c r="B526" s="43">
        <v>10887.68925666563</v>
      </c>
      <c r="C526" s="43">
        <f>($F$22+B526)*$F$23/Main!$K$3</f>
        <v>332.29577041103448</v>
      </c>
    </row>
    <row r="527" spans="1:3" x14ac:dyDescent="0.2">
      <c r="A527" s="43">
        <f t="shared" si="8"/>
        <v>517</v>
      </c>
      <c r="B527" s="43">
        <v>27605.1471740456</v>
      </c>
      <c r="C527" s="43">
        <f>($F$22+B527)*$F$23/Main!$K$3</f>
        <v>477.27542981632729</v>
      </c>
    </row>
    <row r="528" spans="1:3" x14ac:dyDescent="0.2">
      <c r="A528" s="43">
        <f t="shared" si="8"/>
        <v>518</v>
      </c>
      <c r="B528" s="43">
        <v>10469.238887507594</v>
      </c>
      <c r="C528" s="43">
        <f>($F$22+B528)*$F$23/Main!$K$3</f>
        <v>328.66682202077226</v>
      </c>
    </row>
    <row r="529" spans="1:3" x14ac:dyDescent="0.2">
      <c r="A529" s="43">
        <f t="shared" si="8"/>
        <v>519</v>
      </c>
      <c r="B529" s="43">
        <v>4563.9851304384965</v>
      </c>
      <c r="C529" s="43">
        <f>($F$22+B529)*$F$23/Main!$K$3</f>
        <v>277.45438992536191</v>
      </c>
    </row>
    <row r="530" spans="1:3" x14ac:dyDescent="0.2">
      <c r="A530" s="43">
        <f t="shared" si="8"/>
        <v>520</v>
      </c>
      <c r="B530" s="43">
        <v>5994.9438695081726</v>
      </c>
      <c r="C530" s="43">
        <f>($F$22+B530)*$F$23/Main!$K$3</f>
        <v>289.86416607904772</v>
      </c>
    </row>
    <row r="531" spans="1:3" x14ac:dyDescent="0.2">
      <c r="A531" s="43">
        <f t="shared" si="8"/>
        <v>521</v>
      </c>
      <c r="B531" s="43">
        <v>1517.7736274801255</v>
      </c>
      <c r="C531" s="43">
        <f>($F$22+B531)*$F$23/Main!$K$3</f>
        <v>251.03657518594213</v>
      </c>
    </row>
    <row r="532" spans="1:3" x14ac:dyDescent="0.2">
      <c r="A532" s="43">
        <f t="shared" ref="A532:A595" si="9">A531+1</f>
        <v>522</v>
      </c>
      <c r="B532" s="43">
        <v>11502.695566244887</v>
      </c>
      <c r="C532" s="43">
        <f>($F$22+B532)*$F$23/Main!$K$3</f>
        <v>337.62932086682537</v>
      </c>
    </row>
    <row r="533" spans="1:3" x14ac:dyDescent="0.2">
      <c r="A533" s="43">
        <f t="shared" si="9"/>
        <v>523</v>
      </c>
      <c r="B533" s="43">
        <v>10066.750912337264</v>
      </c>
      <c r="C533" s="43">
        <f>($F$22+B533)*$F$23/Main!$K$3</f>
        <v>325.17630511064721</v>
      </c>
    </row>
    <row r="534" spans="1:3" x14ac:dyDescent="0.2">
      <c r="A534" s="43">
        <f t="shared" si="9"/>
        <v>524</v>
      </c>
      <c r="B534" s="43">
        <v>2525.0099434841986</v>
      </c>
      <c r="C534" s="43">
        <f>($F$22+B534)*$F$23/Main!$K$3</f>
        <v>259.77168184848659</v>
      </c>
    </row>
    <row r="535" spans="1:3" x14ac:dyDescent="0.2">
      <c r="A535" s="43">
        <f t="shared" si="9"/>
        <v>525</v>
      </c>
      <c r="B535" s="43">
        <v>7647.7085101936582</v>
      </c>
      <c r="C535" s="43">
        <f>($F$22+B535)*$F$23/Main!$K$3</f>
        <v>304.19752081921905</v>
      </c>
    </row>
    <row r="536" spans="1:3" x14ac:dyDescent="0.2">
      <c r="A536" s="43">
        <f t="shared" si="9"/>
        <v>526</v>
      </c>
      <c r="B536" s="43">
        <v>459.09255904405171</v>
      </c>
      <c r="C536" s="43">
        <f>($F$22+B536)*$F$23/Main!$K$3</f>
        <v>241.8553215839143</v>
      </c>
    </row>
    <row r="537" spans="1:3" x14ac:dyDescent="0.2">
      <c r="A537" s="43">
        <f t="shared" si="9"/>
        <v>527</v>
      </c>
      <c r="B537" s="43">
        <v>2606.286706111146</v>
      </c>
      <c r="C537" s="43">
        <f>($F$22+B537)*$F$23/Main!$K$3</f>
        <v>260.47654244520265</v>
      </c>
    </row>
    <row r="538" spans="1:3" x14ac:dyDescent="0.2">
      <c r="A538" s="43">
        <f t="shared" si="9"/>
        <v>528</v>
      </c>
      <c r="B538" s="43">
        <v>2566.958387784151</v>
      </c>
      <c r="C538" s="43">
        <f>($F$22+B538)*$F$23/Main!$K$3</f>
        <v>260.13547347262261</v>
      </c>
    </row>
    <row r="539" spans="1:3" x14ac:dyDescent="0.2">
      <c r="A539" s="43">
        <f t="shared" si="9"/>
        <v>529</v>
      </c>
      <c r="B539" s="43">
        <v>-3632.1573179594398</v>
      </c>
      <c r="C539" s="43">
        <f>($F$22+B539)*$F$23/Main!$K$3</f>
        <v>206.37456747396928</v>
      </c>
    </row>
    <row r="540" spans="1:3" x14ac:dyDescent="0.2">
      <c r="A540" s="43">
        <f t="shared" si="9"/>
        <v>530</v>
      </c>
      <c r="B540" s="43">
        <v>26949.41940643395</v>
      </c>
      <c r="C540" s="43">
        <f>($F$22+B540)*$F$23/Main!$K$3</f>
        <v>471.58872859172931</v>
      </c>
    </row>
    <row r="541" spans="1:3" x14ac:dyDescent="0.2">
      <c r="A541" s="43">
        <f t="shared" si="9"/>
        <v>531</v>
      </c>
      <c r="B541" s="43">
        <v>2610.3600210455784</v>
      </c>
      <c r="C541" s="43">
        <f>($F$22+B541)*$F$23/Main!$K$3</f>
        <v>260.51186766119918</v>
      </c>
    </row>
    <row r="542" spans="1:3" x14ac:dyDescent="0.2">
      <c r="A542" s="43">
        <f t="shared" si="9"/>
        <v>532</v>
      </c>
      <c r="B542" s="43">
        <v>4859.4178126513561</v>
      </c>
      <c r="C542" s="43">
        <f>($F$22+B542)*$F$23/Main!$K$3</f>
        <v>280.01648578084979</v>
      </c>
    </row>
    <row r="543" spans="1:3" x14ac:dyDescent="0.2">
      <c r="A543" s="43">
        <f t="shared" si="9"/>
        <v>533</v>
      </c>
      <c r="B543" s="43">
        <v>37265.12957494166</v>
      </c>
      <c r="C543" s="43">
        <f>($F$22+B543)*$F$23/Main!$K$3</f>
        <v>561.05018583871447</v>
      </c>
    </row>
    <row r="544" spans="1:3" x14ac:dyDescent="0.2">
      <c r="A544" s="43">
        <f t="shared" si="9"/>
        <v>534</v>
      </c>
      <c r="B544" s="43">
        <v>18951.54677798432</v>
      </c>
      <c r="C544" s="43">
        <f>($F$22+B544)*$F$23/Main!$K$3</f>
        <v>402.22837157033899</v>
      </c>
    </row>
    <row r="545" spans="1:3" x14ac:dyDescent="0.2">
      <c r="A545" s="43">
        <f t="shared" si="9"/>
        <v>535</v>
      </c>
      <c r="B545" s="43">
        <v>7296.9343682357439</v>
      </c>
      <c r="C545" s="43">
        <f>($F$22+B545)*$F$23/Main!$K$3</f>
        <v>301.15548441149633</v>
      </c>
    </row>
    <row r="546" spans="1:3" x14ac:dyDescent="0.2">
      <c r="A546" s="43">
        <f t="shared" si="9"/>
        <v>536</v>
      </c>
      <c r="B546" s="43">
        <v>690.58465358613887</v>
      </c>
      <c r="C546" s="43">
        <f>($F$22+B546)*$F$23/Main!$K$3</f>
        <v>243.86290223329269</v>
      </c>
    </row>
    <row r="547" spans="1:3" x14ac:dyDescent="0.2">
      <c r="A547" s="43">
        <f t="shared" si="9"/>
        <v>537</v>
      </c>
      <c r="B547" s="43">
        <v>13324.68916128005</v>
      </c>
      <c r="C547" s="43">
        <f>($F$22+B547)*$F$23/Main!$K$3</f>
        <v>353.43028846323261</v>
      </c>
    </row>
    <row r="548" spans="1:3" x14ac:dyDescent="0.2">
      <c r="A548" s="43">
        <f t="shared" si="9"/>
        <v>538</v>
      </c>
      <c r="B548" s="43">
        <v>265.04204745932839</v>
      </c>
      <c r="C548" s="43">
        <f>($F$22+B548)*$F$23/Main!$K$3</f>
        <v>240.17244747613935</v>
      </c>
    </row>
    <row r="549" spans="1:3" x14ac:dyDescent="0.2">
      <c r="A549" s="43">
        <f t="shared" si="9"/>
        <v>539</v>
      </c>
      <c r="B549" s="43">
        <v>840.39315128559974</v>
      </c>
      <c r="C549" s="43">
        <f>($F$22+B549)*$F$23/Main!$K$3</f>
        <v>245.16209407692261</v>
      </c>
    </row>
    <row r="550" spans="1:3" x14ac:dyDescent="0.2">
      <c r="A550" s="43">
        <f t="shared" si="9"/>
        <v>540</v>
      </c>
      <c r="B550" s="43">
        <v>-7358.4083608858818</v>
      </c>
      <c r="C550" s="43">
        <f>($F$22+B550)*$F$23/Main!$K$3</f>
        <v>174.05921129170829</v>
      </c>
    </row>
    <row r="551" spans="1:3" x14ac:dyDescent="0.2">
      <c r="A551" s="43">
        <f t="shared" si="9"/>
        <v>541</v>
      </c>
      <c r="B551" s="43">
        <v>7379.7875798738423</v>
      </c>
      <c r="C551" s="43">
        <f>($F$22+B551)*$F$23/Main!$K$3</f>
        <v>301.87401652704227</v>
      </c>
    </row>
    <row r="552" spans="1:3" x14ac:dyDescent="0.2">
      <c r="A552" s="43">
        <f t="shared" si="9"/>
        <v>542</v>
      </c>
      <c r="B552" s="43">
        <v>-7643.9020308213003</v>
      </c>
      <c r="C552" s="43">
        <f>($F$22+B552)*$F$23/Main!$K$3</f>
        <v>171.58331003721358</v>
      </c>
    </row>
    <row r="553" spans="1:3" x14ac:dyDescent="0.2">
      <c r="A553" s="43">
        <f t="shared" si="9"/>
        <v>543</v>
      </c>
      <c r="B553" s="43">
        <v>220.59152202787965</v>
      </c>
      <c r="C553" s="43">
        <f>($F$22+B553)*$F$23/Main!$K$3</f>
        <v>239.7869569267217</v>
      </c>
    </row>
    <row r="554" spans="1:3" x14ac:dyDescent="0.2">
      <c r="A554" s="43">
        <f t="shared" si="9"/>
        <v>544</v>
      </c>
      <c r="B554" s="43">
        <v>6182.0052412385485</v>
      </c>
      <c r="C554" s="43">
        <f>($F$22+B554)*$F$23/Main!$K$3</f>
        <v>291.48642791427341</v>
      </c>
    </row>
    <row r="555" spans="1:3" x14ac:dyDescent="0.2">
      <c r="A555" s="43">
        <f t="shared" si="9"/>
        <v>545</v>
      </c>
      <c r="B555" s="43">
        <v>7973.1586435639583</v>
      </c>
      <c r="C555" s="43">
        <f>($F$22+B555)*$F$23/Main!$K$3</f>
        <v>307.01993854101755</v>
      </c>
    </row>
    <row r="556" spans="1:3" x14ac:dyDescent="0.2">
      <c r="A556" s="43">
        <f t="shared" si="9"/>
        <v>546</v>
      </c>
      <c r="B556" s="43">
        <v>-966.88397189310842</v>
      </c>
      <c r="C556" s="43">
        <f>($F$22+B556)*$F$23/Main!$K$3</f>
        <v>229.48875288687097</v>
      </c>
    </row>
    <row r="557" spans="1:3" x14ac:dyDescent="0.2">
      <c r="A557" s="43">
        <f t="shared" si="9"/>
        <v>547</v>
      </c>
      <c r="B557" s="43">
        <v>10024.497064644787</v>
      </c>
      <c r="C557" s="43">
        <f>($F$22+B557)*$F$23/Main!$K$3</f>
        <v>324.80986492115829</v>
      </c>
    </row>
    <row r="558" spans="1:3" x14ac:dyDescent="0.2">
      <c r="A558" s="43">
        <f t="shared" si="9"/>
        <v>548</v>
      </c>
      <c r="B558" s="43">
        <v>-110.25010728190495</v>
      </c>
      <c r="C558" s="43">
        <f>($F$22+B558)*$F$23/Main!$K$3</f>
        <v>236.91778226084392</v>
      </c>
    </row>
    <row r="559" spans="1:3" x14ac:dyDescent="0.2">
      <c r="A559" s="43">
        <f t="shared" si="9"/>
        <v>549</v>
      </c>
      <c r="B559" s="43">
        <v>24066.962586859001</v>
      </c>
      <c r="C559" s="43">
        <f>($F$22+B559)*$F$23/Main!$K$3</f>
        <v>446.5910519103972</v>
      </c>
    </row>
    <row r="560" spans="1:3" x14ac:dyDescent="0.2">
      <c r="A560" s="43">
        <f t="shared" si="9"/>
        <v>550</v>
      </c>
      <c r="B560" s="43">
        <v>91.595714030266564</v>
      </c>
      <c r="C560" s="43">
        <f>($F$22+B560)*$F$23/Main!$K$3</f>
        <v>238.66826002910537</v>
      </c>
    </row>
    <row r="561" spans="1:3" x14ac:dyDescent="0.2">
      <c r="A561" s="43">
        <f t="shared" si="9"/>
        <v>551</v>
      </c>
      <c r="B561" s="43">
        <v>-412.76189960700202</v>
      </c>
      <c r="C561" s="43">
        <f>($F$22+B561)*$F$23/Main!$K$3</f>
        <v>234.29429387916949</v>
      </c>
    </row>
    <row r="562" spans="1:3" x14ac:dyDescent="0.2">
      <c r="A562" s="43">
        <f t="shared" si="9"/>
        <v>552</v>
      </c>
      <c r="B562" s="43">
        <v>1965.4939692593452</v>
      </c>
      <c r="C562" s="43">
        <f>($F$22+B562)*$F$23/Main!$K$3</f>
        <v>254.91936304643917</v>
      </c>
    </row>
    <row r="563" spans="1:3" x14ac:dyDescent="0.2">
      <c r="A563" s="43">
        <f t="shared" si="9"/>
        <v>553</v>
      </c>
      <c r="B563" s="43">
        <v>17589.587384411036</v>
      </c>
      <c r="C563" s="43">
        <f>($F$22+B563)*$F$23/Main!$K$3</f>
        <v>390.41698194519677</v>
      </c>
    </row>
    <row r="564" spans="1:3" x14ac:dyDescent="0.2">
      <c r="A564" s="43">
        <f t="shared" si="9"/>
        <v>554</v>
      </c>
      <c r="B564" s="43">
        <v>10114.136444667558</v>
      </c>
      <c r="C564" s="43">
        <f>($F$22+B564)*$F$23/Main!$K$3</f>
        <v>325.58724906946776</v>
      </c>
    </row>
    <row r="565" spans="1:3" x14ac:dyDescent="0.2">
      <c r="A565" s="43">
        <f t="shared" si="9"/>
        <v>555</v>
      </c>
      <c r="B565" s="43">
        <v>5805.2628653234988</v>
      </c>
      <c r="C565" s="43">
        <f>($F$22+B565)*$F$23/Main!$K$3</f>
        <v>288.21918587223303</v>
      </c>
    </row>
    <row r="566" spans="1:3" x14ac:dyDescent="0.2">
      <c r="A566" s="43">
        <f t="shared" si="9"/>
        <v>556</v>
      </c>
      <c r="B566" s="43">
        <v>18885.671592892515</v>
      </c>
      <c r="C566" s="43">
        <f>($F$22+B566)*$F$23/Main!$K$3</f>
        <v>401.65707885675363</v>
      </c>
    </row>
    <row r="567" spans="1:3" x14ac:dyDescent="0.2">
      <c r="A567" s="43">
        <f t="shared" si="9"/>
        <v>557</v>
      </c>
      <c r="B567" s="43">
        <v>4177.8388645461191</v>
      </c>
      <c r="C567" s="43">
        <f>($F$22+B567)*$F$23/Main!$K$3</f>
        <v>274.1055940506314</v>
      </c>
    </row>
    <row r="568" spans="1:3" x14ac:dyDescent="0.2">
      <c r="A568" s="43">
        <f t="shared" si="9"/>
        <v>558</v>
      </c>
      <c r="B568" s="43">
        <v>21205.860104649826</v>
      </c>
      <c r="C568" s="43">
        <f>($F$22+B568)*$F$23/Main!$K$3</f>
        <v>421.77856753362579</v>
      </c>
    </row>
    <row r="569" spans="1:3" x14ac:dyDescent="0.2">
      <c r="A569" s="43">
        <f t="shared" si="9"/>
        <v>559</v>
      </c>
      <c r="B569" s="43">
        <v>15638.801371032676</v>
      </c>
      <c r="C569" s="43">
        <f>($F$22+B569)*$F$23/Main!$K$3</f>
        <v>373.49908131760372</v>
      </c>
    </row>
    <row r="570" spans="1:3" x14ac:dyDescent="0.2">
      <c r="A570" s="43">
        <f t="shared" si="9"/>
        <v>560</v>
      </c>
      <c r="B570" s="43">
        <v>-2488.1668983468248</v>
      </c>
      <c r="C570" s="43">
        <f>($F$22+B570)*$F$23/Main!$K$3</f>
        <v>216.2956536952139</v>
      </c>
    </row>
    <row r="571" spans="1:3" x14ac:dyDescent="0.2">
      <c r="A571" s="43">
        <f t="shared" si="9"/>
        <v>561</v>
      </c>
      <c r="B571" s="43">
        <v>3072.3403189365285</v>
      </c>
      <c r="C571" s="43">
        <f>($F$22+B571)*$F$23/Main!$K$3</f>
        <v>264.51832286337157</v>
      </c>
    </row>
    <row r="572" spans="1:3" x14ac:dyDescent="0.2">
      <c r="A572" s="43">
        <f t="shared" si="9"/>
        <v>562</v>
      </c>
      <c r="B572" s="43">
        <v>8852.571141668328</v>
      </c>
      <c r="C572" s="43">
        <f>($F$22+B572)*$F$23/Main!$K$3</f>
        <v>314.64651221519915</v>
      </c>
    </row>
    <row r="573" spans="1:3" x14ac:dyDescent="0.2">
      <c r="A573" s="43">
        <f t="shared" si="9"/>
        <v>563</v>
      </c>
      <c r="B573" s="43">
        <v>1728.7185508215844</v>
      </c>
      <c r="C573" s="43">
        <f>($F$22+B573)*$F$23/Main!$K$3</f>
        <v>252.86596355889122</v>
      </c>
    </row>
    <row r="574" spans="1:3" x14ac:dyDescent="0.2">
      <c r="A574" s="43">
        <f t="shared" si="9"/>
        <v>564</v>
      </c>
      <c r="B574" s="43">
        <v>4040.6608436572269</v>
      </c>
      <c r="C574" s="43">
        <f>($F$22+B574)*$F$23/Main!$K$3</f>
        <v>272.91593813256935</v>
      </c>
    </row>
    <row r="575" spans="1:3" x14ac:dyDescent="0.2">
      <c r="A575" s="43">
        <f t="shared" si="9"/>
        <v>565</v>
      </c>
      <c r="B575" s="43">
        <v>4068.7510692869064</v>
      </c>
      <c r="C575" s="43">
        <f>($F$22+B575)*$F$23/Main!$K$3</f>
        <v>273.15954642304848</v>
      </c>
    </row>
    <row r="576" spans="1:3" x14ac:dyDescent="0.2">
      <c r="A576" s="43">
        <f t="shared" si="9"/>
        <v>566</v>
      </c>
      <c r="B576" s="43">
        <v>12831.917331006196</v>
      </c>
      <c r="C576" s="43">
        <f>($F$22+B576)*$F$23/Main!$K$3</f>
        <v>349.15679829082109</v>
      </c>
    </row>
    <row r="577" spans="1:3" x14ac:dyDescent="0.2">
      <c r="A577" s="43">
        <f t="shared" si="9"/>
        <v>567</v>
      </c>
      <c r="B577" s="43">
        <v>7787.6733944876214</v>
      </c>
      <c r="C577" s="43">
        <f>($F$22+B577)*$F$23/Main!$K$3</f>
        <v>305.41134539433841</v>
      </c>
    </row>
    <row r="578" spans="1:3" x14ac:dyDescent="0.2">
      <c r="A578" s="43">
        <f t="shared" si="9"/>
        <v>568</v>
      </c>
      <c r="B578" s="43">
        <v>6652.6234637447742</v>
      </c>
      <c r="C578" s="43">
        <f>($F$22+B578)*$F$23/Main!$K$3</f>
        <v>295.56779422882198</v>
      </c>
    </row>
    <row r="579" spans="1:3" x14ac:dyDescent="0.2">
      <c r="A579" s="43">
        <f t="shared" si="9"/>
        <v>569</v>
      </c>
      <c r="B579" s="43">
        <v>656.92177711993304</v>
      </c>
      <c r="C579" s="43">
        <f>($F$22+B579)*$F$23/Main!$K$3</f>
        <v>243.5709659599195</v>
      </c>
    </row>
    <row r="580" spans="1:3" x14ac:dyDescent="0.2">
      <c r="A580" s="43">
        <f t="shared" si="9"/>
        <v>570</v>
      </c>
      <c r="B580" s="43">
        <v>13742.957854479588</v>
      </c>
      <c r="C580" s="43">
        <f>($F$22+B580)*$F$23/Main!$K$3</f>
        <v>357.0576612958522</v>
      </c>
    </row>
    <row r="581" spans="1:3" x14ac:dyDescent="0.2">
      <c r="A581" s="43">
        <f t="shared" si="9"/>
        <v>571</v>
      </c>
      <c r="B581" s="43">
        <v>1321.9993622391705</v>
      </c>
      <c r="C581" s="43">
        <f>($F$22+B581)*$F$23/Main!$K$3</f>
        <v>249.33875208178185</v>
      </c>
    </row>
    <row r="582" spans="1:3" x14ac:dyDescent="0.2">
      <c r="A582" s="43">
        <f t="shared" si="9"/>
        <v>572</v>
      </c>
      <c r="B582" s="43">
        <v>22168.368260680822</v>
      </c>
      <c r="C582" s="43">
        <f>($F$22+B582)*$F$23/Main!$K$3</f>
        <v>430.12577590261566</v>
      </c>
    </row>
    <row r="583" spans="1:3" x14ac:dyDescent="0.2">
      <c r="A583" s="43">
        <f t="shared" si="9"/>
        <v>573</v>
      </c>
      <c r="B583" s="43">
        <v>7049.060039553784</v>
      </c>
      <c r="C583" s="43">
        <f>($F$22+B583)*$F$23/Main!$K$3</f>
        <v>299.00583128090494</v>
      </c>
    </row>
    <row r="584" spans="1:3" x14ac:dyDescent="0.2">
      <c r="A584" s="43">
        <f t="shared" si="9"/>
        <v>574</v>
      </c>
      <c r="B584" s="43">
        <v>7103.3347271631455</v>
      </c>
      <c r="C584" s="43">
        <f>($F$22+B584)*$F$23/Main!$K$3</f>
        <v>299.47652041096416</v>
      </c>
    </row>
    <row r="585" spans="1:3" x14ac:dyDescent="0.2">
      <c r="A585" s="43">
        <f t="shared" si="9"/>
        <v>575</v>
      </c>
      <c r="B585" s="43">
        <v>5420.2004962439141</v>
      </c>
      <c r="C585" s="43">
        <f>($F$22+B585)*$F$23/Main!$K$3</f>
        <v>284.87978993088512</v>
      </c>
    </row>
    <row r="586" spans="1:3" x14ac:dyDescent="0.2">
      <c r="A586" s="43">
        <f t="shared" si="9"/>
        <v>576</v>
      </c>
      <c r="B586" s="43">
        <v>1255.7321712271669</v>
      </c>
      <c r="C586" s="43">
        <f>($F$22+B586)*$F$23/Main!$K$3</f>
        <v>248.76405975534399</v>
      </c>
    </row>
    <row r="587" spans="1:3" x14ac:dyDescent="0.2">
      <c r="A587" s="43">
        <f t="shared" si="9"/>
        <v>577</v>
      </c>
      <c r="B587" s="43">
        <v>-1706.2354529493273</v>
      </c>
      <c r="C587" s="43">
        <f>($F$22+B587)*$F$23/Main!$K$3</f>
        <v>223.07683748477561</v>
      </c>
    </row>
    <row r="588" spans="1:3" x14ac:dyDescent="0.2">
      <c r="A588" s="43">
        <f t="shared" si="9"/>
        <v>578</v>
      </c>
      <c r="B588" s="43">
        <v>3229.5914614645844</v>
      </c>
      <c r="C588" s="43">
        <f>($F$22+B588)*$F$23/Main!$K$3</f>
        <v>265.88205993377323</v>
      </c>
    </row>
    <row r="589" spans="1:3" x14ac:dyDescent="0.2">
      <c r="A589" s="43">
        <f t="shared" si="9"/>
        <v>579</v>
      </c>
      <c r="B589" s="43">
        <v>2163.1050367515886</v>
      </c>
      <c r="C589" s="43">
        <f>($F$22+B589)*$F$23/Main!$K$3</f>
        <v>256.63311554405766</v>
      </c>
    </row>
    <row r="590" spans="1:3" x14ac:dyDescent="0.2">
      <c r="A590" s="43">
        <f t="shared" si="9"/>
        <v>580</v>
      </c>
      <c r="B590" s="43">
        <v>9356.5297972460958</v>
      </c>
      <c r="C590" s="43">
        <f>($F$22+B590)*$F$23/Main!$K$3</f>
        <v>319.01701846089185</v>
      </c>
    </row>
    <row r="591" spans="1:3" x14ac:dyDescent="0.2">
      <c r="A591" s="43">
        <f t="shared" si="9"/>
        <v>581</v>
      </c>
      <c r="B591" s="43">
        <v>4404.4078996563885</v>
      </c>
      <c r="C591" s="43">
        <f>($F$22+B591)*$F$23/Main!$K$3</f>
        <v>276.07048020164859</v>
      </c>
    </row>
    <row r="592" spans="1:3" x14ac:dyDescent="0.2">
      <c r="A592" s="43">
        <f t="shared" si="9"/>
        <v>582</v>
      </c>
      <c r="B592" s="43">
        <v>-1037.3950077910322</v>
      </c>
      <c r="C592" s="43">
        <f>($F$22+B592)*$F$23/Main!$K$3</f>
        <v>228.87725644887681</v>
      </c>
    </row>
    <row r="593" spans="1:3" x14ac:dyDescent="0.2">
      <c r="A593" s="43">
        <f t="shared" si="9"/>
        <v>583</v>
      </c>
      <c r="B593" s="43">
        <v>1603.3612491688571</v>
      </c>
      <c r="C593" s="43">
        <f>($F$22+B593)*$F$23/Main!$K$3</f>
        <v>251.77882106465563</v>
      </c>
    </row>
    <row r="594" spans="1:3" x14ac:dyDescent="0.2">
      <c r="A594" s="43">
        <f t="shared" si="9"/>
        <v>584</v>
      </c>
      <c r="B594" s="43">
        <v>2821.521258971999</v>
      </c>
      <c r="C594" s="43">
        <f>($F$22+B594)*$F$23/Main!$K$3</f>
        <v>262.34313199011041</v>
      </c>
    </row>
    <row r="595" spans="1:3" x14ac:dyDescent="0.2">
      <c r="A595" s="43">
        <f t="shared" si="9"/>
        <v>585</v>
      </c>
      <c r="B595" s="43">
        <v>19.787751413916922</v>
      </c>
      <c r="C595" s="43">
        <f>($F$22+B595)*$F$23/Main!$K$3</f>
        <v>238.04551618765785</v>
      </c>
    </row>
    <row r="596" spans="1:3" x14ac:dyDescent="0.2">
      <c r="A596" s="43">
        <f t="shared" ref="A596:A659" si="10">A595+1</f>
        <v>586</v>
      </c>
      <c r="B596" s="43">
        <v>7217.5856815239003</v>
      </c>
      <c r="C596" s="43">
        <f>($F$22+B596)*$F$23/Main!$K$3</f>
        <v>300.46734476546919</v>
      </c>
    </row>
    <row r="597" spans="1:3" x14ac:dyDescent="0.2">
      <c r="A597" s="43">
        <f t="shared" si="10"/>
        <v>587</v>
      </c>
      <c r="B597" s="43">
        <v>14755.463804786776</v>
      </c>
      <c r="C597" s="43">
        <f>($F$22+B597)*$F$23/Main!$K$3</f>
        <v>365.83846807561741</v>
      </c>
    </row>
    <row r="598" spans="1:3" x14ac:dyDescent="0.2">
      <c r="A598" s="43">
        <f t="shared" si="10"/>
        <v>588</v>
      </c>
      <c r="B598" s="43">
        <v>18406.142619656734</v>
      </c>
      <c r="C598" s="43">
        <f>($F$22+B598)*$F$23/Main!$K$3</f>
        <v>397.49843538606086</v>
      </c>
    </row>
    <row r="599" spans="1:3" x14ac:dyDescent="0.2">
      <c r="A599" s="43">
        <f t="shared" si="10"/>
        <v>589</v>
      </c>
      <c r="B599" s="43">
        <v>27832.344088394628</v>
      </c>
      <c r="C599" s="43">
        <f>($F$22+B599)*$F$23/Main!$K$3</f>
        <v>479.24576115635779</v>
      </c>
    </row>
    <row r="600" spans="1:3" x14ac:dyDescent="0.2">
      <c r="A600" s="43">
        <f t="shared" si="10"/>
        <v>590</v>
      </c>
      <c r="B600" s="43">
        <v>2201.0695312776929</v>
      </c>
      <c r="C600" s="43">
        <f>($F$22+B600)*$F$23/Main!$K$3</f>
        <v>256.96235695821821</v>
      </c>
    </row>
    <row r="601" spans="1:3" x14ac:dyDescent="0.2">
      <c r="A601" s="43">
        <f t="shared" si="10"/>
        <v>591</v>
      </c>
      <c r="B601" s="43">
        <v>-421.72737945409301</v>
      </c>
      <c r="C601" s="43">
        <f>($F$22+B601)*$F$23/Main!$K$3</f>
        <v>234.21654209291944</v>
      </c>
    </row>
    <row r="602" spans="1:3" x14ac:dyDescent="0.2">
      <c r="A602" s="43">
        <f t="shared" si="10"/>
        <v>592</v>
      </c>
      <c r="B602" s="43">
        <v>6102.5202821073535</v>
      </c>
      <c r="C602" s="43">
        <f>($F$22+B602)*$F$23/Main!$K$3</f>
        <v>290.79710646602234</v>
      </c>
    </row>
    <row r="603" spans="1:3" x14ac:dyDescent="0.2">
      <c r="A603" s="43">
        <f t="shared" si="10"/>
        <v>593</v>
      </c>
      <c r="B603" s="43">
        <v>3093.1728598771911</v>
      </c>
      <c r="C603" s="43">
        <f>($F$22+B603)*$F$23/Main!$K$3</f>
        <v>264.69898996629189</v>
      </c>
    </row>
    <row r="604" spans="1:3" x14ac:dyDescent="0.2">
      <c r="A604" s="43">
        <f t="shared" si="10"/>
        <v>594</v>
      </c>
      <c r="B604" s="43">
        <v>3963.4324026403378</v>
      </c>
      <c r="C604" s="43">
        <f>($F$22+B604)*$F$23/Main!$K$3</f>
        <v>272.24618600097347</v>
      </c>
    </row>
    <row r="605" spans="1:3" x14ac:dyDescent="0.2">
      <c r="A605" s="43">
        <f t="shared" si="10"/>
        <v>595</v>
      </c>
      <c r="B605" s="43">
        <v>24594.148068692168</v>
      </c>
      <c r="C605" s="43">
        <f>($F$22+B605)*$F$23/Main!$K$3</f>
        <v>451.16298934115503</v>
      </c>
    </row>
    <row r="606" spans="1:3" x14ac:dyDescent="0.2">
      <c r="A606" s="43">
        <f t="shared" si="10"/>
        <v>596</v>
      </c>
      <c r="B606" s="43">
        <v>3297.9329254625195</v>
      </c>
      <c r="C606" s="43">
        <f>($F$22+B606)*$F$23/Main!$K$3</f>
        <v>266.47474108318283</v>
      </c>
    </row>
    <row r="607" spans="1:3" x14ac:dyDescent="0.2">
      <c r="A607" s="43">
        <f t="shared" si="10"/>
        <v>597</v>
      </c>
      <c r="B607" s="43">
        <v>13261.605573688243</v>
      </c>
      <c r="C607" s="43">
        <f>($F$22+B607)*$F$23/Main!$K$3</f>
        <v>352.88320546243636</v>
      </c>
    </row>
    <row r="608" spans="1:3" x14ac:dyDescent="0.2">
      <c r="A608" s="43">
        <f t="shared" si="10"/>
        <v>598</v>
      </c>
      <c r="B608" s="43">
        <v>6536.6791375965759</v>
      </c>
      <c r="C608" s="43">
        <f>($F$22+B608)*$F$23/Main!$K$3</f>
        <v>294.56228436015545</v>
      </c>
    </row>
    <row r="609" spans="1:3" x14ac:dyDescent="0.2">
      <c r="A609" s="43">
        <f t="shared" si="10"/>
        <v>599</v>
      </c>
      <c r="B609" s="43">
        <v>7369.9451948861624</v>
      </c>
      <c r="C609" s="43">
        <f>($F$22+B609)*$F$23/Main!$K$3</f>
        <v>301.78865991180203</v>
      </c>
    </row>
    <row r="610" spans="1:3" x14ac:dyDescent="0.2">
      <c r="A610" s="43">
        <f t="shared" si="10"/>
        <v>600</v>
      </c>
      <c r="B610" s="43">
        <v>933.95693954571198</v>
      </c>
      <c r="C610" s="43">
        <f>($F$22+B610)*$F$23/Main!$K$3</f>
        <v>245.97351207011627</v>
      </c>
    </row>
    <row r="611" spans="1:3" x14ac:dyDescent="0.2">
      <c r="A611" s="43">
        <f t="shared" si="10"/>
        <v>601</v>
      </c>
      <c r="B611" s="43">
        <v>6550.4286118268392</v>
      </c>
      <c r="C611" s="43">
        <f>($F$22+B611)*$F$23/Main!$K$3</f>
        <v>294.68152462388196</v>
      </c>
    </row>
    <row r="612" spans="1:3" x14ac:dyDescent="0.2">
      <c r="A612" s="43">
        <f t="shared" si="10"/>
        <v>602</v>
      </c>
      <c r="B612" s="43">
        <v>16367.365980618997</v>
      </c>
      <c r="C612" s="43">
        <f>($F$22+B612)*$F$23/Main!$K$3</f>
        <v>379.8174491863669</v>
      </c>
    </row>
    <row r="613" spans="1:3" x14ac:dyDescent="0.2">
      <c r="A613" s="43">
        <f t="shared" si="10"/>
        <v>603</v>
      </c>
      <c r="B613" s="43">
        <v>1440.7521034718748</v>
      </c>
      <c r="C613" s="43">
        <f>($F$22+B613)*$F$23/Main!$K$3</f>
        <v>250.3686175112299</v>
      </c>
    </row>
    <row r="614" spans="1:3" x14ac:dyDescent="0.2">
      <c r="A614" s="43">
        <f t="shared" si="10"/>
        <v>604</v>
      </c>
      <c r="B614" s="43">
        <v>10445.551841343417</v>
      </c>
      <c r="C614" s="43">
        <f>($F$22+B614)*$F$23/Main!$K$3</f>
        <v>328.46139964721704</v>
      </c>
    </row>
    <row r="615" spans="1:3" x14ac:dyDescent="0.2">
      <c r="A615" s="43">
        <f t="shared" si="10"/>
        <v>605</v>
      </c>
      <c r="B615" s="43">
        <v>2699.8949374374915</v>
      </c>
      <c r="C615" s="43">
        <f>($F$22+B615)*$F$23/Main!$K$3</f>
        <v>261.28834586425694</v>
      </c>
    </row>
    <row r="616" spans="1:3" x14ac:dyDescent="0.2">
      <c r="A616" s="43">
        <f t="shared" si="10"/>
        <v>606</v>
      </c>
      <c r="B616" s="43">
        <v>1079.4786945075987</v>
      </c>
      <c r="C616" s="43">
        <f>($F$22+B616)*$F$23/Main!$K$3</f>
        <v>247.23552777697211</v>
      </c>
    </row>
    <row r="617" spans="1:3" x14ac:dyDescent="0.2">
      <c r="A617" s="43">
        <f t="shared" si="10"/>
        <v>607</v>
      </c>
      <c r="B617" s="43">
        <v>15.372292608167015</v>
      </c>
      <c r="C617" s="43">
        <f>($F$22+B617)*$F$23/Main!$K$3</f>
        <v>238.00722377998804</v>
      </c>
    </row>
    <row r="618" spans="1:3" x14ac:dyDescent="0.2">
      <c r="A618" s="43">
        <f t="shared" si="10"/>
        <v>608</v>
      </c>
      <c r="B618" s="43">
        <v>-324.43886687458348</v>
      </c>
      <c r="C618" s="43">
        <f>($F$22+B618)*$F$23/Main!$K$3</f>
        <v>235.06026220201335</v>
      </c>
    </row>
    <row r="619" spans="1:3" x14ac:dyDescent="0.2">
      <c r="A619" s="43">
        <f t="shared" si="10"/>
        <v>609</v>
      </c>
      <c r="B619" s="43">
        <v>5714.1353719128683</v>
      </c>
      <c r="C619" s="43">
        <f>($F$22+B619)*$F$23/Main!$K$3</f>
        <v>287.4288962826061</v>
      </c>
    </row>
    <row r="620" spans="1:3" x14ac:dyDescent="0.2">
      <c r="A620" s="43">
        <f t="shared" si="10"/>
        <v>610</v>
      </c>
      <c r="B620" s="43">
        <v>16943.968197622849</v>
      </c>
      <c r="C620" s="43">
        <f>($F$22+B620)*$F$23/Main!$K$3</f>
        <v>384.81794587950634</v>
      </c>
    </row>
    <row r="621" spans="1:3" x14ac:dyDescent="0.2">
      <c r="A621" s="43">
        <f t="shared" si="10"/>
        <v>611</v>
      </c>
      <c r="B621" s="43">
        <v>16660.22084099707</v>
      </c>
      <c r="C621" s="43">
        <f>($F$22+B621)*$F$23/Main!$K$3</f>
        <v>382.35718926662503</v>
      </c>
    </row>
    <row r="622" spans="1:3" x14ac:dyDescent="0.2">
      <c r="A622" s="43">
        <f t="shared" si="10"/>
        <v>612</v>
      </c>
      <c r="B622" s="43">
        <v>4844.6424062634496</v>
      </c>
      <c r="C622" s="43">
        <f>($F$22+B622)*$F$23/Main!$K$3</f>
        <v>279.88834827356368</v>
      </c>
    </row>
    <row r="623" spans="1:3" x14ac:dyDescent="0.2">
      <c r="A623" s="43">
        <f t="shared" si="10"/>
        <v>613</v>
      </c>
      <c r="B623" s="43">
        <v>2857.989464752226</v>
      </c>
      <c r="C623" s="43">
        <f>($F$22+B623)*$F$23/Main!$K$3</f>
        <v>262.65939706338105</v>
      </c>
    </row>
    <row r="624" spans="1:3" x14ac:dyDescent="0.2">
      <c r="A624" s="43">
        <f t="shared" si="10"/>
        <v>614</v>
      </c>
      <c r="B624" s="43">
        <v>5123.3566364432454</v>
      </c>
      <c r="C624" s="43">
        <f>($F$22+B624)*$F$23/Main!$K$3</f>
        <v>282.30545584832629</v>
      </c>
    </row>
    <row r="625" spans="1:3" x14ac:dyDescent="0.2">
      <c r="A625" s="43">
        <f t="shared" si="10"/>
        <v>615</v>
      </c>
      <c r="B625" s="43">
        <v>7919.2535205582772</v>
      </c>
      <c r="C625" s="43">
        <f>($F$22+B625)*$F$23/Main!$K$3</f>
        <v>306.55245440484157</v>
      </c>
    </row>
    <row r="626" spans="1:3" x14ac:dyDescent="0.2">
      <c r="A626" s="43">
        <f t="shared" si="10"/>
        <v>616</v>
      </c>
      <c r="B626" s="43">
        <v>8380.4091114555995</v>
      </c>
      <c r="C626" s="43">
        <f>($F$22+B626)*$F$23/Main!$K$3</f>
        <v>310.55175745866489</v>
      </c>
    </row>
    <row r="627" spans="1:3" x14ac:dyDescent="0.2">
      <c r="A627" s="43">
        <f t="shared" si="10"/>
        <v>617</v>
      </c>
      <c r="B627" s="43">
        <v>21862.007458775104</v>
      </c>
      <c r="C627" s="43">
        <f>($F$22+B627)*$F$23/Main!$K$3</f>
        <v>427.46890755965745</v>
      </c>
    </row>
    <row r="628" spans="1:3" x14ac:dyDescent="0.2">
      <c r="A628" s="43">
        <f t="shared" si="10"/>
        <v>618</v>
      </c>
      <c r="B628" s="43">
        <v>24868.006672265954</v>
      </c>
      <c r="C628" s="43">
        <f>($F$22+B628)*$F$23/Main!$K$3</f>
        <v>453.53798721867673</v>
      </c>
    </row>
    <row r="629" spans="1:3" x14ac:dyDescent="0.2">
      <c r="A629" s="43">
        <f t="shared" si="10"/>
        <v>619</v>
      </c>
      <c r="B629" s="43">
        <v>-797.1691598387896</v>
      </c>
      <c r="C629" s="43">
        <f>($F$22+B629)*$F$23/Main!$K$3</f>
        <v>230.96057927155644</v>
      </c>
    </row>
    <row r="630" spans="1:3" x14ac:dyDescent="0.2">
      <c r="A630" s="43">
        <f t="shared" si="10"/>
        <v>620</v>
      </c>
      <c r="B630" s="43">
        <v>22993.753148679505</v>
      </c>
      <c r="C630" s="43">
        <f>($F$22+B630)*$F$23/Main!$K$3</f>
        <v>437.28380318952264</v>
      </c>
    </row>
    <row r="631" spans="1:3" x14ac:dyDescent="0.2">
      <c r="A631" s="43">
        <f t="shared" si="10"/>
        <v>621</v>
      </c>
      <c r="B631" s="43">
        <v>12224.310063166131</v>
      </c>
      <c r="C631" s="43">
        <f>($F$22+B631)*$F$23/Main!$K$3</f>
        <v>343.88741492051503</v>
      </c>
    </row>
    <row r="632" spans="1:3" x14ac:dyDescent="0.2">
      <c r="A632" s="43">
        <f t="shared" si="10"/>
        <v>622</v>
      </c>
      <c r="B632" s="43">
        <v>-852.78095487754558</v>
      </c>
      <c r="C632" s="43">
        <f>($F$22+B632)*$F$23/Main!$K$3</f>
        <v>230.47829427682325</v>
      </c>
    </row>
    <row r="633" spans="1:3" x14ac:dyDescent="0.2">
      <c r="A633" s="43">
        <f t="shared" si="10"/>
        <v>623</v>
      </c>
      <c r="B633" s="43">
        <v>7233.2513682268291</v>
      </c>
      <c r="C633" s="43">
        <f>($F$22+B633)*$F$23/Main!$K$3</f>
        <v>300.60320309595011</v>
      </c>
    </row>
    <row r="634" spans="1:3" x14ac:dyDescent="0.2">
      <c r="A634" s="43">
        <f t="shared" si="10"/>
        <v>624</v>
      </c>
      <c r="B634" s="43">
        <v>-631.66240152359137</v>
      </c>
      <c r="C634" s="43">
        <f>($F$22+B634)*$F$23/Main!$K$3</f>
        <v>232.39591193806581</v>
      </c>
    </row>
    <row r="635" spans="1:3" x14ac:dyDescent="0.2">
      <c r="A635" s="43">
        <f t="shared" si="10"/>
        <v>625</v>
      </c>
      <c r="B635" s="43">
        <v>-286.42294083739154</v>
      </c>
      <c r="C635" s="43">
        <f>($F$22+B635)*$F$23/Main!$K$3</f>
        <v>235.3899496482799</v>
      </c>
    </row>
    <row r="636" spans="1:3" x14ac:dyDescent="0.2">
      <c r="A636" s="43">
        <f t="shared" si="10"/>
        <v>626</v>
      </c>
      <c r="B636" s="43">
        <v>-5026.3402969235303</v>
      </c>
      <c r="C636" s="43">
        <f>($F$22+B636)*$F$23/Main!$K$3</f>
        <v>194.28372361255109</v>
      </c>
    </row>
    <row r="637" spans="1:3" x14ac:dyDescent="0.2">
      <c r="A637" s="43">
        <f t="shared" si="10"/>
        <v>627</v>
      </c>
      <c r="B637" s="43">
        <v>199.74386589569116</v>
      </c>
      <c r="C637" s="43">
        <f>($F$22+B637)*$F$23/Main!$K$3</f>
        <v>239.60615873955828</v>
      </c>
    </row>
    <row r="638" spans="1:3" x14ac:dyDescent="0.2">
      <c r="A638" s="43">
        <f t="shared" si="10"/>
        <v>628</v>
      </c>
      <c r="B638" s="43">
        <v>5066.844220392557</v>
      </c>
      <c r="C638" s="43">
        <f>($F$22+B638)*$F$23/Main!$K$3</f>
        <v>281.8153603522473</v>
      </c>
    </row>
    <row r="639" spans="1:3" x14ac:dyDescent="0.2">
      <c r="A639" s="43">
        <f t="shared" si="10"/>
        <v>629</v>
      </c>
      <c r="B639" s="43">
        <v>5897.0163258893626</v>
      </c>
      <c r="C639" s="43">
        <f>($F$22+B639)*$F$23/Main!$K$3</f>
        <v>289.01490406861421</v>
      </c>
    </row>
    <row r="640" spans="1:3" x14ac:dyDescent="0.2">
      <c r="A640" s="43">
        <f t="shared" si="10"/>
        <v>630</v>
      </c>
      <c r="B640" s="43">
        <v>932.93657228156599</v>
      </c>
      <c r="C640" s="43">
        <f>($F$22+B640)*$F$23/Main!$K$3</f>
        <v>245.96466308726522</v>
      </c>
    </row>
    <row r="641" spans="1:3" x14ac:dyDescent="0.2">
      <c r="A641" s="43">
        <f t="shared" si="10"/>
        <v>631</v>
      </c>
      <c r="B641" s="43">
        <v>16548.883114946479</v>
      </c>
      <c r="C641" s="43">
        <f>($F$22+B641)*$F$23/Main!$K$3</f>
        <v>381.39162944996218</v>
      </c>
    </row>
    <row r="642" spans="1:3" x14ac:dyDescent="0.2">
      <c r="A642" s="43">
        <f t="shared" si="10"/>
        <v>632</v>
      </c>
      <c r="B642" s="43">
        <v>-3845.5222497424866</v>
      </c>
      <c r="C642" s="43">
        <f>($F$22+B642)*$F$23/Main!$K$3</f>
        <v>204.52419193889583</v>
      </c>
    </row>
    <row r="643" spans="1:3" x14ac:dyDescent="0.2">
      <c r="A643" s="43">
        <f t="shared" si="10"/>
        <v>633</v>
      </c>
      <c r="B643" s="43">
        <v>21961.626088370202</v>
      </c>
      <c r="C643" s="43">
        <f>($F$22+B643)*$F$23/Main!$K$3</f>
        <v>428.33283526089627</v>
      </c>
    </row>
    <row r="644" spans="1:3" x14ac:dyDescent="0.2">
      <c r="A644" s="43">
        <f t="shared" si="10"/>
        <v>634</v>
      </c>
      <c r="B644" s="43">
        <v>15308.815859015893</v>
      </c>
      <c r="C644" s="43">
        <f>($F$22+B644)*$F$23/Main!$K$3</f>
        <v>370.63733120120969</v>
      </c>
    </row>
    <row r="645" spans="1:3" x14ac:dyDescent="0.2">
      <c r="A645" s="43">
        <f t="shared" si="10"/>
        <v>635</v>
      </c>
      <c r="B645" s="43">
        <v>282.6403844789503</v>
      </c>
      <c r="C645" s="43">
        <f>($F$22+B645)*$F$23/Main!$K$3</f>
        <v>240.32506642812436</v>
      </c>
    </row>
    <row r="646" spans="1:3" x14ac:dyDescent="0.2">
      <c r="A646" s="43">
        <f t="shared" si="10"/>
        <v>636</v>
      </c>
      <c r="B646" s="43">
        <v>21462.890234330465</v>
      </c>
      <c r="C646" s="43">
        <f>($F$22+B646)*$F$23/Main!$K$3</f>
        <v>424.00762298225692</v>
      </c>
    </row>
    <row r="647" spans="1:3" x14ac:dyDescent="0.2">
      <c r="A647" s="43">
        <f t="shared" si="10"/>
        <v>637</v>
      </c>
      <c r="B647" s="43">
        <v>3349.6106776998777</v>
      </c>
      <c r="C647" s="43">
        <f>($F$22+B647)*$F$23/Main!$K$3</f>
        <v>266.9229086787127</v>
      </c>
    </row>
    <row r="648" spans="1:3" x14ac:dyDescent="0.2">
      <c r="A648" s="43">
        <f t="shared" si="10"/>
        <v>638</v>
      </c>
      <c r="B648" s="43">
        <v>7971.8832818103865</v>
      </c>
      <c r="C648" s="43">
        <f>($F$22+B648)*$F$23/Main!$K$3</f>
        <v>307.00887815650418</v>
      </c>
    </row>
    <row r="649" spans="1:3" x14ac:dyDescent="0.2">
      <c r="A649" s="43">
        <f t="shared" si="10"/>
        <v>639</v>
      </c>
      <c r="B649" s="43">
        <v>2649.6460901320565</v>
      </c>
      <c r="C649" s="43">
        <f>($F$22+B649)*$F$23/Main!$K$3</f>
        <v>260.85257023354478</v>
      </c>
    </row>
    <row r="650" spans="1:3" x14ac:dyDescent="0.2">
      <c r="A650" s="43">
        <f t="shared" si="10"/>
        <v>640</v>
      </c>
      <c r="B650" s="43">
        <v>28648.81629548387</v>
      </c>
      <c r="C650" s="43">
        <f>($F$22+B650)*$F$23/Main!$K$3</f>
        <v>486.32649454792346</v>
      </c>
    </row>
    <row r="651" spans="1:3" x14ac:dyDescent="0.2">
      <c r="A651" s="43">
        <f t="shared" si="10"/>
        <v>641</v>
      </c>
      <c r="B651" s="43">
        <v>19749.563736339453</v>
      </c>
      <c r="C651" s="43">
        <f>($F$22+B651)*$F$23/Main!$K$3</f>
        <v>409.14905457093408</v>
      </c>
    </row>
    <row r="652" spans="1:3" x14ac:dyDescent="0.2">
      <c r="A652" s="43">
        <f t="shared" si="10"/>
        <v>642</v>
      </c>
      <c r="B652" s="43">
        <v>30453.551703345893</v>
      </c>
      <c r="C652" s="43">
        <f>($F$22+B652)*$F$23/Main!$K$3</f>
        <v>501.97779309113611</v>
      </c>
    </row>
    <row r="653" spans="1:3" x14ac:dyDescent="0.2">
      <c r="A653" s="43">
        <f t="shared" si="10"/>
        <v>643</v>
      </c>
      <c r="B653" s="43">
        <v>11122.477567360072</v>
      </c>
      <c r="C653" s="43">
        <f>($F$22+B653)*$F$23/Main!$K$3</f>
        <v>334.33193700317139</v>
      </c>
    </row>
    <row r="654" spans="1:3" x14ac:dyDescent="0.2">
      <c r="A654" s="43">
        <f t="shared" si="10"/>
        <v>644</v>
      </c>
      <c r="B654" s="43">
        <v>5987.5421429658909</v>
      </c>
      <c r="C654" s="43">
        <f>($F$22+B654)*$F$23/Main!$K$3</f>
        <v>289.79997571000871</v>
      </c>
    </row>
    <row r="655" spans="1:3" x14ac:dyDescent="0.2">
      <c r="A655" s="43">
        <f t="shared" si="10"/>
        <v>645</v>
      </c>
      <c r="B655" s="43">
        <v>2782.7142313482514</v>
      </c>
      <c r="C655" s="43">
        <f>($F$22+B655)*$F$23/Main!$K$3</f>
        <v>262.00658383337338</v>
      </c>
    </row>
    <row r="656" spans="1:3" x14ac:dyDescent="0.2">
      <c r="A656" s="43">
        <f t="shared" si="10"/>
        <v>646</v>
      </c>
      <c r="B656" s="43">
        <v>6530.1803316684727</v>
      </c>
      <c r="C656" s="43">
        <f>($F$22+B656)*$F$23/Main!$K$3</f>
        <v>294.50592443541967</v>
      </c>
    </row>
    <row r="657" spans="1:3" x14ac:dyDescent="0.2">
      <c r="A657" s="43">
        <f t="shared" si="10"/>
        <v>647</v>
      </c>
      <c r="B657" s="43">
        <v>5863.30384119468</v>
      </c>
      <c r="C657" s="43">
        <f>($F$22+B657)*$F$23/Main!$K$3</f>
        <v>288.72253757528148</v>
      </c>
    </row>
    <row r="658" spans="1:3" x14ac:dyDescent="0.2">
      <c r="A658" s="43">
        <f t="shared" si="10"/>
        <v>648</v>
      </c>
      <c r="B658" s="43">
        <v>2266.9967186579233</v>
      </c>
      <c r="C658" s="43">
        <f>($F$22+B658)*$F$23/Main!$K$3</f>
        <v>257.5341006538909</v>
      </c>
    </row>
    <row r="659" spans="1:3" x14ac:dyDescent="0.2">
      <c r="A659" s="43">
        <f t="shared" si="10"/>
        <v>649</v>
      </c>
      <c r="B659" s="43">
        <v>24216.437614274146</v>
      </c>
      <c r="C659" s="43">
        <f>($F$22+B659)*$F$23/Main!$K$3</f>
        <v>447.88735178274294</v>
      </c>
    </row>
    <row r="660" spans="1:3" x14ac:dyDescent="0.2">
      <c r="A660" s="43">
        <f t="shared" ref="A660:A723" si="11">A659+1</f>
        <v>650</v>
      </c>
      <c r="B660" s="43">
        <v>9944.7620895666914</v>
      </c>
      <c r="C660" s="43">
        <f>($F$22+B660)*$F$23/Main!$K$3</f>
        <v>324.11837524691208</v>
      </c>
    </row>
    <row r="661" spans="1:3" x14ac:dyDescent="0.2">
      <c r="A661" s="43">
        <f t="shared" si="11"/>
        <v>651</v>
      </c>
      <c r="B661" s="43">
        <v>8416.7361660956703</v>
      </c>
      <c r="C661" s="43">
        <f>($F$22+B661)*$F$23/Main!$K$3</f>
        <v>310.86679841973341</v>
      </c>
    </row>
    <row r="662" spans="1:3" x14ac:dyDescent="0.2">
      <c r="A662" s="43">
        <f t="shared" si="11"/>
        <v>652</v>
      </c>
      <c r="B662" s="43">
        <v>3567.2904350032904</v>
      </c>
      <c r="C662" s="43">
        <f>($F$22+B662)*$F$23/Main!$K$3</f>
        <v>268.81070389430386</v>
      </c>
    </row>
    <row r="663" spans="1:3" x14ac:dyDescent="0.2">
      <c r="A663" s="43">
        <f t="shared" si="11"/>
        <v>653</v>
      </c>
      <c r="B663" s="43">
        <v>-5729.838236629982</v>
      </c>
      <c r="C663" s="43">
        <f>($F$22+B663)*$F$23/Main!$K$3</f>
        <v>188.18274269816629</v>
      </c>
    </row>
    <row r="664" spans="1:3" x14ac:dyDescent="0.2">
      <c r="A664" s="43">
        <f t="shared" si="11"/>
        <v>654</v>
      </c>
      <c r="B664" s="43">
        <v>9156.4506744749451</v>
      </c>
      <c r="C664" s="43">
        <f>($F$22+B664)*$F$23/Main!$K$3</f>
        <v>317.28186212212131</v>
      </c>
    </row>
    <row r="665" spans="1:3" x14ac:dyDescent="0.2">
      <c r="A665" s="43">
        <f t="shared" si="11"/>
        <v>655</v>
      </c>
      <c r="B665" s="43">
        <v>5387.1893083647401</v>
      </c>
      <c r="C665" s="43">
        <f>($F$22+B665)*$F$23/Main!$K$3</f>
        <v>284.59350532954556</v>
      </c>
    </row>
    <row r="666" spans="1:3" x14ac:dyDescent="0.2">
      <c r="A666" s="43">
        <f t="shared" si="11"/>
        <v>656</v>
      </c>
      <c r="B666" s="43">
        <v>6953.6185526480403</v>
      </c>
      <c r="C666" s="43">
        <f>($F$22+B666)*$F$23/Main!$K$3</f>
        <v>298.17812922637523</v>
      </c>
    </row>
    <row r="667" spans="1:3" x14ac:dyDescent="0.2">
      <c r="A667" s="43">
        <f t="shared" si="11"/>
        <v>657</v>
      </c>
      <c r="B667" s="43">
        <v>806.28753565461056</v>
      </c>
      <c r="C667" s="43">
        <f>($F$22+B667)*$F$23/Main!$K$3</f>
        <v>244.86631821420318</v>
      </c>
    </row>
    <row r="668" spans="1:3" x14ac:dyDescent="0.2">
      <c r="A668" s="43">
        <f t="shared" si="11"/>
        <v>658</v>
      </c>
      <c r="B668" s="43">
        <v>3744.5711894524602</v>
      </c>
      <c r="C668" s="43">
        <f>($F$22+B668)*$F$23/Main!$K$3</f>
        <v>270.34814478550732</v>
      </c>
    </row>
    <row r="669" spans="1:3" x14ac:dyDescent="0.2">
      <c r="A669" s="43">
        <f t="shared" si="11"/>
        <v>659</v>
      </c>
      <c r="B669" s="43">
        <v>2658.0512860555318</v>
      </c>
      <c r="C669" s="43">
        <f>($F$22+B669)*$F$23/Main!$K$3</f>
        <v>260.92546304106622</v>
      </c>
    </row>
    <row r="670" spans="1:3" x14ac:dyDescent="0.2">
      <c r="A670" s="43">
        <f t="shared" si="11"/>
        <v>660</v>
      </c>
      <c r="B670" s="43">
        <v>8177.2694228710443</v>
      </c>
      <c r="C670" s="43">
        <f>($F$22+B670)*$F$23/Main!$K$3</f>
        <v>308.79005881953941</v>
      </c>
    </row>
    <row r="671" spans="1:3" x14ac:dyDescent="0.2">
      <c r="A671" s="43">
        <f t="shared" si="11"/>
        <v>661</v>
      </c>
      <c r="B671" s="43">
        <v>14993.583697481998</v>
      </c>
      <c r="C671" s="43">
        <f>($F$22+B671)*$F$23/Main!$K$3</f>
        <v>367.9035273155564</v>
      </c>
    </row>
    <row r="672" spans="1:3" x14ac:dyDescent="0.2">
      <c r="A672" s="43">
        <f t="shared" si="11"/>
        <v>662</v>
      </c>
      <c r="B672" s="43">
        <v>3894.5714606662509</v>
      </c>
      <c r="C672" s="43">
        <f>($F$22+B672)*$F$23/Main!$K$3</f>
        <v>271.64899975632608</v>
      </c>
    </row>
    <row r="673" spans="1:3" x14ac:dyDescent="0.2">
      <c r="A673" s="43">
        <f t="shared" si="11"/>
        <v>663</v>
      </c>
      <c r="B673" s="43">
        <v>3210.9742416306403</v>
      </c>
      <c r="C673" s="43">
        <f>($F$22+B673)*$F$23/Main!$K$3</f>
        <v>265.72060487260677</v>
      </c>
    </row>
    <row r="674" spans="1:3" x14ac:dyDescent="0.2">
      <c r="A674" s="43">
        <f t="shared" si="11"/>
        <v>664</v>
      </c>
      <c r="B674" s="43">
        <v>10336.33012623128</v>
      </c>
      <c r="C674" s="43">
        <f>($F$22+B674)*$F$23/Main!$K$3</f>
        <v>327.51419061969153</v>
      </c>
    </row>
    <row r="675" spans="1:3" x14ac:dyDescent="0.2">
      <c r="A675" s="43">
        <f t="shared" si="11"/>
        <v>665</v>
      </c>
      <c r="B675" s="43">
        <v>5169.398343576634</v>
      </c>
      <c r="C675" s="43">
        <f>($F$22+B675)*$F$23/Main!$K$3</f>
        <v>282.70474568363659</v>
      </c>
    </row>
    <row r="676" spans="1:3" x14ac:dyDescent="0.2">
      <c r="A676" s="43">
        <f t="shared" si="11"/>
        <v>666</v>
      </c>
      <c r="B676" s="43">
        <v>1128.1464971886439</v>
      </c>
      <c r="C676" s="43">
        <f>($F$22+B676)*$F$23/Main!$K$3</f>
        <v>247.65759203408425</v>
      </c>
    </row>
    <row r="677" spans="1:3" x14ac:dyDescent="0.2">
      <c r="A677" s="43">
        <f t="shared" si="11"/>
        <v>667</v>
      </c>
      <c r="B677" s="43">
        <v>5923.5038134498373</v>
      </c>
      <c r="C677" s="43">
        <f>($F$22+B677)*$F$23/Main!$K$3</f>
        <v>289.24461285232991</v>
      </c>
    </row>
    <row r="678" spans="1:3" x14ac:dyDescent="0.2">
      <c r="A678" s="43">
        <f t="shared" si="11"/>
        <v>668</v>
      </c>
      <c r="B678" s="43">
        <v>13410.280196298188</v>
      </c>
      <c r="C678" s="43">
        <f>($F$22+B678)*$F$23/Main!$K$3</f>
        <v>354.17256394353603</v>
      </c>
    </row>
    <row r="679" spans="1:3" x14ac:dyDescent="0.2">
      <c r="A679" s="43">
        <f t="shared" si="11"/>
        <v>669</v>
      </c>
      <c r="B679" s="43">
        <v>3540.7787747022812</v>
      </c>
      <c r="C679" s="43">
        <f>($F$22+B679)*$F$23/Main!$K$3</f>
        <v>268.58078547610262</v>
      </c>
    </row>
    <row r="680" spans="1:3" x14ac:dyDescent="0.2">
      <c r="A680" s="43">
        <f t="shared" si="11"/>
        <v>670</v>
      </c>
      <c r="B680" s="43">
        <v>-551.2427604391703</v>
      </c>
      <c r="C680" s="43">
        <f>($F$22+B680)*$F$23/Main!$K$3</f>
        <v>233.0933392760939</v>
      </c>
    </row>
    <row r="681" spans="1:3" x14ac:dyDescent="0.2">
      <c r="A681" s="43">
        <f t="shared" si="11"/>
        <v>671</v>
      </c>
      <c r="B681" s="43">
        <v>12451.440990613404</v>
      </c>
      <c r="C681" s="43">
        <f>($F$22+B681)*$F$23/Main!$K$3</f>
        <v>345.8571739989859</v>
      </c>
    </row>
    <row r="682" spans="1:3" x14ac:dyDescent="0.2">
      <c r="A682" s="43">
        <f t="shared" si="11"/>
        <v>672</v>
      </c>
      <c r="B682" s="43">
        <v>3607.5800744292424</v>
      </c>
      <c r="C682" s="43">
        <f>($F$22+B682)*$F$23/Main!$K$3</f>
        <v>269.16010978067749</v>
      </c>
    </row>
    <row r="683" spans="1:3" x14ac:dyDescent="0.2">
      <c r="A683" s="43">
        <f t="shared" si="11"/>
        <v>673</v>
      </c>
      <c r="B683" s="43">
        <v>2950.9108238996923</v>
      </c>
      <c r="C683" s="43">
        <f>($F$22+B683)*$F$23/Main!$K$3</f>
        <v>263.46524368595107</v>
      </c>
    </row>
    <row r="684" spans="1:3" x14ac:dyDescent="0.2">
      <c r="A684" s="43">
        <f t="shared" si="11"/>
        <v>674</v>
      </c>
      <c r="B684" s="43">
        <v>7861.8409918282096</v>
      </c>
      <c r="C684" s="43">
        <f>($F$22+B684)*$F$23/Main!$K$3</f>
        <v>306.05455281585489</v>
      </c>
    </row>
    <row r="685" spans="1:3" x14ac:dyDescent="0.2">
      <c r="A685" s="43">
        <f t="shared" si="11"/>
        <v>675</v>
      </c>
      <c r="B685" s="43">
        <v>1830.1724405931814</v>
      </c>
      <c r="C685" s="43">
        <f>($F$22+B685)*$F$23/Main!$K$3</f>
        <v>253.74580728017474</v>
      </c>
    </row>
    <row r="686" spans="1:3" x14ac:dyDescent="0.2">
      <c r="A686" s="43">
        <f t="shared" si="11"/>
        <v>676</v>
      </c>
      <c r="B686" s="43">
        <v>3750.7986624326095</v>
      </c>
      <c r="C686" s="43">
        <f>($F$22+B686)*$F$23/Main!$K$3</f>
        <v>270.40215161573713</v>
      </c>
    </row>
    <row r="687" spans="1:3" x14ac:dyDescent="0.2">
      <c r="A687" s="43">
        <f t="shared" si="11"/>
        <v>677</v>
      </c>
      <c r="B687" s="43">
        <v>16654.654580506682</v>
      </c>
      <c r="C687" s="43">
        <f>($F$22+B687)*$F$23/Main!$K$3</f>
        <v>382.30891670305436</v>
      </c>
    </row>
    <row r="688" spans="1:3" x14ac:dyDescent="0.2">
      <c r="A688" s="43">
        <f t="shared" si="11"/>
        <v>678</v>
      </c>
      <c r="B688" s="43">
        <v>6390.9767101203834</v>
      </c>
      <c r="C688" s="43">
        <f>($F$22+B688)*$F$23/Main!$K$3</f>
        <v>293.29870179787713</v>
      </c>
    </row>
    <row r="689" spans="1:3" x14ac:dyDescent="0.2">
      <c r="A689" s="43">
        <f t="shared" si="11"/>
        <v>679</v>
      </c>
      <c r="B689" s="43">
        <v>2036.237694521101</v>
      </c>
      <c r="C689" s="43">
        <f>($F$22+B689)*$F$23/Main!$K$3</f>
        <v>255.53287744822197</v>
      </c>
    </row>
    <row r="690" spans="1:3" x14ac:dyDescent="0.2">
      <c r="A690" s="43">
        <f t="shared" si="11"/>
        <v>680</v>
      </c>
      <c r="B690" s="43">
        <v>14375.690164851294</v>
      </c>
      <c r="C690" s="43">
        <f>($F$22+B690)*$F$23/Main!$K$3</f>
        <v>362.54493784864945</v>
      </c>
    </row>
    <row r="691" spans="1:3" x14ac:dyDescent="0.2">
      <c r="A691" s="43">
        <f t="shared" si="11"/>
        <v>681</v>
      </c>
      <c r="B691" s="43">
        <v>-3031.6751429452779</v>
      </c>
      <c r="C691" s="43">
        <f>($F$22+B691)*$F$23/Main!$K$3</f>
        <v>211.58215953986556</v>
      </c>
    </row>
    <row r="692" spans="1:3" x14ac:dyDescent="0.2">
      <c r="A692" s="43">
        <f t="shared" si="11"/>
        <v>682</v>
      </c>
      <c r="B692" s="43">
        <v>9735.7675901934472</v>
      </c>
      <c r="C692" s="43">
        <f>($F$22+B692)*$F$23/Main!$K$3</f>
        <v>322.30590163480798</v>
      </c>
    </row>
    <row r="693" spans="1:3" x14ac:dyDescent="0.2">
      <c r="A693" s="43">
        <f t="shared" si="11"/>
        <v>683</v>
      </c>
      <c r="B693" s="43">
        <v>3972.5108678021238</v>
      </c>
      <c r="C693" s="43">
        <f>($F$22+B693)*$F$23/Main!$K$3</f>
        <v>272.32491763550684</v>
      </c>
    </row>
    <row r="694" spans="1:3" x14ac:dyDescent="0.2">
      <c r="A694" s="43">
        <f t="shared" si="11"/>
        <v>684</v>
      </c>
      <c r="B694" s="43">
        <v>-13458.839686734103</v>
      </c>
      <c r="C694" s="43">
        <f>($F$22+B694)*$F$23/Main!$K$3</f>
        <v>121.15413085317076</v>
      </c>
    </row>
    <row r="695" spans="1:3" x14ac:dyDescent="0.2">
      <c r="A695" s="43">
        <f t="shared" si="11"/>
        <v>685</v>
      </c>
      <c r="B695" s="43">
        <v>5404.9546164291987</v>
      </c>
      <c r="C695" s="43">
        <f>($F$22+B695)*$F$23/Main!$K$3</f>
        <v>284.7475723130035</v>
      </c>
    </row>
    <row r="696" spans="1:3" x14ac:dyDescent="0.2">
      <c r="A696" s="43">
        <f t="shared" si="11"/>
        <v>686</v>
      </c>
      <c r="B696" s="43">
        <v>3210.3968577209425</v>
      </c>
      <c r="C696" s="43">
        <f>($F$22+B696)*$F$23/Main!$K$3</f>
        <v>265.71559759680036</v>
      </c>
    </row>
    <row r="697" spans="1:3" x14ac:dyDescent="0.2">
      <c r="A697" s="43">
        <f t="shared" si="11"/>
        <v>687</v>
      </c>
      <c r="B697" s="43">
        <v>14284.509633324698</v>
      </c>
      <c r="C697" s="43">
        <f>($F$22+B697)*$F$23/Main!$K$3</f>
        <v>361.75418829387559</v>
      </c>
    </row>
    <row r="698" spans="1:3" x14ac:dyDescent="0.2">
      <c r="A698" s="43">
        <f t="shared" si="11"/>
        <v>688</v>
      </c>
      <c r="B698" s="43">
        <v>2361.4613552827168</v>
      </c>
      <c r="C698" s="43">
        <f>($F$22+B698)*$F$23/Main!$K$3</f>
        <v>258.35333112011324</v>
      </c>
    </row>
    <row r="699" spans="1:3" x14ac:dyDescent="0.2">
      <c r="A699" s="43">
        <f t="shared" si="11"/>
        <v>689</v>
      </c>
      <c r="B699" s="43">
        <v>4368.8689349645229</v>
      </c>
      <c r="C699" s="43">
        <f>($F$22+B699)*$F$23/Main!$K$3</f>
        <v>275.76227383306627</v>
      </c>
    </row>
    <row r="700" spans="1:3" x14ac:dyDescent="0.2">
      <c r="A700" s="43">
        <f t="shared" si="11"/>
        <v>690</v>
      </c>
      <c r="B700" s="43">
        <v>8209.8592933259079</v>
      </c>
      <c r="C700" s="43">
        <f>($F$22+B700)*$F$23/Main!$K$3</f>
        <v>309.07268960838059</v>
      </c>
    </row>
    <row r="701" spans="1:3" x14ac:dyDescent="0.2">
      <c r="A701" s="43">
        <f t="shared" si="11"/>
        <v>691</v>
      </c>
      <c r="B701" s="43">
        <v>4805.2698915264982</v>
      </c>
      <c r="C701" s="43">
        <f>($F$22+B701)*$F$23/Main!$K$3</f>
        <v>279.54689601421279</v>
      </c>
    </row>
    <row r="702" spans="1:3" x14ac:dyDescent="0.2">
      <c r="A702" s="43">
        <f t="shared" si="11"/>
        <v>692</v>
      </c>
      <c r="B702" s="43">
        <v>1815.2524769576494</v>
      </c>
      <c r="C702" s="43">
        <f>($F$22+B702)*$F$23/Main!$K$3</f>
        <v>253.6164161217277</v>
      </c>
    </row>
    <row r="703" spans="1:3" x14ac:dyDescent="0.2">
      <c r="A703" s="43">
        <f t="shared" si="11"/>
        <v>693</v>
      </c>
      <c r="B703" s="43">
        <v>10468.22355649883</v>
      </c>
      <c r="C703" s="43">
        <f>($F$22+B703)*$F$23/Main!$K$3</f>
        <v>328.65801671409457</v>
      </c>
    </row>
    <row r="704" spans="1:3" x14ac:dyDescent="0.2">
      <c r="A704" s="43">
        <f t="shared" si="11"/>
        <v>694</v>
      </c>
      <c r="B704" s="43">
        <v>531.13369031701427</v>
      </c>
      <c r="C704" s="43">
        <f>($F$22+B704)*$F$23/Main!$K$3</f>
        <v>242.48008754574565</v>
      </c>
    </row>
    <row r="705" spans="1:3" x14ac:dyDescent="0.2">
      <c r="A705" s="43">
        <f t="shared" si="11"/>
        <v>695</v>
      </c>
      <c r="B705" s="43">
        <v>3212.2889542843086</v>
      </c>
      <c r="C705" s="43">
        <f>($F$22+B705)*$F$23/Main!$K$3</f>
        <v>265.73200652192969</v>
      </c>
    </row>
    <row r="706" spans="1:3" x14ac:dyDescent="0.2">
      <c r="A706" s="43">
        <f t="shared" si="11"/>
        <v>696</v>
      </c>
      <c r="B706" s="43">
        <v>14861.742509934651</v>
      </c>
      <c r="C706" s="43">
        <f>($F$22+B706)*$F$23/Main!$K$3</f>
        <v>366.76015428834927</v>
      </c>
    </row>
    <row r="707" spans="1:3" x14ac:dyDescent="0.2">
      <c r="A707" s="43">
        <f t="shared" si="11"/>
        <v>697</v>
      </c>
      <c r="B707" s="43">
        <v>5939.1353850736687</v>
      </c>
      <c r="C707" s="43">
        <f>($F$22+B707)*$F$23/Main!$K$3</f>
        <v>289.38017532487765</v>
      </c>
    </row>
    <row r="708" spans="1:3" x14ac:dyDescent="0.2">
      <c r="A708" s="43">
        <f t="shared" si="11"/>
        <v>698</v>
      </c>
      <c r="B708" s="43">
        <v>-397.18240191869006</v>
      </c>
      <c r="C708" s="43">
        <f>($F$22+B708)*$F$23/Main!$K$3</f>
        <v>234.42940474828129</v>
      </c>
    </row>
    <row r="709" spans="1:3" x14ac:dyDescent="0.2">
      <c r="A709" s="43">
        <f t="shared" si="11"/>
        <v>699</v>
      </c>
      <c r="B709" s="43">
        <v>11674.940724510459</v>
      </c>
      <c r="C709" s="43">
        <f>($F$22+B709)*$F$23/Main!$K$3</f>
        <v>339.12309130147929</v>
      </c>
    </row>
    <row r="710" spans="1:3" x14ac:dyDescent="0.2">
      <c r="A710" s="43">
        <f t="shared" si="11"/>
        <v>700</v>
      </c>
      <c r="B710" s="43">
        <v>10871.9651890847</v>
      </c>
      <c r="C710" s="43">
        <f>($F$22+B710)*$F$23/Main!$K$3</f>
        <v>332.15940578110002</v>
      </c>
    </row>
    <row r="711" spans="1:3" x14ac:dyDescent="0.2">
      <c r="A711" s="43">
        <f t="shared" si="11"/>
        <v>701</v>
      </c>
      <c r="B711" s="43">
        <v>471.30724022020354</v>
      </c>
      <c r="C711" s="43">
        <f>($F$22+B711)*$F$23/Main!$K$3</f>
        <v>241.96125158388293</v>
      </c>
    </row>
    <row r="712" spans="1:3" x14ac:dyDescent="0.2">
      <c r="A712" s="43">
        <f t="shared" si="11"/>
        <v>702</v>
      </c>
      <c r="B712" s="43">
        <v>969.9961780340459</v>
      </c>
      <c r="C712" s="43">
        <f>($F$22+B712)*$F$23/Main!$K$3</f>
        <v>246.28605698855347</v>
      </c>
    </row>
    <row r="713" spans="1:3" x14ac:dyDescent="0.2">
      <c r="A713" s="43">
        <f t="shared" si="11"/>
        <v>703</v>
      </c>
      <c r="B713" s="43">
        <v>-1084.4885842918691</v>
      </c>
      <c r="C713" s="43">
        <f>($F$22+B713)*$F$23/Main!$K$3</f>
        <v>228.46884443342495</v>
      </c>
    </row>
    <row r="714" spans="1:3" x14ac:dyDescent="0.2">
      <c r="A714" s="43">
        <f t="shared" si="11"/>
        <v>704</v>
      </c>
      <c r="B714" s="43">
        <v>730.45599290660221</v>
      </c>
      <c r="C714" s="43">
        <f>($F$22+B714)*$F$23/Main!$K$3</f>
        <v>244.20868047441536</v>
      </c>
    </row>
    <row r="715" spans="1:3" x14ac:dyDescent="0.2">
      <c r="A715" s="43">
        <f t="shared" si="11"/>
        <v>705</v>
      </c>
      <c r="B715" s="43">
        <v>2197.7117189771534</v>
      </c>
      <c r="C715" s="43">
        <f>($F$22+B715)*$F$23/Main!$K$3</f>
        <v>256.93323683205517</v>
      </c>
    </row>
    <row r="716" spans="1:3" x14ac:dyDescent="0.2">
      <c r="A716" s="43">
        <f t="shared" si="11"/>
        <v>706</v>
      </c>
      <c r="B716" s="43">
        <v>4884.1144648070931</v>
      </c>
      <c r="C716" s="43">
        <f>($F$22+B716)*$F$23/Main!$K$3</f>
        <v>280.23066381172532</v>
      </c>
    </row>
    <row r="717" spans="1:3" x14ac:dyDescent="0.2">
      <c r="A717" s="43">
        <f t="shared" si="11"/>
        <v>707</v>
      </c>
      <c r="B717" s="43">
        <v>4150.135640154871</v>
      </c>
      <c r="C717" s="43">
        <f>($F$22+B717)*$F$23/Main!$K$3</f>
        <v>273.86534197064879</v>
      </c>
    </row>
    <row r="718" spans="1:3" x14ac:dyDescent="0.2">
      <c r="A718" s="43">
        <f t="shared" si="11"/>
        <v>708</v>
      </c>
      <c r="B718" s="43">
        <v>4932.4607124415188</v>
      </c>
      <c r="C718" s="43">
        <f>($F$22+B718)*$F$23/Main!$K$3</f>
        <v>280.64993943067435</v>
      </c>
    </row>
    <row r="719" spans="1:3" x14ac:dyDescent="0.2">
      <c r="A719" s="43">
        <f t="shared" si="11"/>
        <v>709</v>
      </c>
      <c r="B719" s="43">
        <v>-2409.0956243337987</v>
      </c>
      <c r="C719" s="43">
        <f>($F$22+B719)*$F$23/Main!$K$3</f>
        <v>216.98138752100283</v>
      </c>
    </row>
    <row r="720" spans="1:3" x14ac:dyDescent="0.2">
      <c r="A720" s="43">
        <f t="shared" si="11"/>
        <v>710</v>
      </c>
      <c r="B720" s="43">
        <v>7230.2410493696834</v>
      </c>
      <c r="C720" s="43">
        <f>($F$22+B720)*$F$23/Main!$K$3</f>
        <v>300.57709655482597</v>
      </c>
    </row>
    <row r="721" spans="1:3" x14ac:dyDescent="0.2">
      <c r="A721" s="43">
        <f t="shared" si="11"/>
        <v>711</v>
      </c>
      <c r="B721" s="43">
        <v>7267.9606817545236</v>
      </c>
      <c r="C721" s="43">
        <f>($F$22+B721)*$F$23/Main!$K$3</f>
        <v>300.90421443860191</v>
      </c>
    </row>
    <row r="722" spans="1:3" x14ac:dyDescent="0.2">
      <c r="A722" s="43">
        <f t="shared" si="11"/>
        <v>712</v>
      </c>
      <c r="B722" s="43">
        <v>19429.547280535648</v>
      </c>
      <c r="C722" s="43">
        <f>($F$22+B722)*$F$23/Main!$K$3</f>
        <v>406.37375960708135</v>
      </c>
    </row>
    <row r="723" spans="1:3" x14ac:dyDescent="0.2">
      <c r="A723" s="43">
        <f t="shared" si="11"/>
        <v>713</v>
      </c>
      <c r="B723" s="43">
        <v>221.6031091624142</v>
      </c>
      <c r="C723" s="43">
        <f>($F$22+B723)*$F$23/Main!$K$3</f>
        <v>239.79572976520876</v>
      </c>
    </row>
    <row r="724" spans="1:3" x14ac:dyDescent="0.2">
      <c r="A724" s="43">
        <f t="shared" ref="A724:A787" si="12">A723+1</f>
        <v>714</v>
      </c>
      <c r="B724" s="43">
        <v>30457.945580641877</v>
      </c>
      <c r="C724" s="43">
        <f>($F$22+B724)*$F$23/Main!$K$3</f>
        <v>502.01589833638263</v>
      </c>
    </row>
    <row r="725" spans="1:3" x14ac:dyDescent="0.2">
      <c r="A725" s="43">
        <f t="shared" si="12"/>
        <v>715</v>
      </c>
      <c r="B725" s="43">
        <v>-1847.6232125019872</v>
      </c>
      <c r="C725" s="43">
        <f>($F$22+B725)*$F$23/Main!$K$3</f>
        <v>221.85067323627993</v>
      </c>
    </row>
    <row r="726" spans="1:3" x14ac:dyDescent="0.2">
      <c r="A726" s="43">
        <f t="shared" si="12"/>
        <v>716</v>
      </c>
      <c r="B726" s="43">
        <v>293.34267229663533</v>
      </c>
      <c r="C726" s="43">
        <f>($F$22+B726)*$F$23/Main!$K$3</f>
        <v>240.41788042235328</v>
      </c>
    </row>
    <row r="727" spans="1:3" x14ac:dyDescent="0.2">
      <c r="A727" s="43">
        <f t="shared" si="12"/>
        <v>717</v>
      </c>
      <c r="B727" s="43">
        <v>2172.4870228073064</v>
      </c>
      <c r="C727" s="43">
        <f>($F$22+B727)*$F$23/Main!$K$3</f>
        <v>256.71447941825579</v>
      </c>
    </row>
    <row r="728" spans="1:3" x14ac:dyDescent="0.2">
      <c r="A728" s="43">
        <f t="shared" si="12"/>
        <v>718</v>
      </c>
      <c r="B728" s="43">
        <v>5482.1504833285717</v>
      </c>
      <c r="C728" s="43">
        <f>($F$22+B728)*$F$23/Main!$K$3</f>
        <v>285.41704195042564</v>
      </c>
    </row>
    <row r="729" spans="1:3" x14ac:dyDescent="0.2">
      <c r="A729" s="43">
        <f t="shared" si="12"/>
        <v>719</v>
      </c>
      <c r="B729" s="43">
        <v>8229.6283965322546</v>
      </c>
      <c r="C729" s="43">
        <f>($F$22+B729)*$F$23/Main!$K$3</f>
        <v>309.24413420622369</v>
      </c>
    </row>
    <row r="730" spans="1:3" x14ac:dyDescent="0.2">
      <c r="A730" s="43">
        <f t="shared" si="12"/>
        <v>720</v>
      </c>
      <c r="B730" s="43">
        <v>13637.596947916292</v>
      </c>
      <c r="C730" s="43">
        <f>($F$22+B730)*$F$23/Main!$K$3</f>
        <v>356.14393455440188</v>
      </c>
    </row>
    <row r="731" spans="1:3" x14ac:dyDescent="0.2">
      <c r="A731" s="43">
        <f t="shared" si="12"/>
        <v>721</v>
      </c>
      <c r="B731" s="43">
        <v>5712.1071738105675</v>
      </c>
      <c r="C731" s="43">
        <f>($F$22+B731)*$F$23/Main!$K$3</f>
        <v>287.4113070371879</v>
      </c>
    </row>
    <row r="732" spans="1:3" x14ac:dyDescent="0.2">
      <c r="A732" s="43">
        <f t="shared" si="12"/>
        <v>722</v>
      </c>
      <c r="B732" s="43">
        <v>459.10119087422351</v>
      </c>
      <c r="C732" s="43">
        <f>($F$22+B732)*$F$23/Main!$K$3</f>
        <v>241.85539644217351</v>
      </c>
    </row>
    <row r="733" spans="1:3" x14ac:dyDescent="0.2">
      <c r="A733" s="43">
        <f t="shared" si="12"/>
        <v>723</v>
      </c>
      <c r="B733" s="43">
        <v>14554.19465499607</v>
      </c>
      <c r="C733" s="43">
        <f>($F$22+B733)*$F$23/Main!$K$3</f>
        <v>364.09299140508159</v>
      </c>
    </row>
    <row r="734" spans="1:3" x14ac:dyDescent="0.2">
      <c r="A734" s="43">
        <f t="shared" si="12"/>
        <v>724</v>
      </c>
      <c r="B734" s="43">
        <v>3195.5181538095967</v>
      </c>
      <c r="C734" s="43">
        <f>($F$22+B734)*$F$23/Main!$K$3</f>
        <v>265.58656425715509</v>
      </c>
    </row>
    <row r="735" spans="1:3" x14ac:dyDescent="0.2">
      <c r="A735" s="43">
        <f t="shared" si="12"/>
        <v>725</v>
      </c>
      <c r="B735" s="43">
        <v>10017.110798039617</v>
      </c>
      <c r="C735" s="43">
        <f>($F$22+B735)*$F$23/Main!$K$3</f>
        <v>324.74580862611703</v>
      </c>
    </row>
    <row r="736" spans="1:3" x14ac:dyDescent="0.2">
      <c r="A736" s="43">
        <f t="shared" si="12"/>
        <v>726</v>
      </c>
      <c r="B736" s="43">
        <v>2102.7404807026128</v>
      </c>
      <c r="C736" s="43">
        <f>($F$22+B736)*$F$23/Main!$K$3</f>
        <v>256.10961293861465</v>
      </c>
    </row>
    <row r="737" spans="1:3" x14ac:dyDescent="0.2">
      <c r="A737" s="43">
        <f t="shared" si="12"/>
        <v>727</v>
      </c>
      <c r="B737" s="43">
        <v>11177.94949540939</v>
      </c>
      <c r="C737" s="43">
        <f>($F$22+B737)*$F$23/Main!$K$3</f>
        <v>334.81300902230799</v>
      </c>
    </row>
    <row r="738" spans="1:3" x14ac:dyDescent="0.2">
      <c r="A738" s="43">
        <f t="shared" si="12"/>
        <v>728</v>
      </c>
      <c r="B738" s="43">
        <v>2457.1382325037398</v>
      </c>
      <c r="C738" s="43">
        <f>($F$22+B738)*$F$23/Main!$K$3</f>
        <v>259.18307456203001</v>
      </c>
    </row>
    <row r="739" spans="1:3" x14ac:dyDescent="0.2">
      <c r="A739" s="43">
        <f t="shared" si="12"/>
        <v>729</v>
      </c>
      <c r="B739" s="43">
        <v>797.70762183200111</v>
      </c>
      <c r="C739" s="43">
        <f>($F$22+B739)*$F$23/Main!$K$3</f>
        <v>244.79191019177082</v>
      </c>
    </row>
    <row r="740" spans="1:3" x14ac:dyDescent="0.2">
      <c r="A740" s="43">
        <f t="shared" si="12"/>
        <v>730</v>
      </c>
      <c r="B740" s="43">
        <v>-945.54953879288178</v>
      </c>
      <c r="C740" s="43">
        <f>($F$22+B740)*$F$23/Main!$K$3</f>
        <v>229.67377257465856</v>
      </c>
    </row>
    <row r="741" spans="1:3" x14ac:dyDescent="0.2">
      <c r="A741" s="43">
        <f t="shared" si="12"/>
        <v>731</v>
      </c>
      <c r="B741" s="43">
        <v>2225.7368821086784</v>
      </c>
      <c r="C741" s="43">
        <f>($F$22+B741)*$F$23/Main!$K$3</f>
        <v>257.17628087772692</v>
      </c>
    </row>
    <row r="742" spans="1:3" x14ac:dyDescent="0.2">
      <c r="A742" s="43">
        <f t="shared" si="12"/>
        <v>732</v>
      </c>
      <c r="B742" s="43">
        <v>22608.178086239168</v>
      </c>
      <c r="C742" s="43">
        <f>($F$22+B742)*$F$23/Main!$K$3</f>
        <v>433.93996099150172</v>
      </c>
    </row>
    <row r="743" spans="1:3" x14ac:dyDescent="0.2">
      <c r="A743" s="43">
        <f t="shared" si="12"/>
        <v>733</v>
      </c>
      <c r="B743" s="43">
        <v>-447.96599760017142</v>
      </c>
      <c r="C743" s="43">
        <f>($F$22+B743)*$F$23/Main!$K$3</f>
        <v>233.9889915920667</v>
      </c>
    </row>
    <row r="744" spans="1:3" x14ac:dyDescent="0.2">
      <c r="A744" s="43">
        <f t="shared" si="12"/>
        <v>734</v>
      </c>
      <c r="B744" s="43">
        <v>2871.7441466912842</v>
      </c>
      <c r="C744" s="43">
        <f>($F$22+B744)*$F$23/Main!$K$3</f>
        <v>262.77868249018513</v>
      </c>
    </row>
    <row r="745" spans="1:3" x14ac:dyDescent="0.2">
      <c r="A745" s="43">
        <f t="shared" si="12"/>
        <v>735</v>
      </c>
      <c r="B745" s="43">
        <v>-8035.8770442171135</v>
      </c>
      <c r="C745" s="43">
        <f>($F$22+B745)*$F$23/Main!$K$3</f>
        <v>168.18396521945692</v>
      </c>
    </row>
    <row r="746" spans="1:3" x14ac:dyDescent="0.2">
      <c r="A746" s="43">
        <f t="shared" si="12"/>
        <v>736</v>
      </c>
      <c r="B746" s="43">
        <v>-5835.7900524744164</v>
      </c>
      <c r="C746" s="43">
        <f>($F$22+B746)*$F$23/Main!$K$3</f>
        <v>187.2638913841439</v>
      </c>
    </row>
    <row r="747" spans="1:3" x14ac:dyDescent="0.2">
      <c r="A747" s="43">
        <f t="shared" si="12"/>
        <v>737</v>
      </c>
      <c r="B747" s="43">
        <v>4435.21913315235</v>
      </c>
      <c r="C747" s="43">
        <f>($F$22+B747)*$F$23/Main!$K$3</f>
        <v>276.33768602685109</v>
      </c>
    </row>
    <row r="748" spans="1:3" x14ac:dyDescent="0.2">
      <c r="A748" s="43">
        <f t="shared" si="12"/>
        <v>738</v>
      </c>
      <c r="B748" s="43">
        <v>42134.078447719898</v>
      </c>
      <c r="C748" s="43">
        <f>($F$22+B748)*$F$23/Main!$K$3</f>
        <v>603.27541845038445</v>
      </c>
    </row>
    <row r="749" spans="1:3" x14ac:dyDescent="0.2">
      <c r="A749" s="43">
        <f t="shared" si="12"/>
        <v>739</v>
      </c>
      <c r="B749" s="43">
        <v>6829.9026216376242</v>
      </c>
      <c r="C749" s="43">
        <f>($F$22+B749)*$F$23/Main!$K$3</f>
        <v>297.10522127412895</v>
      </c>
    </row>
    <row r="750" spans="1:3" x14ac:dyDescent="0.2">
      <c r="A750" s="43">
        <f t="shared" si="12"/>
        <v>740</v>
      </c>
      <c r="B750" s="43">
        <v>12861.514938476565</v>
      </c>
      <c r="C750" s="43">
        <f>($F$22+B750)*$F$23/Main!$K$3</f>
        <v>349.4134791253997</v>
      </c>
    </row>
    <row r="751" spans="1:3" x14ac:dyDescent="0.2">
      <c r="A751" s="43">
        <f t="shared" si="12"/>
        <v>741</v>
      </c>
      <c r="B751" s="43">
        <v>3924.0936133181331</v>
      </c>
      <c r="C751" s="43">
        <f>($F$22+B751)*$F$23/Main!$K$3</f>
        <v>271.90502622024979</v>
      </c>
    </row>
    <row r="752" spans="1:3" x14ac:dyDescent="0.2">
      <c r="A752" s="43">
        <f t="shared" si="12"/>
        <v>742</v>
      </c>
      <c r="B752" s="43">
        <v>2961.5203848374276</v>
      </c>
      <c r="C752" s="43">
        <f>($F$22+B752)*$F$23/Main!$K$3</f>
        <v>263.55725352014923</v>
      </c>
    </row>
    <row r="753" spans="1:3" x14ac:dyDescent="0.2">
      <c r="A753" s="43">
        <f t="shared" si="12"/>
        <v>743</v>
      </c>
      <c r="B753" s="43">
        <v>2491.1731836851191</v>
      </c>
      <c r="C753" s="43">
        <f>($F$22+B753)*$F$23/Main!$K$3</f>
        <v>259.47823759785388</v>
      </c>
    </row>
    <row r="754" spans="1:3" x14ac:dyDescent="0.2">
      <c r="A754" s="43">
        <f t="shared" si="12"/>
        <v>744</v>
      </c>
      <c r="B754" s="43">
        <v>3379.6175062685479</v>
      </c>
      <c r="C754" s="43">
        <f>($F$22+B754)*$F$23/Main!$K$3</f>
        <v>267.18313842220715</v>
      </c>
    </row>
    <row r="755" spans="1:3" x14ac:dyDescent="0.2">
      <c r="A755" s="43">
        <f t="shared" si="12"/>
        <v>745</v>
      </c>
      <c r="B755" s="43">
        <v>38648.879623008565</v>
      </c>
      <c r="C755" s="43">
        <f>($F$22+B755)*$F$23/Main!$K$3</f>
        <v>573.0505516636066</v>
      </c>
    </row>
    <row r="756" spans="1:3" x14ac:dyDescent="0.2">
      <c r="A756" s="43">
        <f t="shared" si="12"/>
        <v>746</v>
      </c>
      <c r="B756" s="43">
        <v>1079.3591677752877</v>
      </c>
      <c r="C756" s="43">
        <f>($F$22+B756)*$F$23/Main!$K$3</f>
        <v>247.23449119922054</v>
      </c>
    </row>
    <row r="757" spans="1:3" x14ac:dyDescent="0.2">
      <c r="A757" s="43">
        <f t="shared" si="12"/>
        <v>747</v>
      </c>
      <c r="B757" s="43">
        <v>-3731.6552606690166</v>
      </c>
      <c r="C757" s="43">
        <f>($F$22+B757)*$F$23/Main!$K$3</f>
        <v>205.51168641173766</v>
      </c>
    </row>
    <row r="758" spans="1:3" x14ac:dyDescent="0.2">
      <c r="A758" s="43">
        <f t="shared" si="12"/>
        <v>748</v>
      </c>
      <c r="B758" s="43">
        <v>2164.5615685759103</v>
      </c>
      <c r="C758" s="43">
        <f>($F$22+B758)*$F$23/Main!$K$3</f>
        <v>256.64574709897744</v>
      </c>
    </row>
    <row r="759" spans="1:3" x14ac:dyDescent="0.2">
      <c r="A759" s="43">
        <f t="shared" si="12"/>
        <v>749</v>
      </c>
      <c r="B759" s="43">
        <v>-760.40675271371163</v>
      </c>
      <c r="C759" s="43">
        <f>($F$22+B759)*$F$23/Main!$K$3</f>
        <v>231.27939576209303</v>
      </c>
    </row>
    <row r="760" spans="1:3" x14ac:dyDescent="0.2">
      <c r="A760" s="43">
        <f t="shared" si="12"/>
        <v>750</v>
      </c>
      <c r="B760" s="43">
        <v>9232.4612639102161</v>
      </c>
      <c r="C760" s="43">
        <f>($F$22+B760)*$F$23/Main!$K$3</f>
        <v>317.94105261758915</v>
      </c>
    </row>
    <row r="761" spans="1:3" x14ac:dyDescent="0.2">
      <c r="A761" s="43">
        <f t="shared" si="12"/>
        <v>751</v>
      </c>
      <c r="B761" s="43">
        <v>8898.1860298594584</v>
      </c>
      <c r="C761" s="43">
        <f>($F$22+B761)*$F$23/Main!$K$3</f>
        <v>315.04210052691758</v>
      </c>
    </row>
    <row r="762" spans="1:3" x14ac:dyDescent="0.2">
      <c r="A762" s="43">
        <f t="shared" si="12"/>
        <v>752</v>
      </c>
      <c r="B762" s="43">
        <v>6710.8769999029319</v>
      </c>
      <c r="C762" s="43">
        <f>($F$22+B762)*$F$23/Main!$K$3</f>
        <v>296.07298932924346</v>
      </c>
    </row>
    <row r="763" spans="1:3" x14ac:dyDescent="0.2">
      <c r="A763" s="43">
        <f t="shared" si="12"/>
        <v>753</v>
      </c>
      <c r="B763" s="43">
        <v>22570.149755018654</v>
      </c>
      <c r="C763" s="43">
        <f>($F$22+B763)*$F$23/Main!$K$3</f>
        <v>433.6101659631338</v>
      </c>
    </row>
    <row r="764" spans="1:3" x14ac:dyDescent="0.2">
      <c r="A764" s="43">
        <f t="shared" si="12"/>
        <v>754</v>
      </c>
      <c r="B764" s="43">
        <v>12554.364631238162</v>
      </c>
      <c r="C764" s="43">
        <f>($F$22+B764)*$F$23/Main!$K$3</f>
        <v>346.74976391524444</v>
      </c>
    </row>
    <row r="765" spans="1:3" x14ac:dyDescent="0.2">
      <c r="A765" s="43">
        <f t="shared" si="12"/>
        <v>755</v>
      </c>
      <c r="B765" s="43">
        <v>2819.98699745658</v>
      </c>
      <c r="C765" s="43">
        <f>($F$22+B765)*$F$23/Main!$K$3</f>
        <v>262.32982633604246</v>
      </c>
    </row>
    <row r="766" spans="1:3" x14ac:dyDescent="0.2">
      <c r="A766" s="43">
        <f t="shared" si="12"/>
        <v>756</v>
      </c>
      <c r="B766" s="43">
        <v>6226.9374788436926</v>
      </c>
      <c r="C766" s="43">
        <f>($F$22+B766)*$F$23/Main!$K$3</f>
        <v>291.87609604064204</v>
      </c>
    </row>
    <row r="767" spans="1:3" x14ac:dyDescent="0.2">
      <c r="A767" s="43">
        <f t="shared" si="12"/>
        <v>757</v>
      </c>
      <c r="B767" s="43">
        <v>12428.732287148534</v>
      </c>
      <c r="C767" s="43">
        <f>($F$22+B767)*$F$23/Main!$K$3</f>
        <v>345.66023615651352</v>
      </c>
    </row>
    <row r="768" spans="1:3" x14ac:dyDescent="0.2">
      <c r="A768" s="43">
        <f t="shared" si="12"/>
        <v>758</v>
      </c>
      <c r="B768" s="43">
        <v>7996.8043822611662</v>
      </c>
      <c r="C768" s="43">
        <f>($F$22+B768)*$F$23/Main!$K$3</f>
        <v>307.22500268172899</v>
      </c>
    </row>
    <row r="769" spans="1:3" x14ac:dyDescent="0.2">
      <c r="A769" s="43">
        <f t="shared" si="12"/>
        <v>759</v>
      </c>
      <c r="B769" s="43">
        <v>3472.1500236547695</v>
      </c>
      <c r="C769" s="43">
        <f>($F$22+B769)*$F$23/Main!$K$3</f>
        <v>267.98561287262118</v>
      </c>
    </row>
    <row r="770" spans="1:3" x14ac:dyDescent="0.2">
      <c r="A770" s="43">
        <f t="shared" si="12"/>
        <v>760</v>
      </c>
      <c r="B770" s="43">
        <v>4388.9947517983474</v>
      </c>
      <c r="C770" s="43">
        <f>($F$22+B770)*$F$23/Main!$K$3</f>
        <v>275.93681197661903</v>
      </c>
    </row>
    <row r="771" spans="1:3" x14ac:dyDescent="0.2">
      <c r="A771" s="43">
        <f t="shared" si="12"/>
        <v>761</v>
      </c>
      <c r="B771" s="43">
        <v>36.010194874116848</v>
      </c>
      <c r="C771" s="43">
        <f>($F$22+B771)*$F$23/Main!$K$3</f>
        <v>238.1862029080435</v>
      </c>
    </row>
    <row r="772" spans="1:3" x14ac:dyDescent="0.2">
      <c r="A772" s="43">
        <f t="shared" si="12"/>
        <v>762</v>
      </c>
      <c r="B772" s="43">
        <v>21099.595683971678</v>
      </c>
      <c r="C772" s="43">
        <f>($F$22+B772)*$F$23/Main!$K$3</f>
        <v>420.85700520082628</v>
      </c>
    </row>
    <row r="773" spans="1:3" x14ac:dyDescent="0.2">
      <c r="A773" s="43">
        <f t="shared" si="12"/>
        <v>763</v>
      </c>
      <c r="B773" s="43">
        <v>1354.0947413888198</v>
      </c>
      <c r="C773" s="43">
        <f>($F$22+B773)*$F$23/Main!$K$3</f>
        <v>249.61709446856079</v>
      </c>
    </row>
    <row r="774" spans="1:3" x14ac:dyDescent="0.2">
      <c r="A774" s="43">
        <f t="shared" si="12"/>
        <v>764</v>
      </c>
      <c r="B774" s="43">
        <v>2885.6563543455536</v>
      </c>
      <c r="C774" s="43">
        <f>($F$22+B774)*$F$23/Main!$K$3</f>
        <v>262.89933403525009</v>
      </c>
    </row>
    <row r="775" spans="1:3" x14ac:dyDescent="0.2">
      <c r="A775" s="43">
        <f t="shared" si="12"/>
        <v>765</v>
      </c>
      <c r="B775" s="43">
        <v>181.30884020048813</v>
      </c>
      <c r="C775" s="43">
        <f>($F$22+B775)*$F$23/Main!$K$3</f>
        <v>239.44628372987512</v>
      </c>
    </row>
    <row r="776" spans="1:3" x14ac:dyDescent="0.2">
      <c r="A776" s="43">
        <f t="shared" si="12"/>
        <v>766</v>
      </c>
      <c r="B776" s="43">
        <v>1778.9335149655162</v>
      </c>
      <c r="C776" s="43">
        <f>($F$22+B776)*$F$23/Main!$K$3</f>
        <v>253.30144534294089</v>
      </c>
    </row>
    <row r="777" spans="1:3" x14ac:dyDescent="0.2">
      <c r="A777" s="43">
        <f t="shared" si="12"/>
        <v>767</v>
      </c>
      <c r="B777" s="43">
        <v>14178.877349619459</v>
      </c>
      <c r="C777" s="43">
        <f>($F$22+B777)*$F$23/Main!$K$3</f>
        <v>360.83810807465358</v>
      </c>
    </row>
    <row r="778" spans="1:3" x14ac:dyDescent="0.2">
      <c r="A778" s="43">
        <f t="shared" si="12"/>
        <v>768</v>
      </c>
      <c r="B778" s="43">
        <v>9157.2962482251442</v>
      </c>
      <c r="C778" s="43">
        <f>($F$22+B778)*$F$23/Main!$K$3</f>
        <v>317.28919523430335</v>
      </c>
    </row>
    <row r="779" spans="1:3" x14ac:dyDescent="0.2">
      <c r="A779" s="43">
        <f t="shared" si="12"/>
        <v>769</v>
      </c>
      <c r="B779" s="43">
        <v>6798.950534628957</v>
      </c>
      <c r="C779" s="43">
        <f>($F$22+B779)*$F$23/Main!$K$3</f>
        <v>296.8367939178541</v>
      </c>
    </row>
    <row r="780" spans="1:3" x14ac:dyDescent="0.2">
      <c r="A780" s="43">
        <f t="shared" si="12"/>
        <v>770</v>
      </c>
      <c r="B780" s="43">
        <v>-858.7973383807946</v>
      </c>
      <c r="C780" s="43">
        <f>($F$22+B780)*$F$23/Main!$K$3</f>
        <v>230.42611808858555</v>
      </c>
    </row>
    <row r="781" spans="1:3" x14ac:dyDescent="0.2">
      <c r="A781" s="43">
        <f t="shared" si="12"/>
        <v>771</v>
      </c>
      <c r="B781" s="43">
        <v>6457.4992160633101</v>
      </c>
      <c r="C781" s="43">
        <f>($F$22+B781)*$F$23/Main!$K$3</f>
        <v>293.87560830495829</v>
      </c>
    </row>
    <row r="782" spans="1:3" x14ac:dyDescent="0.2">
      <c r="A782" s="43">
        <f t="shared" si="12"/>
        <v>772</v>
      </c>
      <c r="B782" s="43">
        <v>6465.6393899912373</v>
      </c>
      <c r="C782" s="43">
        <f>($F$22+B782)*$F$23/Main!$K$3</f>
        <v>293.94620274876689</v>
      </c>
    </row>
    <row r="783" spans="1:3" x14ac:dyDescent="0.2">
      <c r="A783" s="43">
        <f t="shared" si="12"/>
        <v>773</v>
      </c>
      <c r="B783" s="43">
        <v>-1005.1696072333305</v>
      </c>
      <c r="C783" s="43">
        <f>($F$22+B783)*$F$23/Main!$K$3</f>
        <v>229.1567264269168</v>
      </c>
    </row>
    <row r="784" spans="1:3" x14ac:dyDescent="0.2">
      <c r="A784" s="43">
        <f t="shared" si="12"/>
        <v>774</v>
      </c>
      <c r="B784" s="43">
        <v>7502.5144207126668</v>
      </c>
      <c r="C784" s="43">
        <f>($F$22+B784)*$F$23/Main!$K$3</f>
        <v>302.93834674235592</v>
      </c>
    </row>
    <row r="785" spans="1:3" x14ac:dyDescent="0.2">
      <c r="A785" s="43">
        <f t="shared" si="12"/>
        <v>775</v>
      </c>
      <c r="B785" s="43">
        <v>-5886.9146560102135</v>
      </c>
      <c r="C785" s="43">
        <f>($F$22+B785)*$F$23/Main!$K$3</f>
        <v>186.82052088819404</v>
      </c>
    </row>
    <row r="786" spans="1:3" x14ac:dyDescent="0.2">
      <c r="A786" s="43">
        <f t="shared" si="12"/>
        <v>776</v>
      </c>
      <c r="B786" s="43">
        <v>4569.9061987718414</v>
      </c>
      <c r="C786" s="43">
        <f>($F$22+B786)*$F$23/Main!$K$3</f>
        <v>277.50573950701039</v>
      </c>
    </row>
    <row r="787" spans="1:3" x14ac:dyDescent="0.2">
      <c r="A787" s="43">
        <f t="shared" si="12"/>
        <v>777</v>
      </c>
      <c r="B787" s="43">
        <v>13423.72957855075</v>
      </c>
      <c r="C787" s="43">
        <f>($F$22+B787)*$F$23/Main!$K$3</f>
        <v>354.2892017043622</v>
      </c>
    </row>
    <row r="788" spans="1:3" x14ac:dyDescent="0.2">
      <c r="A788" s="43">
        <f t="shared" ref="A788:A851" si="13">A787+1</f>
        <v>778</v>
      </c>
      <c r="B788" s="43">
        <v>4049.265566146521</v>
      </c>
      <c r="C788" s="43">
        <f>($F$22+B788)*$F$23/Main!$K$3</f>
        <v>272.99056130446189</v>
      </c>
    </row>
    <row r="789" spans="1:3" x14ac:dyDescent="0.2">
      <c r="A789" s="43">
        <f t="shared" si="13"/>
        <v>779</v>
      </c>
      <c r="B789" s="43">
        <v>5904.7135826003368</v>
      </c>
      <c r="C789" s="43">
        <f>($F$22+B789)*$F$23/Main!$K$3</f>
        <v>289.08165737894569</v>
      </c>
    </row>
    <row r="790" spans="1:3" x14ac:dyDescent="0.2">
      <c r="A790" s="43">
        <f t="shared" si="13"/>
        <v>780</v>
      </c>
      <c r="B790" s="43">
        <v>3689.9201769853262</v>
      </c>
      <c r="C790" s="43">
        <f>($F$22+B790)*$F$23/Main!$K$3</f>
        <v>269.87419203426981</v>
      </c>
    </row>
    <row r="791" spans="1:3" x14ac:dyDescent="0.2">
      <c r="A791" s="43">
        <f t="shared" si="13"/>
        <v>781</v>
      </c>
      <c r="B791" s="43">
        <v>-3691.7332850222147</v>
      </c>
      <c r="C791" s="43">
        <f>($F$22+B791)*$F$23/Main!$K$3</f>
        <v>205.85790378884511</v>
      </c>
    </row>
    <row r="792" spans="1:3" x14ac:dyDescent="0.2">
      <c r="A792" s="43">
        <f t="shared" si="13"/>
        <v>782</v>
      </c>
      <c r="B792" s="43">
        <v>1735.585589191227</v>
      </c>
      <c r="C792" s="43">
        <f>($F$22+B792)*$F$23/Main!$K$3</f>
        <v>252.92551692453296</v>
      </c>
    </row>
    <row r="793" spans="1:3" x14ac:dyDescent="0.2">
      <c r="A793" s="43">
        <f t="shared" si="13"/>
        <v>783</v>
      </c>
      <c r="B793" s="43">
        <v>3643.5133007136665</v>
      </c>
      <c r="C793" s="43">
        <f>($F$22+B793)*$F$23/Main!$K$3</f>
        <v>269.4717353240942</v>
      </c>
    </row>
    <row r="794" spans="1:3" x14ac:dyDescent="0.2">
      <c r="A794" s="43">
        <f t="shared" si="13"/>
        <v>784</v>
      </c>
      <c r="B794" s="43">
        <v>12104.357431924818</v>
      </c>
      <c r="C794" s="43">
        <f>($F$22+B794)*$F$23/Main!$K$3</f>
        <v>342.84714362400081</v>
      </c>
    </row>
    <row r="795" spans="1:3" x14ac:dyDescent="0.2">
      <c r="A795" s="43">
        <f t="shared" si="13"/>
        <v>785</v>
      </c>
      <c r="B795" s="43">
        <v>3925.862509810192</v>
      </c>
      <c r="C795" s="43">
        <f>($F$22+B795)*$F$23/Main!$K$3</f>
        <v>271.92036671114317</v>
      </c>
    </row>
    <row r="796" spans="1:3" x14ac:dyDescent="0.2">
      <c r="A796" s="43">
        <f t="shared" si="13"/>
        <v>786</v>
      </c>
      <c r="B796" s="43">
        <v>7088.2445105974184</v>
      </c>
      <c r="C796" s="43">
        <f>($F$22+B796)*$F$23/Main!$K$3</f>
        <v>299.3456527593832</v>
      </c>
    </row>
    <row r="797" spans="1:3" x14ac:dyDescent="0.2">
      <c r="A797" s="43">
        <f t="shared" si="13"/>
        <v>787</v>
      </c>
      <c r="B797" s="43">
        <v>11793.76919656943</v>
      </c>
      <c r="C797" s="43">
        <f>($F$22+B797)*$F$23/Main!$K$3</f>
        <v>340.15361349521845</v>
      </c>
    </row>
    <row r="798" spans="1:3" x14ac:dyDescent="0.2">
      <c r="A798" s="43">
        <f t="shared" si="13"/>
        <v>788</v>
      </c>
      <c r="B798" s="43">
        <v>15968.434415942829</v>
      </c>
      <c r="C798" s="43">
        <f>($F$22+B798)*$F$23/Main!$K$3</f>
        <v>376.35777471560652</v>
      </c>
    </row>
    <row r="799" spans="1:3" x14ac:dyDescent="0.2">
      <c r="A799" s="43">
        <f t="shared" si="13"/>
        <v>789</v>
      </c>
      <c r="B799" s="43">
        <v>17818.368140674069</v>
      </c>
      <c r="C799" s="43">
        <f>($F$22+B799)*$F$23/Main!$K$3</f>
        <v>392.40104891790423</v>
      </c>
    </row>
    <row r="800" spans="1:3" x14ac:dyDescent="0.2">
      <c r="A800" s="43">
        <f t="shared" si="13"/>
        <v>790</v>
      </c>
      <c r="B800" s="43">
        <v>11647.600369825686</v>
      </c>
      <c r="C800" s="43">
        <f>($F$22+B800)*$F$23/Main!$K$3</f>
        <v>338.88598615488291</v>
      </c>
    </row>
    <row r="801" spans="1:3" x14ac:dyDescent="0.2">
      <c r="A801" s="43">
        <f t="shared" si="13"/>
        <v>791</v>
      </c>
      <c r="B801" s="43">
        <v>19286.443616351859</v>
      </c>
      <c r="C801" s="43">
        <f>($F$22+B801)*$F$23/Main!$K$3</f>
        <v>405.13271443169941</v>
      </c>
    </row>
    <row r="802" spans="1:3" x14ac:dyDescent="0.2">
      <c r="A802" s="43">
        <f t="shared" si="13"/>
        <v>792</v>
      </c>
      <c r="B802" s="43">
        <v>-3225.5709466339977</v>
      </c>
      <c r="C802" s="43">
        <f>($F$22+B802)*$F$23/Main!$K$3</f>
        <v>209.900627113235</v>
      </c>
    </row>
    <row r="803" spans="1:3" x14ac:dyDescent="0.2">
      <c r="A803" s="43">
        <f t="shared" si="13"/>
        <v>793</v>
      </c>
      <c r="B803" s="43">
        <v>840.23070306347756</v>
      </c>
      <c r="C803" s="43">
        <f>($F$22+B803)*$F$23/Main!$K$3</f>
        <v>245.16068526895489</v>
      </c>
    </row>
    <row r="804" spans="1:3" x14ac:dyDescent="0.2">
      <c r="A804" s="43">
        <f t="shared" si="13"/>
        <v>794</v>
      </c>
      <c r="B804" s="43">
        <v>3366.4288516787174</v>
      </c>
      <c r="C804" s="43">
        <f>($F$22+B804)*$F$23/Main!$K$3</f>
        <v>267.06876178313331</v>
      </c>
    </row>
    <row r="805" spans="1:3" x14ac:dyDescent="0.2">
      <c r="A805" s="43">
        <f t="shared" si="13"/>
        <v>795</v>
      </c>
      <c r="B805" s="43">
        <v>7152.3595826013843</v>
      </c>
      <c r="C805" s="43">
        <f>($F$22+B805)*$F$23/Main!$K$3</f>
        <v>299.90168115483783</v>
      </c>
    </row>
    <row r="806" spans="1:3" x14ac:dyDescent="0.2">
      <c r="A806" s="43">
        <f t="shared" si="13"/>
        <v>796</v>
      </c>
      <c r="B806" s="43">
        <v>761.83922026530524</v>
      </c>
      <c r="C806" s="43">
        <f>($F$22+B806)*$F$23/Main!$K$3</f>
        <v>244.48084683104625</v>
      </c>
    </row>
    <row r="807" spans="1:3" x14ac:dyDescent="0.2">
      <c r="A807" s="43">
        <f t="shared" si="13"/>
        <v>797</v>
      </c>
      <c r="B807" s="43">
        <v>15916.84874170357</v>
      </c>
      <c r="C807" s="43">
        <f>($F$22+B807)*$F$23/Main!$K$3</f>
        <v>375.91040565277643</v>
      </c>
    </row>
    <row r="808" spans="1:3" x14ac:dyDescent="0.2">
      <c r="A808" s="43">
        <f t="shared" si="13"/>
        <v>798</v>
      </c>
      <c r="B808" s="43">
        <v>43249.68086598481</v>
      </c>
      <c r="C808" s="43">
        <f>($F$22+B808)*$F$23/Main!$K$3</f>
        <v>612.95031396566617</v>
      </c>
    </row>
    <row r="809" spans="1:3" x14ac:dyDescent="0.2">
      <c r="A809" s="43">
        <f t="shared" si="13"/>
        <v>799</v>
      </c>
      <c r="B809" s="43">
        <v>8466.928519580666</v>
      </c>
      <c r="C809" s="43">
        <f>($F$22+B809)*$F$23/Main!$K$3</f>
        <v>311.3020841162172</v>
      </c>
    </row>
    <row r="810" spans="1:3" x14ac:dyDescent="0.2">
      <c r="A810" s="43">
        <f t="shared" si="13"/>
        <v>800</v>
      </c>
      <c r="B810" s="43">
        <v>-5132.747369841396</v>
      </c>
      <c r="C810" s="43">
        <f>($F$22+B810)*$F$23/Main!$K$3</f>
        <v>193.36092414948752</v>
      </c>
    </row>
    <row r="811" spans="1:3" x14ac:dyDescent="0.2">
      <c r="A811" s="43">
        <f t="shared" si="13"/>
        <v>801</v>
      </c>
      <c r="B811" s="43">
        <v>4249.0634816887141</v>
      </c>
      <c r="C811" s="43">
        <f>($F$22+B811)*$F$23/Main!$K$3</f>
        <v>274.72327891549776</v>
      </c>
    </row>
    <row r="812" spans="1:3" x14ac:dyDescent="0.2">
      <c r="A812" s="43">
        <f t="shared" si="13"/>
        <v>802</v>
      </c>
      <c r="B812" s="43">
        <v>1187.2581470822977</v>
      </c>
      <c r="C812" s="43">
        <f>($F$22+B812)*$F$23/Main!$K$3</f>
        <v>248.17022899783916</v>
      </c>
    </row>
    <row r="813" spans="1:3" x14ac:dyDescent="0.2">
      <c r="A813" s="43">
        <f t="shared" si="13"/>
        <v>803</v>
      </c>
      <c r="B813" s="43">
        <v>-262.67062149443211</v>
      </c>
      <c r="C813" s="43">
        <f>($F$22+B813)*$F$23/Main!$K$3</f>
        <v>235.59593809373891</v>
      </c>
    </row>
    <row r="814" spans="1:3" x14ac:dyDescent="0.2">
      <c r="A814" s="43">
        <f t="shared" si="13"/>
        <v>804</v>
      </c>
      <c r="B814" s="43">
        <v>-3183.5687776985505</v>
      </c>
      <c r="C814" s="43">
        <f>($F$22+B814)*$F$23/Main!$K$3</f>
        <v>210.26488465625619</v>
      </c>
    </row>
    <row r="815" spans="1:3" x14ac:dyDescent="0.2">
      <c r="A815" s="43">
        <f t="shared" si="13"/>
        <v>805</v>
      </c>
      <c r="B815" s="43">
        <v>-92.13585618467512</v>
      </c>
      <c r="C815" s="43">
        <f>($F$22+B815)*$F$23/Main!$K$3</f>
        <v>237.07487540068834</v>
      </c>
    </row>
    <row r="816" spans="1:3" x14ac:dyDescent="0.2">
      <c r="A816" s="43">
        <f t="shared" si="13"/>
        <v>806</v>
      </c>
      <c r="B816" s="43">
        <v>23812.770262224029</v>
      </c>
      <c r="C816" s="43">
        <f>($F$22+B816)*$F$23/Main!$K$3</f>
        <v>444.38660690260065</v>
      </c>
    </row>
    <row r="817" spans="1:3" x14ac:dyDescent="0.2">
      <c r="A817" s="43">
        <f t="shared" si="13"/>
        <v>807</v>
      </c>
      <c r="B817" s="43">
        <v>1856.1034218651232</v>
      </c>
      <c r="C817" s="43">
        <f>($F$22+B817)*$F$23/Main!$K$3</f>
        <v>253.97068984613847</v>
      </c>
    </row>
    <row r="818" spans="1:3" x14ac:dyDescent="0.2">
      <c r="A818" s="43">
        <f t="shared" si="13"/>
        <v>808</v>
      </c>
      <c r="B818" s="43">
        <v>7815.0984403423354</v>
      </c>
      <c r="C818" s="43">
        <f>($F$22+B818)*$F$23/Main!$K$3</f>
        <v>305.6491850124695</v>
      </c>
    </row>
    <row r="819" spans="1:3" x14ac:dyDescent="0.2">
      <c r="A819" s="43">
        <f t="shared" si="13"/>
        <v>809</v>
      </c>
      <c r="B819" s="43">
        <v>9088.1719305148981</v>
      </c>
      <c r="C819" s="43">
        <f>($F$22+B819)*$F$23/Main!$K$3</f>
        <v>316.68972490288195</v>
      </c>
    </row>
    <row r="820" spans="1:3" x14ac:dyDescent="0.2">
      <c r="A820" s="43">
        <f t="shared" si="13"/>
        <v>810</v>
      </c>
      <c r="B820" s="43">
        <v>686.14400572443822</v>
      </c>
      <c r="C820" s="43">
        <f>($F$22+B820)*$F$23/Main!$K$3</f>
        <v>243.82439137729355</v>
      </c>
    </row>
    <row r="821" spans="1:3" x14ac:dyDescent="0.2">
      <c r="A821" s="43">
        <f t="shared" si="13"/>
        <v>811</v>
      </c>
      <c r="B821" s="43">
        <v>-238.38182539609761</v>
      </c>
      <c r="C821" s="43">
        <f>($F$22+B821)*$F$23/Main!$K$3</f>
        <v>235.80657905381216</v>
      </c>
    </row>
    <row r="822" spans="1:3" x14ac:dyDescent="0.2">
      <c r="A822" s="43">
        <f t="shared" si="13"/>
        <v>812</v>
      </c>
      <c r="B822" s="43">
        <v>11767.070152005168</v>
      </c>
      <c r="C822" s="43">
        <f>($F$22+B822)*$F$23/Main!$K$3</f>
        <v>339.92207001495348</v>
      </c>
    </row>
    <row r="823" spans="1:3" x14ac:dyDescent="0.2">
      <c r="A823" s="43">
        <f t="shared" si="13"/>
        <v>813</v>
      </c>
      <c r="B823" s="43">
        <v>614.80095145157065</v>
      </c>
      <c r="C823" s="43">
        <f>($F$22+B823)*$F$23/Main!$K$3</f>
        <v>243.20567938408672</v>
      </c>
    </row>
    <row r="824" spans="1:3" x14ac:dyDescent="0.2">
      <c r="A824" s="43">
        <f t="shared" si="13"/>
        <v>814</v>
      </c>
      <c r="B824" s="43">
        <v>3987.6321330747746</v>
      </c>
      <c r="C824" s="43">
        <f>($F$22+B824)*$F$23/Main!$K$3</f>
        <v>272.45605455236586</v>
      </c>
    </row>
    <row r="825" spans="1:3" x14ac:dyDescent="0.2">
      <c r="A825" s="43">
        <f t="shared" si="13"/>
        <v>815</v>
      </c>
      <c r="B825" s="43">
        <v>3440.9268336180094</v>
      </c>
      <c r="C825" s="43">
        <f>($F$22+B825)*$F$23/Main!$K$3</f>
        <v>267.7148344157859</v>
      </c>
    </row>
    <row r="826" spans="1:3" x14ac:dyDescent="0.2">
      <c r="A826" s="43">
        <f t="shared" si="13"/>
        <v>816</v>
      </c>
      <c r="B826" s="43">
        <v>9420.3257664858847</v>
      </c>
      <c r="C826" s="43">
        <f>($F$22+B826)*$F$23/Main!$K$3</f>
        <v>319.57027948523688</v>
      </c>
    </row>
    <row r="827" spans="1:3" x14ac:dyDescent="0.2">
      <c r="A827" s="43">
        <f t="shared" si="13"/>
        <v>817</v>
      </c>
      <c r="B827" s="43">
        <v>-1227.090961123266</v>
      </c>
      <c r="C827" s="43">
        <f>($F$22+B827)*$F$23/Main!$K$3</f>
        <v>227.23214659781041</v>
      </c>
    </row>
    <row r="828" spans="1:3" x14ac:dyDescent="0.2">
      <c r="A828" s="43">
        <f t="shared" si="13"/>
        <v>818</v>
      </c>
      <c r="B828" s="43">
        <v>4578.04564193238</v>
      </c>
      <c r="C828" s="43">
        <f>($F$22+B828)*$F$23/Main!$K$3</f>
        <v>277.57632761334781</v>
      </c>
    </row>
    <row r="829" spans="1:3" x14ac:dyDescent="0.2">
      <c r="A829" s="43">
        <f t="shared" si="13"/>
        <v>819</v>
      </c>
      <c r="B829" s="43">
        <v>14270.149296399257</v>
      </c>
      <c r="C829" s="43">
        <f>($F$22+B829)*$F$23/Main!$K$3</f>
        <v>361.6296504145709</v>
      </c>
    </row>
    <row r="830" spans="1:3" x14ac:dyDescent="0.2">
      <c r="A830" s="43">
        <f t="shared" si="13"/>
        <v>820</v>
      </c>
      <c r="B830" s="43">
        <v>7387.2102688333653</v>
      </c>
      <c r="C830" s="43">
        <f>($F$22+B830)*$F$23/Main!$K$3</f>
        <v>301.93838868951713</v>
      </c>
    </row>
    <row r="831" spans="1:3" x14ac:dyDescent="0.2">
      <c r="A831" s="43">
        <f t="shared" si="13"/>
        <v>821</v>
      </c>
      <c r="B831" s="43">
        <v>-380.74469963365993</v>
      </c>
      <c r="C831" s="43">
        <f>($F$22+B831)*$F$23/Main!$K$3</f>
        <v>234.57195826870688</v>
      </c>
    </row>
    <row r="832" spans="1:3" x14ac:dyDescent="0.2">
      <c r="A832" s="43">
        <f t="shared" si="13"/>
        <v>822</v>
      </c>
      <c r="B832" s="43">
        <v>-6391.0666810267012</v>
      </c>
      <c r="C832" s="43">
        <f>($F$22+B832)*$F$23/Main!$K$3</f>
        <v>182.44833767489635</v>
      </c>
    </row>
    <row r="833" spans="1:3" x14ac:dyDescent="0.2">
      <c r="A833" s="43">
        <f t="shared" si="13"/>
        <v>823</v>
      </c>
      <c r="B833" s="43">
        <v>15181.340140644154</v>
      </c>
      <c r="C833" s="43">
        <f>($F$22+B833)*$F$23/Main!$K$3</f>
        <v>369.53181705406382</v>
      </c>
    </row>
    <row r="834" spans="1:3" x14ac:dyDescent="0.2">
      <c r="A834" s="43">
        <f t="shared" si="13"/>
        <v>824</v>
      </c>
      <c r="B834" s="43">
        <v>18938.892146426944</v>
      </c>
      <c r="C834" s="43">
        <f>($F$22+B834)*$F$23/Main!$K$3</f>
        <v>402.11862616633357</v>
      </c>
    </row>
    <row r="835" spans="1:3" x14ac:dyDescent="0.2">
      <c r="A835" s="43">
        <f t="shared" si="13"/>
        <v>825</v>
      </c>
      <c r="B835" s="43">
        <v>10498.762917789814</v>
      </c>
      <c r="C835" s="43">
        <f>($F$22+B835)*$F$23/Main!$K$3</f>
        <v>328.92286476816497</v>
      </c>
    </row>
    <row r="836" spans="1:3" x14ac:dyDescent="0.2">
      <c r="A836" s="43">
        <f t="shared" si="13"/>
        <v>826</v>
      </c>
      <c r="B836" s="43">
        <v>5174.6848101472151</v>
      </c>
      <c r="C836" s="43">
        <f>($F$22+B836)*$F$23/Main!$K$3</f>
        <v>282.75059177618533</v>
      </c>
    </row>
    <row r="837" spans="1:3" x14ac:dyDescent="0.2">
      <c r="A837" s="43">
        <f t="shared" si="13"/>
        <v>827</v>
      </c>
      <c r="B837" s="43">
        <v>3550.3163177834413</v>
      </c>
      <c r="C837" s="43">
        <f>($F$22+B837)*$F$23/Main!$K$3</f>
        <v>268.66349839539356</v>
      </c>
    </row>
    <row r="838" spans="1:3" x14ac:dyDescent="0.2">
      <c r="A838" s="43">
        <f t="shared" si="13"/>
        <v>828</v>
      </c>
      <c r="B838" s="43">
        <v>1525.1786530545839</v>
      </c>
      <c r="C838" s="43">
        <f>($F$22+B838)*$F$23/Main!$K$3</f>
        <v>251.10079416534546</v>
      </c>
    </row>
    <row r="839" spans="1:3" x14ac:dyDescent="0.2">
      <c r="A839" s="43">
        <f t="shared" si="13"/>
        <v>829</v>
      </c>
      <c r="B839" s="43">
        <v>1025.6684565359326</v>
      </c>
      <c r="C839" s="43">
        <f>($F$22+B839)*$F$23/Main!$K$3</f>
        <v>246.76886651709603</v>
      </c>
    </row>
    <row r="840" spans="1:3" x14ac:dyDescent="0.2">
      <c r="A840" s="43">
        <f t="shared" si="13"/>
        <v>830</v>
      </c>
      <c r="B840" s="43">
        <v>11844.588837976256</v>
      </c>
      <c r="C840" s="43">
        <f>($F$22+B840)*$F$23/Main!$K$3</f>
        <v>340.59433925260777</v>
      </c>
    </row>
    <row r="841" spans="1:3" x14ac:dyDescent="0.2">
      <c r="A841" s="43">
        <f t="shared" si="13"/>
        <v>831</v>
      </c>
      <c r="B841" s="43">
        <v>3904.4944776595362</v>
      </c>
      <c r="C841" s="43">
        <f>($F$22+B841)*$F$23/Main!$K$3</f>
        <v>271.735055640604</v>
      </c>
    </row>
    <row r="842" spans="1:3" x14ac:dyDescent="0.2">
      <c r="A842" s="43">
        <f t="shared" si="13"/>
        <v>832</v>
      </c>
      <c r="B842" s="43">
        <v>741.59434031740784</v>
      </c>
      <c r="C842" s="43">
        <f>($F$22+B842)*$F$23/Main!$K$3</f>
        <v>244.30527613040189</v>
      </c>
    </row>
    <row r="843" spans="1:3" x14ac:dyDescent="0.2">
      <c r="A843" s="43">
        <f t="shared" si="13"/>
        <v>833</v>
      </c>
      <c r="B843" s="43">
        <v>877.32878315016956</v>
      </c>
      <c r="C843" s="43">
        <f>($F$22+B843)*$F$23/Main!$K$3</f>
        <v>245.48241283316591</v>
      </c>
    </row>
    <row r="844" spans="1:3" x14ac:dyDescent="0.2">
      <c r="A844" s="43">
        <f t="shared" si="13"/>
        <v>834</v>
      </c>
      <c r="B844" s="43">
        <v>5800.8882681018631</v>
      </c>
      <c r="C844" s="43">
        <f>($F$22+B844)*$F$23/Main!$K$3</f>
        <v>288.18124783055458</v>
      </c>
    </row>
    <row r="845" spans="1:3" x14ac:dyDescent="0.2">
      <c r="A845" s="43">
        <f t="shared" si="13"/>
        <v>835</v>
      </c>
      <c r="B845" s="43">
        <v>22256.689579679482</v>
      </c>
      <c r="C845" s="43">
        <f>($F$22+B845)*$F$23/Main!$K$3</f>
        <v>430.89172936335927</v>
      </c>
    </row>
    <row r="846" spans="1:3" x14ac:dyDescent="0.2">
      <c r="A846" s="43">
        <f t="shared" si="13"/>
        <v>836</v>
      </c>
      <c r="B846" s="43">
        <v>31121.420687606758</v>
      </c>
      <c r="C846" s="43">
        <f>($F$22+B846)*$F$23/Main!$K$3</f>
        <v>507.76978720555439</v>
      </c>
    </row>
    <row r="847" spans="1:3" x14ac:dyDescent="0.2">
      <c r="A847" s="43">
        <f t="shared" si="13"/>
        <v>837</v>
      </c>
      <c r="B847" s="43">
        <v>-338.20746069476593</v>
      </c>
      <c r="C847" s="43">
        <f>($F$22+B847)*$F$23/Main!$K$3</f>
        <v>234.94085612649607</v>
      </c>
    </row>
    <row r="848" spans="1:3" x14ac:dyDescent="0.2">
      <c r="A848" s="43">
        <f t="shared" si="13"/>
        <v>838</v>
      </c>
      <c r="B848" s="43">
        <v>7752.664521531332</v>
      </c>
      <c r="C848" s="43">
        <f>($F$22+B848)*$F$23/Main!$K$3</f>
        <v>305.10773616723884</v>
      </c>
    </row>
    <row r="849" spans="1:3" x14ac:dyDescent="0.2">
      <c r="A849" s="43">
        <f t="shared" si="13"/>
        <v>839</v>
      </c>
      <c r="B849" s="43">
        <v>31062.239262682288</v>
      </c>
      <c r="C849" s="43">
        <f>($F$22+B849)*$F$23/Main!$K$3</f>
        <v>507.2565451282556</v>
      </c>
    </row>
    <row r="850" spans="1:3" x14ac:dyDescent="0.2">
      <c r="A850" s="43">
        <f t="shared" si="13"/>
        <v>840</v>
      </c>
      <c r="B850" s="43">
        <v>2549.5986088556251</v>
      </c>
      <c r="C850" s="43">
        <f>($F$22+B850)*$F$23/Main!$K$3</f>
        <v>259.98492338008776</v>
      </c>
    </row>
    <row r="851" spans="1:3" x14ac:dyDescent="0.2">
      <c r="A851" s="43">
        <f t="shared" si="13"/>
        <v>841</v>
      </c>
      <c r="B851" s="43">
        <v>11318.031317291025</v>
      </c>
      <c r="C851" s="43">
        <f>($F$22+B851)*$F$23/Main!$K$3</f>
        <v>336.02784772120839</v>
      </c>
    </row>
    <row r="852" spans="1:3" x14ac:dyDescent="0.2">
      <c r="A852" s="43">
        <f t="shared" ref="A852:A915" si="14">A851+1</f>
        <v>842</v>
      </c>
      <c r="B852" s="43">
        <v>-9962.928315118028</v>
      </c>
      <c r="C852" s="43">
        <f>($F$22+B852)*$F$23/Main!$K$3</f>
        <v>151.47190060457936</v>
      </c>
    </row>
    <row r="853" spans="1:3" x14ac:dyDescent="0.2">
      <c r="A853" s="43">
        <f t="shared" si="14"/>
        <v>843</v>
      </c>
      <c r="B853" s="43">
        <v>18653.292235396621</v>
      </c>
      <c r="C853" s="43">
        <f>($F$22+B853)*$F$23/Main!$K$3</f>
        <v>399.64180355179531</v>
      </c>
    </row>
    <row r="854" spans="1:3" x14ac:dyDescent="0.2">
      <c r="A854" s="43">
        <f t="shared" si="14"/>
        <v>844</v>
      </c>
      <c r="B854" s="43">
        <v>22974.489139041398</v>
      </c>
      <c r="C854" s="43">
        <f>($F$22+B854)*$F$23/Main!$K$3</f>
        <v>437.11673894028598</v>
      </c>
    </row>
    <row r="855" spans="1:3" x14ac:dyDescent="0.2">
      <c r="A855" s="43">
        <f t="shared" si="14"/>
        <v>845</v>
      </c>
      <c r="B855" s="43">
        <v>-201.81526191971608</v>
      </c>
      <c r="C855" s="43">
        <f>($F$22+B855)*$F$23/Main!$K$3</f>
        <v>236.12369711952695</v>
      </c>
    </row>
    <row r="856" spans="1:3" x14ac:dyDescent="0.2">
      <c r="A856" s="43">
        <f t="shared" si="14"/>
        <v>846</v>
      </c>
      <c r="B856" s="43">
        <v>7677.7488502031001</v>
      </c>
      <c r="C856" s="43">
        <f>($F$22+B856)*$F$23/Main!$K$3</f>
        <v>304.45804118568338</v>
      </c>
    </row>
    <row r="857" spans="1:3" x14ac:dyDescent="0.2">
      <c r="A857" s="43">
        <f t="shared" si="14"/>
        <v>847</v>
      </c>
      <c r="B857" s="43">
        <v>887.66231872960532</v>
      </c>
      <c r="C857" s="43">
        <f>($F$22+B857)*$F$23/Main!$K$3</f>
        <v>245.57202887862948</v>
      </c>
    </row>
    <row r="858" spans="1:3" x14ac:dyDescent="0.2">
      <c r="A858" s="43">
        <f t="shared" si="14"/>
        <v>848</v>
      </c>
      <c r="B858" s="43">
        <v>19415.453837579935</v>
      </c>
      <c r="C858" s="43">
        <f>($F$22+B858)*$F$23/Main!$K$3</f>
        <v>406.25153632590633</v>
      </c>
    </row>
    <row r="859" spans="1:3" x14ac:dyDescent="0.2">
      <c r="A859" s="43">
        <f t="shared" si="14"/>
        <v>849</v>
      </c>
      <c r="B859" s="43">
        <v>14385.563455861226</v>
      </c>
      <c r="C859" s="43">
        <f>($F$22+B859)*$F$23/Main!$K$3</f>
        <v>362.63056249175628</v>
      </c>
    </row>
    <row r="860" spans="1:3" x14ac:dyDescent="0.2">
      <c r="A860" s="43">
        <f t="shared" si="14"/>
        <v>850</v>
      </c>
      <c r="B860" s="43">
        <v>4863.8384735163518</v>
      </c>
      <c r="C860" s="43">
        <f>($F$22+B860)*$F$23/Main!$K$3</f>
        <v>280.05482330260224</v>
      </c>
    </row>
    <row r="861" spans="1:3" x14ac:dyDescent="0.2">
      <c r="A861" s="43">
        <f t="shared" si="14"/>
        <v>851</v>
      </c>
      <c r="B861" s="43">
        <v>18924.884155932989</v>
      </c>
      <c r="C861" s="43">
        <f>($F$22+B861)*$F$23/Main!$K$3</f>
        <v>401.99714395888287</v>
      </c>
    </row>
    <row r="862" spans="1:3" x14ac:dyDescent="0.2">
      <c r="A862" s="43">
        <f t="shared" si="14"/>
        <v>852</v>
      </c>
      <c r="B862" s="43">
        <v>2970.0488879843042</v>
      </c>
      <c r="C862" s="43">
        <f>($F$22+B862)*$F$23/Main!$K$3</f>
        <v>263.63121569116714</v>
      </c>
    </row>
    <row r="863" spans="1:3" x14ac:dyDescent="0.2">
      <c r="A863" s="43">
        <f t="shared" si="14"/>
        <v>853</v>
      </c>
      <c r="B863" s="43">
        <v>12106.395792440077</v>
      </c>
      <c r="C863" s="43">
        <f>($F$22+B863)*$F$23/Main!$K$3</f>
        <v>342.86482100142916</v>
      </c>
    </row>
    <row r="864" spans="1:3" x14ac:dyDescent="0.2">
      <c r="A864" s="43">
        <f t="shared" si="14"/>
        <v>854</v>
      </c>
      <c r="B864" s="43">
        <v>19215.402202579258</v>
      </c>
      <c r="C864" s="43">
        <f>($F$22+B864)*$F$23/Main!$K$3</f>
        <v>404.5166183707239</v>
      </c>
    </row>
    <row r="865" spans="1:3" x14ac:dyDescent="0.2">
      <c r="A865" s="43">
        <f t="shared" si="14"/>
        <v>855</v>
      </c>
      <c r="B865" s="43">
        <v>236.99915682924427</v>
      </c>
      <c r="C865" s="43">
        <f>($F$22+B865)*$F$23/Main!$K$3</f>
        <v>239.9292496913815</v>
      </c>
    </row>
    <row r="866" spans="1:3" x14ac:dyDescent="0.2">
      <c r="A866" s="43">
        <f t="shared" si="14"/>
        <v>856</v>
      </c>
      <c r="B866" s="43">
        <v>36286.002825360913</v>
      </c>
      <c r="C866" s="43">
        <f>($F$22+B866)*$F$23/Main!$K$3</f>
        <v>552.55885519679623</v>
      </c>
    </row>
    <row r="867" spans="1:3" x14ac:dyDescent="0.2">
      <c r="A867" s="43">
        <f t="shared" si="14"/>
        <v>857</v>
      </c>
      <c r="B867" s="43">
        <v>6420.9216419210143</v>
      </c>
      <c r="C867" s="43">
        <f>($F$22+B867)*$F$23/Main!$K$3</f>
        <v>293.55839475088624</v>
      </c>
    </row>
    <row r="868" spans="1:3" x14ac:dyDescent="0.2">
      <c r="A868" s="43">
        <f t="shared" si="14"/>
        <v>858</v>
      </c>
      <c r="B868" s="43">
        <v>957.17565376108348</v>
      </c>
      <c r="C868" s="43">
        <f>($F$22+B868)*$F$23/Main!$K$3</f>
        <v>246.17487290472462</v>
      </c>
    </row>
    <row r="869" spans="1:3" x14ac:dyDescent="0.2">
      <c r="A869" s="43">
        <f t="shared" si="14"/>
        <v>859</v>
      </c>
      <c r="B869" s="43">
        <v>7589.3414419602923</v>
      </c>
      <c r="C869" s="43">
        <f>($F$22+B869)*$F$23/Main!$K$3</f>
        <v>303.69134112881517</v>
      </c>
    </row>
    <row r="870" spans="1:3" x14ac:dyDescent="0.2">
      <c r="A870" s="43">
        <f t="shared" si="14"/>
        <v>860</v>
      </c>
      <c r="B870" s="43">
        <v>4246.7551758412728</v>
      </c>
      <c r="C870" s="43">
        <f>($F$22+B870)*$F$23/Main!$K$3</f>
        <v>274.70326047745414</v>
      </c>
    </row>
    <row r="871" spans="1:3" x14ac:dyDescent="0.2">
      <c r="A871" s="43">
        <f t="shared" si="14"/>
        <v>861</v>
      </c>
      <c r="B871" s="43">
        <v>257.78219140313774</v>
      </c>
      <c r="C871" s="43">
        <f>($F$22+B871)*$F$23/Main!$K$3</f>
        <v>240.10948745772271</v>
      </c>
    </row>
    <row r="872" spans="1:3" x14ac:dyDescent="0.2">
      <c r="A872" s="43">
        <f t="shared" si="14"/>
        <v>862</v>
      </c>
      <c r="B872" s="43">
        <v>-3832.1996820776349</v>
      </c>
      <c r="C872" s="43">
        <f>($F$22+B872)*$F$23/Main!$K$3</f>
        <v>204.63972991913187</v>
      </c>
    </row>
    <row r="873" spans="1:3" x14ac:dyDescent="0.2">
      <c r="A873" s="43">
        <f t="shared" si="14"/>
        <v>863</v>
      </c>
      <c r="B873" s="43">
        <v>1434.9963613553007</v>
      </c>
      <c r="C873" s="43">
        <f>($F$22+B873)*$F$23/Main!$K$3</f>
        <v>250.31870169652834</v>
      </c>
    </row>
    <row r="874" spans="1:3" x14ac:dyDescent="0.2">
      <c r="A874" s="43">
        <f t="shared" si="14"/>
        <v>864</v>
      </c>
      <c r="B874" s="43">
        <v>3823.7320978749003</v>
      </c>
      <c r="C874" s="43">
        <f>($F$22+B874)*$F$23/Main!$K$3</f>
        <v>271.03465595233774</v>
      </c>
    </row>
    <row r="875" spans="1:3" x14ac:dyDescent="0.2">
      <c r="A875" s="43">
        <f t="shared" si="14"/>
        <v>865</v>
      </c>
      <c r="B875" s="43">
        <v>-2281.1613427667708</v>
      </c>
      <c r="C875" s="43">
        <f>($F$22+B875)*$F$23/Main!$K$3</f>
        <v>218.09087848903849</v>
      </c>
    </row>
    <row r="876" spans="1:3" x14ac:dyDescent="0.2">
      <c r="A876" s="43">
        <f t="shared" si="14"/>
        <v>866</v>
      </c>
      <c r="B876" s="43">
        <v>-2599.3881479198953</v>
      </c>
      <c r="C876" s="43">
        <f>($F$22+B876)*$F$23/Main!$K$3</f>
        <v>215.33110400342309</v>
      </c>
    </row>
    <row r="877" spans="1:3" x14ac:dyDescent="0.2">
      <c r="A877" s="43">
        <f t="shared" si="14"/>
        <v>867</v>
      </c>
      <c r="B877" s="43">
        <v>14837.884982449688</v>
      </c>
      <c r="C877" s="43">
        <f>($F$22+B877)*$F$23/Main!$K$3</f>
        <v>366.55325344097656</v>
      </c>
    </row>
    <row r="878" spans="1:3" x14ac:dyDescent="0.2">
      <c r="A878" s="43">
        <f t="shared" si="14"/>
        <v>868</v>
      </c>
      <c r="B878" s="43">
        <v>4884.2042688741776</v>
      </c>
      <c r="C878" s="43">
        <f>($F$22+B878)*$F$23/Main!$K$3</f>
        <v>280.23144262409767</v>
      </c>
    </row>
    <row r="879" spans="1:3" x14ac:dyDescent="0.2">
      <c r="A879" s="43">
        <f t="shared" si="14"/>
        <v>869</v>
      </c>
      <c r="B879" s="43">
        <v>11092.659435116122</v>
      </c>
      <c r="C879" s="43">
        <f>($F$22+B879)*$F$23/Main!$K$3</f>
        <v>334.07334370039803</v>
      </c>
    </row>
    <row r="880" spans="1:3" x14ac:dyDescent="0.2">
      <c r="A880" s="43">
        <f t="shared" si="14"/>
        <v>870</v>
      </c>
      <c r="B880" s="43">
        <v>1082.8888612767419</v>
      </c>
      <c r="C880" s="43">
        <f>($F$22+B880)*$F$23/Main!$K$3</f>
        <v>247.26510193945236</v>
      </c>
    </row>
    <row r="881" spans="1:3" x14ac:dyDescent="0.2">
      <c r="A881" s="43">
        <f t="shared" si="14"/>
        <v>871</v>
      </c>
      <c r="B881" s="43">
        <v>5626.4116000729573</v>
      </c>
      <c r="C881" s="43">
        <f>($F$22+B881)*$F$23/Main!$K$3</f>
        <v>286.66812496043781</v>
      </c>
    </row>
    <row r="882" spans="1:3" x14ac:dyDescent="0.2">
      <c r="A882" s="43">
        <f t="shared" si="14"/>
        <v>872</v>
      </c>
      <c r="B882" s="43">
        <v>5898.5429259051007</v>
      </c>
      <c r="C882" s="43">
        <f>($F$22+B882)*$F$23/Main!$K$3</f>
        <v>289.0281432794693</v>
      </c>
    </row>
    <row r="883" spans="1:3" x14ac:dyDescent="0.2">
      <c r="A883" s="43">
        <f t="shared" si="14"/>
        <v>873</v>
      </c>
      <c r="B883" s="43">
        <v>27575.610286727107</v>
      </c>
      <c r="C883" s="43">
        <f>($F$22+B883)*$F$23/Main!$K$3</f>
        <v>477.01927556820584</v>
      </c>
    </row>
    <row r="884" spans="1:3" x14ac:dyDescent="0.2">
      <c r="A884" s="43">
        <f t="shared" si="14"/>
        <v>874</v>
      </c>
      <c r="B884" s="43">
        <v>7737.5276008993487</v>
      </c>
      <c r="C884" s="43">
        <f>($F$22+B884)*$F$23/Main!$K$3</f>
        <v>304.97646348161186</v>
      </c>
    </row>
    <row r="885" spans="1:3" x14ac:dyDescent="0.2">
      <c r="A885" s="43">
        <f t="shared" si="14"/>
        <v>875</v>
      </c>
      <c r="B885" s="43">
        <v>998.3250154179774</v>
      </c>
      <c r="C885" s="43">
        <f>($F$22+B885)*$F$23/Main!$K$3</f>
        <v>246.53173460386844</v>
      </c>
    </row>
    <row r="886" spans="1:3" x14ac:dyDescent="0.2">
      <c r="A886" s="43">
        <f t="shared" si="14"/>
        <v>876</v>
      </c>
      <c r="B886" s="43">
        <v>20589.514052416635</v>
      </c>
      <c r="C886" s="43">
        <f>($F$22+B886)*$F$23/Main!$K$3</f>
        <v>416.43339835956937</v>
      </c>
    </row>
    <row r="887" spans="1:3" x14ac:dyDescent="0.2">
      <c r="A887" s="43">
        <f t="shared" si="14"/>
        <v>877</v>
      </c>
      <c r="B887" s="43">
        <v>34543.191822784356</v>
      </c>
      <c r="C887" s="43">
        <f>($F$22+B887)*$F$23/Main!$K$3</f>
        <v>537.44458681878757</v>
      </c>
    </row>
    <row r="888" spans="1:3" x14ac:dyDescent="0.2">
      <c r="A888" s="43">
        <f t="shared" si="14"/>
        <v>878</v>
      </c>
      <c r="B888" s="43">
        <v>4710.4180024309362</v>
      </c>
      <c r="C888" s="43">
        <f>($F$22+B888)*$F$23/Main!$K$3</f>
        <v>278.72430715871894</v>
      </c>
    </row>
    <row r="889" spans="1:3" x14ac:dyDescent="0.2">
      <c r="A889" s="43">
        <f t="shared" si="14"/>
        <v>879</v>
      </c>
      <c r="B889" s="43">
        <v>1044.0864976248272</v>
      </c>
      <c r="C889" s="43">
        <f>($F$22+B889)*$F$23/Main!$K$3</f>
        <v>246.92859423031518</v>
      </c>
    </row>
    <row r="890" spans="1:3" x14ac:dyDescent="0.2">
      <c r="A890" s="43">
        <f t="shared" si="14"/>
        <v>880</v>
      </c>
      <c r="B890" s="43">
        <v>356.1780652052247</v>
      </c>
      <c r="C890" s="43">
        <f>($F$22+B890)*$F$23/Main!$K$3</f>
        <v>240.96281099179197</v>
      </c>
    </row>
    <row r="891" spans="1:3" x14ac:dyDescent="0.2">
      <c r="A891" s="43">
        <f t="shared" si="14"/>
        <v>881</v>
      </c>
      <c r="B891" s="43">
        <v>2124.5376001763566</v>
      </c>
      <c r="C891" s="43">
        <f>($F$22+B891)*$F$23/Main!$K$3</f>
        <v>256.29864520493993</v>
      </c>
    </row>
    <row r="892" spans="1:3" x14ac:dyDescent="0.2">
      <c r="A892" s="43">
        <f t="shared" si="14"/>
        <v>882</v>
      </c>
      <c r="B892" s="43">
        <v>19649.698698384462</v>
      </c>
      <c r="C892" s="43">
        <f>($F$22+B892)*$F$23/Main!$K$3</f>
        <v>408.28298992996025</v>
      </c>
    </row>
    <row r="893" spans="1:3" x14ac:dyDescent="0.2">
      <c r="A893" s="43">
        <f t="shared" si="14"/>
        <v>883</v>
      </c>
      <c r="B893" s="43">
        <v>2452.4940940132437</v>
      </c>
      <c r="C893" s="43">
        <f>($F$22+B893)*$F$23/Main!$K$3</f>
        <v>259.14279896391508</v>
      </c>
    </row>
    <row r="894" spans="1:3" x14ac:dyDescent="0.2">
      <c r="A894" s="43">
        <f t="shared" si="14"/>
        <v>884</v>
      </c>
      <c r="B894" s="43">
        <v>2080.7035447191515</v>
      </c>
      <c r="C894" s="43">
        <f>($F$22+B894)*$F$23/Main!$K$3</f>
        <v>255.91850089939143</v>
      </c>
    </row>
    <row r="895" spans="1:3" x14ac:dyDescent="0.2">
      <c r="A895" s="43">
        <f t="shared" si="14"/>
        <v>885</v>
      </c>
      <c r="B895" s="43">
        <v>7351.4864292511793</v>
      </c>
      <c r="C895" s="43">
        <f>($F$22+B895)*$F$23/Main!$K$3</f>
        <v>301.62857902103337</v>
      </c>
    </row>
    <row r="896" spans="1:3" x14ac:dyDescent="0.2">
      <c r="A896" s="43">
        <f t="shared" si="14"/>
        <v>886</v>
      </c>
      <c r="B896" s="43">
        <v>1432.7177802414772</v>
      </c>
      <c r="C896" s="43">
        <f>($F$22+B896)*$F$23/Main!$K$3</f>
        <v>250.29894104180184</v>
      </c>
    </row>
    <row r="897" spans="1:3" x14ac:dyDescent="0.2">
      <c r="A897" s="43">
        <f t="shared" si="14"/>
        <v>887</v>
      </c>
      <c r="B897" s="43">
        <v>11574.009706829329</v>
      </c>
      <c r="C897" s="43">
        <f>($F$22+B897)*$F$23/Main!$K$3</f>
        <v>338.24778211038341</v>
      </c>
    </row>
    <row r="898" spans="1:3" x14ac:dyDescent="0.2">
      <c r="A898" s="43">
        <f t="shared" si="14"/>
        <v>888</v>
      </c>
      <c r="B898" s="43">
        <v>136.45166934515271</v>
      </c>
      <c r="C898" s="43">
        <f>($F$22+B898)*$F$23/Main!$K$3</f>
        <v>239.05726660869365</v>
      </c>
    </row>
    <row r="899" spans="1:3" x14ac:dyDescent="0.2">
      <c r="A899" s="43">
        <f t="shared" si="14"/>
        <v>889</v>
      </c>
      <c r="B899" s="43">
        <v>5651.2945775852613</v>
      </c>
      <c r="C899" s="43">
        <f>($F$22+B899)*$F$23/Main!$K$3</f>
        <v>286.88391887016695</v>
      </c>
    </row>
    <row r="900" spans="1:3" x14ac:dyDescent="0.2">
      <c r="A900" s="43">
        <f t="shared" si="14"/>
        <v>890</v>
      </c>
      <c r="B900" s="43">
        <v>5356.4623359310453</v>
      </c>
      <c r="C900" s="43">
        <f>($F$22+B900)*$F$23/Main!$K$3</f>
        <v>284.32703024583316</v>
      </c>
    </row>
    <row r="901" spans="1:3" x14ac:dyDescent="0.2">
      <c r="A901" s="43">
        <f t="shared" si="14"/>
        <v>891</v>
      </c>
      <c r="B901" s="43">
        <v>7068.7478799488445</v>
      </c>
      <c r="C901" s="43">
        <f>($F$22+B901)*$F$23/Main!$K$3</f>
        <v>299.17657113914225</v>
      </c>
    </row>
    <row r="902" spans="1:3" x14ac:dyDescent="0.2">
      <c r="A902" s="43">
        <f t="shared" si="14"/>
        <v>892</v>
      </c>
      <c r="B902" s="43">
        <v>4480.8447559110809</v>
      </c>
      <c r="C902" s="43">
        <f>($F$22+B902)*$F$23/Main!$K$3</f>
        <v>276.73336743250536</v>
      </c>
    </row>
    <row r="903" spans="1:3" x14ac:dyDescent="0.2">
      <c r="A903" s="43">
        <f t="shared" si="14"/>
        <v>893</v>
      </c>
      <c r="B903" s="43">
        <v>8668.8384976631805</v>
      </c>
      <c r="C903" s="43">
        <f>($F$22+B903)*$F$23/Main!$K$3</f>
        <v>313.05311827449674</v>
      </c>
    </row>
    <row r="904" spans="1:3" x14ac:dyDescent="0.2">
      <c r="A904" s="43">
        <f t="shared" si="14"/>
        <v>894</v>
      </c>
      <c r="B904" s="43">
        <v>-2247.9273639819544</v>
      </c>
      <c r="C904" s="43">
        <f>($F$22+B904)*$F$23/Main!$K$3</f>
        <v>218.37909521126491</v>
      </c>
    </row>
    <row r="905" spans="1:3" x14ac:dyDescent="0.2">
      <c r="A905" s="43">
        <f t="shared" si="14"/>
        <v>895</v>
      </c>
      <c r="B905" s="43">
        <v>6906.6032548767116</v>
      </c>
      <c r="C905" s="43">
        <f>($F$22+B905)*$F$23/Main!$K$3</f>
        <v>297.77039607152523</v>
      </c>
    </row>
    <row r="906" spans="1:3" x14ac:dyDescent="0.2">
      <c r="A906" s="43">
        <f t="shared" si="14"/>
        <v>896</v>
      </c>
      <c r="B906" s="43">
        <v>10010.673889515274</v>
      </c>
      <c r="C906" s="43">
        <f>($F$22+B906)*$F$23/Main!$K$3</f>
        <v>324.68998549737972</v>
      </c>
    </row>
    <row r="907" spans="1:3" x14ac:dyDescent="0.2">
      <c r="A907" s="43">
        <f t="shared" si="14"/>
        <v>897</v>
      </c>
      <c r="B907" s="43">
        <v>853.56963553314051</v>
      </c>
      <c r="C907" s="43">
        <f>($F$22+B907)*$F$23/Main!$K$3</f>
        <v>245.27636517051883</v>
      </c>
    </row>
    <row r="908" spans="1:3" x14ac:dyDescent="0.2">
      <c r="A908" s="43">
        <f t="shared" si="14"/>
        <v>898</v>
      </c>
      <c r="B908" s="43">
        <v>354.40596499470291</v>
      </c>
      <c r="C908" s="43">
        <f>($F$22+B908)*$F$23/Main!$K$3</f>
        <v>240.94744271712821</v>
      </c>
    </row>
    <row r="909" spans="1:3" x14ac:dyDescent="0.2">
      <c r="A909" s="43">
        <f t="shared" si="14"/>
        <v>899</v>
      </c>
      <c r="B909" s="43">
        <v>23202.404071761655</v>
      </c>
      <c r="C909" s="43">
        <f>($F$22+B909)*$F$23/Main!$K$3</f>
        <v>439.09329718750672</v>
      </c>
    </row>
    <row r="910" spans="1:3" x14ac:dyDescent="0.2">
      <c r="A910" s="43">
        <f t="shared" si="14"/>
        <v>900</v>
      </c>
      <c r="B910" s="43">
        <v>-1058.4100044206457</v>
      </c>
      <c r="C910" s="43">
        <f>($F$22+B910)*$F$23/Main!$K$3</f>
        <v>228.69500702621804</v>
      </c>
    </row>
    <row r="911" spans="1:3" x14ac:dyDescent="0.2">
      <c r="A911" s="43">
        <f t="shared" si="14"/>
        <v>901</v>
      </c>
      <c r="B911" s="43">
        <v>41985.602943668004</v>
      </c>
      <c r="C911" s="43">
        <f>($F$22+B911)*$F$23/Main!$K$3</f>
        <v>601.98778679526936</v>
      </c>
    </row>
    <row r="912" spans="1:3" x14ac:dyDescent="0.2">
      <c r="A912" s="43">
        <f t="shared" si="14"/>
        <v>902</v>
      </c>
      <c r="B912" s="43">
        <v>-1302.9784279824933</v>
      </c>
      <c r="C912" s="43">
        <f>($F$22+B912)*$F$23/Main!$K$3</f>
        <v>226.57402386451238</v>
      </c>
    </row>
    <row r="913" spans="1:3" x14ac:dyDescent="0.2">
      <c r="A913" s="43">
        <f t="shared" si="14"/>
        <v>903</v>
      </c>
      <c r="B913" s="43">
        <v>27885.857619488608</v>
      </c>
      <c r="C913" s="43">
        <f>($F$22+B913)*$F$23/Main!$K$3</f>
        <v>479.70984927010829</v>
      </c>
    </row>
    <row r="914" spans="1:3" x14ac:dyDescent="0.2">
      <c r="A914" s="43">
        <f t="shared" si="14"/>
        <v>904</v>
      </c>
      <c r="B914" s="43">
        <v>9910.6813968040769</v>
      </c>
      <c r="C914" s="43">
        <f>($F$22+B914)*$F$23/Main!$K$3</f>
        <v>323.82281552404999</v>
      </c>
    </row>
    <row r="915" spans="1:3" x14ac:dyDescent="0.2">
      <c r="A915" s="43">
        <f t="shared" si="14"/>
        <v>905</v>
      </c>
      <c r="B915" s="43">
        <v>2106.4953209255073</v>
      </c>
      <c r="C915" s="43">
        <f>($F$22+B915)*$F$23/Main!$K$3</f>
        <v>256.14217623019442</v>
      </c>
    </row>
    <row r="916" spans="1:3" x14ac:dyDescent="0.2">
      <c r="A916" s="43">
        <f t="shared" ref="A916:A979" si="15">A915+1</f>
        <v>906</v>
      </c>
      <c r="B916" s="43">
        <v>2942.6965291725601</v>
      </c>
      <c r="C916" s="43">
        <f>($F$22+B916)*$F$23/Main!$K$3</f>
        <v>263.39400644057082</v>
      </c>
    </row>
    <row r="917" spans="1:3" x14ac:dyDescent="0.2">
      <c r="A917" s="43">
        <f t="shared" si="15"/>
        <v>907</v>
      </c>
      <c r="B917" s="43">
        <v>8116.2130501392558</v>
      </c>
      <c r="C917" s="43">
        <f>($F$22+B917)*$F$23/Main!$K$3</f>
        <v>308.26055653713945</v>
      </c>
    </row>
    <row r="918" spans="1:3" x14ac:dyDescent="0.2">
      <c r="A918" s="43">
        <f t="shared" si="15"/>
        <v>908</v>
      </c>
      <c r="B918" s="43">
        <v>1014.2220110007938</v>
      </c>
      <c r="C918" s="43">
        <f>($F$22+B918)*$F$23/Main!$K$3</f>
        <v>246.66959892609702</v>
      </c>
    </row>
    <row r="919" spans="1:3" x14ac:dyDescent="0.2">
      <c r="A919" s="43">
        <f t="shared" si="15"/>
        <v>909</v>
      </c>
      <c r="B919" s="43">
        <v>170.55195412777638</v>
      </c>
      <c r="C919" s="43">
        <f>($F$22+B919)*$F$23/Main!$K$3</f>
        <v>239.35299624042602</v>
      </c>
    </row>
    <row r="920" spans="1:3" x14ac:dyDescent="0.2">
      <c r="A920" s="43">
        <f t="shared" si="15"/>
        <v>910</v>
      </c>
      <c r="B920" s="43">
        <v>5796.3695119129734</v>
      </c>
      <c r="C920" s="43">
        <f>($F$22+B920)*$F$23/Main!$K$3</f>
        <v>288.14205959174222</v>
      </c>
    </row>
    <row r="921" spans="1:3" x14ac:dyDescent="0.2">
      <c r="A921" s="43">
        <f t="shared" si="15"/>
        <v>911</v>
      </c>
      <c r="B921" s="43">
        <v>6227.8518680036013</v>
      </c>
      <c r="C921" s="43">
        <f>($F$22+B921)*$F$23/Main!$K$3</f>
        <v>291.88402594419688</v>
      </c>
    </row>
    <row r="922" spans="1:3" x14ac:dyDescent="0.2">
      <c r="A922" s="43">
        <f t="shared" si="15"/>
        <v>912</v>
      </c>
      <c r="B922" s="43">
        <v>4506.0608461198608</v>
      </c>
      <c r="C922" s="43">
        <f>($F$22+B922)*$F$23/Main!$K$3</f>
        <v>276.9520502123915</v>
      </c>
    </row>
    <row r="923" spans="1:3" x14ac:dyDescent="0.2">
      <c r="A923" s="43">
        <f t="shared" si="15"/>
        <v>913</v>
      </c>
      <c r="B923" s="43">
        <v>4853.8257329500902</v>
      </c>
      <c r="C923" s="43">
        <f>($F$22+B923)*$F$23/Main!$K$3</f>
        <v>279.96798930402514</v>
      </c>
    </row>
    <row r="924" spans="1:3" x14ac:dyDescent="0.2">
      <c r="A924" s="43">
        <f t="shared" si="15"/>
        <v>914</v>
      </c>
      <c r="B924" s="43">
        <v>4656.2928032916816</v>
      </c>
      <c r="C924" s="43">
        <f>($F$22+B924)*$F$23/Main!$K$3</f>
        <v>278.25491444511181</v>
      </c>
    </row>
    <row r="925" spans="1:3" x14ac:dyDescent="0.2">
      <c r="A925" s="43">
        <f t="shared" si="15"/>
        <v>915</v>
      </c>
      <c r="B925" s="43">
        <v>14886.465934400832</v>
      </c>
      <c r="C925" s="43">
        <f>($F$22+B925)*$F$23/Main!$K$3</f>
        <v>366.97456449809249</v>
      </c>
    </row>
    <row r="926" spans="1:3" x14ac:dyDescent="0.2">
      <c r="A926" s="43">
        <f t="shared" si="15"/>
        <v>916</v>
      </c>
      <c r="B926" s="43">
        <v>3819.6727883371382</v>
      </c>
      <c r="C926" s="43">
        <f>($F$22+B926)*$F$23/Main!$K$3</f>
        <v>270.99945219605411</v>
      </c>
    </row>
    <row r="927" spans="1:3" x14ac:dyDescent="0.2">
      <c r="A927" s="43">
        <f t="shared" si="15"/>
        <v>917</v>
      </c>
      <c r="B927" s="43">
        <v>-5660.648982531091</v>
      </c>
      <c r="C927" s="43">
        <f>($F$22+B927)*$F$23/Main!$K$3</f>
        <v>188.78277618072914</v>
      </c>
    </row>
    <row r="928" spans="1:3" x14ac:dyDescent="0.2">
      <c r="A928" s="43">
        <f t="shared" si="15"/>
        <v>918</v>
      </c>
      <c r="B928" s="43">
        <v>3791.9063511771301</v>
      </c>
      <c r="C928" s="43">
        <f>($F$22+B928)*$F$23/Main!$K$3</f>
        <v>270.75865191276631</v>
      </c>
    </row>
    <row r="929" spans="1:3" x14ac:dyDescent="0.2">
      <c r="A929" s="43">
        <f t="shared" si="15"/>
        <v>919</v>
      </c>
      <c r="B929" s="43">
        <v>451.53500097647174</v>
      </c>
      <c r="C929" s="43">
        <f>($F$22+B929)*$F$23/Main!$K$3</f>
        <v>241.7897797892235</v>
      </c>
    </row>
    <row r="930" spans="1:3" x14ac:dyDescent="0.2">
      <c r="A930" s="43">
        <f t="shared" si="15"/>
        <v>920</v>
      </c>
      <c r="B930" s="43">
        <v>8056.271805947712</v>
      </c>
      <c r="C930" s="43">
        <f>($F$22+B930)*$F$23/Main!$K$3</f>
        <v>307.74072504061843</v>
      </c>
    </row>
    <row r="931" spans="1:3" x14ac:dyDescent="0.2">
      <c r="A931" s="43">
        <f t="shared" si="15"/>
        <v>921</v>
      </c>
      <c r="B931" s="43">
        <v>657.07165632098395</v>
      </c>
      <c r="C931" s="43">
        <f>($F$22+B931)*$F$23/Main!$K$3</f>
        <v>243.57226576492738</v>
      </c>
    </row>
    <row r="932" spans="1:3" x14ac:dyDescent="0.2">
      <c r="A932" s="43">
        <f t="shared" si="15"/>
        <v>922</v>
      </c>
      <c r="B932" s="43">
        <v>5319.0994297005036</v>
      </c>
      <c r="C932" s="43">
        <f>($F$22+B932)*$F$23/Main!$K$3</f>
        <v>284.00300601640384</v>
      </c>
    </row>
    <row r="933" spans="1:3" x14ac:dyDescent="0.2">
      <c r="A933" s="43">
        <f t="shared" si="15"/>
        <v>923</v>
      </c>
      <c r="B933" s="43">
        <v>3695.9102547141047</v>
      </c>
      <c r="C933" s="43">
        <f>($F$22+B933)*$F$23/Main!$K$3</f>
        <v>269.92614008960345</v>
      </c>
    </row>
    <row r="934" spans="1:3" x14ac:dyDescent="0.2">
      <c r="A934" s="43">
        <f t="shared" si="15"/>
        <v>924</v>
      </c>
      <c r="B934" s="43">
        <v>3637.8469561083589</v>
      </c>
      <c r="C934" s="43">
        <f>($F$22+B934)*$F$23/Main!$K$3</f>
        <v>269.42259479597016</v>
      </c>
    </row>
    <row r="935" spans="1:3" x14ac:dyDescent="0.2">
      <c r="A935" s="43">
        <f t="shared" si="15"/>
        <v>925</v>
      </c>
      <c r="B935" s="43">
        <v>13427.411327763379</v>
      </c>
      <c r="C935" s="43">
        <f>($F$22+B935)*$F$23/Main!$K$3</f>
        <v>354.32113112506124</v>
      </c>
    </row>
    <row r="936" spans="1:3" x14ac:dyDescent="0.2">
      <c r="A936" s="43">
        <f t="shared" si="15"/>
        <v>926</v>
      </c>
      <c r="B936" s="43">
        <v>-802.00626779282118</v>
      </c>
      <c r="C936" s="43">
        <f>($F$22+B936)*$F$23/Main!$K$3</f>
        <v>230.91863017456163</v>
      </c>
    </row>
    <row r="937" spans="1:3" x14ac:dyDescent="0.2">
      <c r="A937" s="43">
        <f t="shared" si="15"/>
        <v>927</v>
      </c>
      <c r="B937" s="43">
        <v>1728.4834372233574</v>
      </c>
      <c r="C937" s="43">
        <f>($F$22+B937)*$F$23/Main!$K$3</f>
        <v>252.86392457129148</v>
      </c>
    </row>
    <row r="938" spans="1:3" x14ac:dyDescent="0.2">
      <c r="A938" s="43">
        <f t="shared" si="15"/>
        <v>928</v>
      </c>
      <c r="B938" s="43">
        <v>2327.8269252114951</v>
      </c>
      <c r="C938" s="43">
        <f>($F$22+B938)*$F$23/Main!$K$3</f>
        <v>258.06164154385607</v>
      </c>
    </row>
    <row r="939" spans="1:3" x14ac:dyDescent="0.2">
      <c r="A939" s="43">
        <f t="shared" si="15"/>
        <v>929</v>
      </c>
      <c r="B939" s="43">
        <v>1826.5748741595512</v>
      </c>
      <c r="C939" s="43">
        <f>($F$22+B939)*$F$23/Main!$K$3</f>
        <v>253.7146079220658</v>
      </c>
    </row>
    <row r="940" spans="1:3" x14ac:dyDescent="0.2">
      <c r="A940" s="43">
        <f t="shared" si="15"/>
        <v>930</v>
      </c>
      <c r="B940" s="43">
        <v>654.02220212399834</v>
      </c>
      <c r="C940" s="43">
        <f>($F$22+B940)*$F$23/Main!$K$3</f>
        <v>243.54581982840787</v>
      </c>
    </row>
    <row r="941" spans="1:3" x14ac:dyDescent="0.2">
      <c r="A941" s="43">
        <f t="shared" si="15"/>
        <v>931</v>
      </c>
      <c r="B941" s="43">
        <v>8429.088067397357</v>
      </c>
      <c r="C941" s="43">
        <f>($F$22+B941)*$F$23/Main!$K$3</f>
        <v>310.9739184407664</v>
      </c>
    </row>
    <row r="942" spans="1:3" x14ac:dyDescent="0.2">
      <c r="A942" s="43">
        <f t="shared" si="15"/>
        <v>932</v>
      </c>
      <c r="B942" s="43">
        <v>1626.9789455462817</v>
      </c>
      <c r="C942" s="43">
        <f>($F$22+B942)*$F$23/Main!$K$3</f>
        <v>251.98364201253293</v>
      </c>
    </row>
    <row r="943" spans="1:3" x14ac:dyDescent="0.2">
      <c r="A943" s="43">
        <f t="shared" si="15"/>
        <v>933</v>
      </c>
      <c r="B943" s="43">
        <v>567.84370509513178</v>
      </c>
      <c r="C943" s="43">
        <f>($F$22+B943)*$F$23/Main!$K$3</f>
        <v>242.79844967147056</v>
      </c>
    </row>
    <row r="944" spans="1:3" x14ac:dyDescent="0.2">
      <c r="A944" s="43">
        <f t="shared" si="15"/>
        <v>934</v>
      </c>
      <c r="B944" s="43">
        <v>-1643.5562787097213</v>
      </c>
      <c r="C944" s="43">
        <f>($F$22+B944)*$F$23/Main!$K$3</f>
        <v>223.62041327111669</v>
      </c>
    </row>
    <row r="945" spans="1:3" x14ac:dyDescent="0.2">
      <c r="A945" s="43">
        <f t="shared" si="15"/>
        <v>935</v>
      </c>
      <c r="B945" s="43">
        <v>23862.489344080321</v>
      </c>
      <c r="C945" s="43">
        <f>($F$22+B945)*$F$23/Main!$K$3</f>
        <v>444.81778822150051</v>
      </c>
    </row>
    <row r="946" spans="1:3" x14ac:dyDescent="0.2">
      <c r="A946" s="43">
        <f t="shared" si="15"/>
        <v>936</v>
      </c>
      <c r="B946" s="43">
        <v>1075.2192586786682</v>
      </c>
      <c r="C946" s="43">
        <f>($F$22+B946)*$F$23/Main!$K$3</f>
        <v>247.19858845528884</v>
      </c>
    </row>
    <row r="947" spans="1:3" x14ac:dyDescent="0.2">
      <c r="A947" s="43">
        <f t="shared" si="15"/>
        <v>937</v>
      </c>
      <c r="B947" s="43">
        <v>1028.0110009823147</v>
      </c>
      <c r="C947" s="43">
        <f>($F$22+B947)*$F$23/Main!$K$3</f>
        <v>246.78918188428025</v>
      </c>
    </row>
    <row r="948" spans="1:3" x14ac:dyDescent="0.2">
      <c r="A948" s="43">
        <f t="shared" si="15"/>
        <v>938</v>
      </c>
      <c r="B948" s="43">
        <v>4698.3625653831123</v>
      </c>
      <c r="C948" s="43">
        <f>($F$22+B948)*$F$23/Main!$K$3</f>
        <v>278.61975817969278</v>
      </c>
    </row>
    <row r="949" spans="1:3" x14ac:dyDescent="0.2">
      <c r="A949" s="43">
        <f t="shared" si="15"/>
        <v>939</v>
      </c>
      <c r="B949" s="43">
        <v>1725.4786772206869</v>
      </c>
      <c r="C949" s="43">
        <f>($F$22+B949)*$F$23/Main!$K$3</f>
        <v>252.83786623850338</v>
      </c>
    </row>
    <row r="950" spans="1:3" x14ac:dyDescent="0.2">
      <c r="A950" s="43">
        <f t="shared" si="15"/>
        <v>940</v>
      </c>
      <c r="B950" s="43">
        <v>7959.1829710736856</v>
      </c>
      <c r="C950" s="43">
        <f>($F$22+B950)*$F$23/Main!$K$3</f>
        <v>306.8987366066317</v>
      </c>
    </row>
    <row r="951" spans="1:3" x14ac:dyDescent="0.2">
      <c r="A951" s="43">
        <f t="shared" si="15"/>
        <v>941</v>
      </c>
      <c r="B951" s="43">
        <v>3817.0209131049514</v>
      </c>
      <c r="C951" s="43">
        <f>($F$22+B951)*$F$23/Main!$K$3</f>
        <v>270.97645420378473</v>
      </c>
    </row>
    <row r="952" spans="1:3" x14ac:dyDescent="0.2">
      <c r="A952" s="43">
        <f t="shared" si="15"/>
        <v>942</v>
      </c>
      <c r="B952" s="43">
        <v>9340.8933320814558</v>
      </c>
      <c r="C952" s="43">
        <f>($F$22+B952)*$F$23/Main!$K$3</f>
        <v>318.88141354984162</v>
      </c>
    </row>
    <row r="953" spans="1:3" x14ac:dyDescent="0.2">
      <c r="A953" s="43">
        <f t="shared" si="15"/>
        <v>943</v>
      </c>
      <c r="B953" s="43">
        <v>7550.2029891172961</v>
      </c>
      <c r="C953" s="43">
        <f>($F$22+B953)*$F$23/Main!$K$3</f>
        <v>303.35191873631561</v>
      </c>
    </row>
    <row r="954" spans="1:3" x14ac:dyDescent="0.2">
      <c r="A954" s="43">
        <f t="shared" si="15"/>
        <v>944</v>
      </c>
      <c r="B954" s="43">
        <v>8465.6603046115779</v>
      </c>
      <c r="C954" s="43">
        <f>($F$22+B954)*$F$23/Main!$K$3</f>
        <v>311.29108571112602</v>
      </c>
    </row>
    <row r="955" spans="1:3" x14ac:dyDescent="0.2">
      <c r="A955" s="43">
        <f t="shared" si="15"/>
        <v>945</v>
      </c>
      <c r="B955" s="43">
        <v>-673.32932652839179</v>
      </c>
      <c r="C955" s="43">
        <f>($F$22+B955)*$F$23/Main!$K$3</f>
        <v>232.03456174801201</v>
      </c>
    </row>
    <row r="956" spans="1:3" x14ac:dyDescent="0.2">
      <c r="A956" s="43">
        <f t="shared" si="15"/>
        <v>946</v>
      </c>
      <c r="B956" s="43">
        <v>15630.427064580541</v>
      </c>
      <c r="C956" s="43">
        <f>($F$22+B956)*$F$23/Main!$K$3</f>
        <v>373.42645639441344</v>
      </c>
    </row>
    <row r="957" spans="1:3" x14ac:dyDescent="0.2">
      <c r="A957" s="43">
        <f t="shared" si="15"/>
        <v>947</v>
      </c>
      <c r="B957" s="43">
        <v>4451.5515353356586</v>
      </c>
      <c r="C957" s="43">
        <f>($F$22+B957)*$F$23/Main!$K$3</f>
        <v>276.47932634785616</v>
      </c>
    </row>
    <row r="958" spans="1:3" x14ac:dyDescent="0.2">
      <c r="A958" s="43">
        <f t="shared" si="15"/>
        <v>948</v>
      </c>
      <c r="B958" s="43">
        <v>14255.403665129939</v>
      </c>
      <c r="C958" s="43">
        <f>($F$22+B958)*$F$23/Main!$K$3</f>
        <v>361.50177112755802</v>
      </c>
    </row>
    <row r="959" spans="1:3" x14ac:dyDescent="0.2">
      <c r="A959" s="43">
        <f t="shared" si="15"/>
        <v>949</v>
      </c>
      <c r="B959" s="43">
        <v>40293.073733182129</v>
      </c>
      <c r="C959" s="43">
        <f>($F$22+B959)*$F$23/Main!$K$3</f>
        <v>587.30957975670742</v>
      </c>
    </row>
    <row r="960" spans="1:3" x14ac:dyDescent="0.2">
      <c r="A960" s="43">
        <f t="shared" si="15"/>
        <v>950</v>
      </c>
      <c r="B960" s="43">
        <v>706.09928209117083</v>
      </c>
      <c r="C960" s="43">
        <f>($F$22+B960)*$F$23/Main!$K$3</f>
        <v>243.99745053409154</v>
      </c>
    </row>
    <row r="961" spans="1:3" x14ac:dyDescent="0.2">
      <c r="A961" s="43">
        <f t="shared" si="15"/>
        <v>951</v>
      </c>
      <c r="B961" s="43">
        <v>11754.937441760801</v>
      </c>
      <c r="C961" s="43">
        <f>($F$22+B961)*$F$23/Main!$K$3</f>
        <v>339.81685089566014</v>
      </c>
    </row>
    <row r="962" spans="1:3" x14ac:dyDescent="0.2">
      <c r="A962" s="43">
        <f t="shared" si="15"/>
        <v>952</v>
      </c>
      <c r="B962" s="43">
        <v>13954.083893696848</v>
      </c>
      <c r="C962" s="43">
        <f>($F$22+B962)*$F$23/Main!$K$3</f>
        <v>358.88862036921023</v>
      </c>
    </row>
    <row r="963" spans="1:3" x14ac:dyDescent="0.2">
      <c r="A963" s="43">
        <f t="shared" si="15"/>
        <v>953</v>
      </c>
      <c r="B963" s="43">
        <v>-3738.4076115871326</v>
      </c>
      <c r="C963" s="43">
        <f>($F$22+B963)*$F$23/Main!$K$3</f>
        <v>205.453127655907</v>
      </c>
    </row>
    <row r="964" spans="1:3" x14ac:dyDescent="0.2">
      <c r="A964" s="43">
        <f t="shared" si="15"/>
        <v>954</v>
      </c>
      <c r="B964" s="43">
        <v>1590.4635576995329</v>
      </c>
      <c r="C964" s="43">
        <f>($F$22+B964)*$F$23/Main!$K$3</f>
        <v>251.6669677598303</v>
      </c>
    </row>
    <row r="965" spans="1:3" x14ac:dyDescent="0.2">
      <c r="A965" s="43">
        <f t="shared" si="15"/>
        <v>955</v>
      </c>
      <c r="B965" s="43">
        <v>1839.0334498879286</v>
      </c>
      <c r="C965" s="43">
        <f>($F$22+B965)*$F$23/Main!$K$3</f>
        <v>253.82265306114743</v>
      </c>
    </row>
    <row r="966" spans="1:3" x14ac:dyDescent="0.2">
      <c r="A966" s="43">
        <f t="shared" si="15"/>
        <v>956</v>
      </c>
      <c r="B966" s="43">
        <v>7931.3050682084249</v>
      </c>
      <c r="C966" s="43">
        <f>($F$22+B966)*$F$23/Main!$K$3</f>
        <v>306.6569696536468</v>
      </c>
    </row>
    <row r="967" spans="1:3" x14ac:dyDescent="0.2">
      <c r="A967" s="43">
        <f t="shared" si="15"/>
        <v>957</v>
      </c>
      <c r="B967" s="43">
        <v>6731.5441440177165</v>
      </c>
      <c r="C967" s="43">
        <f>($F$22+B967)*$F$23/Main!$K$3</f>
        <v>296.25222205286985</v>
      </c>
    </row>
    <row r="968" spans="1:3" x14ac:dyDescent="0.2">
      <c r="A968" s="43">
        <f t="shared" si="15"/>
        <v>958</v>
      </c>
      <c r="B968" s="43">
        <v>4097.3547890792543</v>
      </c>
      <c r="C968" s="43">
        <f>($F$22+B968)*$F$23/Main!$K$3</f>
        <v>273.40760791503567</v>
      </c>
    </row>
    <row r="969" spans="1:3" x14ac:dyDescent="0.2">
      <c r="A969" s="43">
        <f t="shared" si="15"/>
        <v>959</v>
      </c>
      <c r="B969" s="43">
        <v>75.018434010180059</v>
      </c>
      <c r="C969" s="43">
        <f>($F$22+B969)*$F$23/Main!$K$3</f>
        <v>238.52449604159864</v>
      </c>
    </row>
    <row r="970" spans="1:3" x14ac:dyDescent="0.2">
      <c r="A970" s="43">
        <f t="shared" si="15"/>
        <v>960</v>
      </c>
      <c r="B970" s="43">
        <v>1352.8972654852003</v>
      </c>
      <c r="C970" s="43">
        <f>($F$22+B970)*$F$23/Main!$K$3</f>
        <v>249.60670953745995</v>
      </c>
    </row>
    <row r="971" spans="1:3" x14ac:dyDescent="0.2">
      <c r="A971" s="43">
        <f t="shared" si="15"/>
        <v>961</v>
      </c>
      <c r="B971" s="43">
        <v>3716.5911342762856</v>
      </c>
      <c r="C971" s="43">
        <f>($F$22+B971)*$F$23/Main!$K$3</f>
        <v>270.10549193184795</v>
      </c>
    </row>
    <row r="972" spans="1:3" x14ac:dyDescent="0.2">
      <c r="A972" s="43">
        <f t="shared" si="15"/>
        <v>962</v>
      </c>
      <c r="B972" s="43">
        <v>5367.4135612840028</v>
      </c>
      <c r="C972" s="43">
        <f>($F$22+B972)*$F$23/Main!$K$3</f>
        <v>284.42200311369317</v>
      </c>
    </row>
    <row r="973" spans="1:3" x14ac:dyDescent="0.2">
      <c r="A973" s="43">
        <f t="shared" si="15"/>
        <v>963</v>
      </c>
      <c r="B973" s="43">
        <v>27931.287492858817</v>
      </c>
      <c r="C973" s="43">
        <f>($F$22+B973)*$F$23/Main!$K$3</f>
        <v>480.10383306839799</v>
      </c>
    </row>
    <row r="974" spans="1:3" x14ac:dyDescent="0.2">
      <c r="A974" s="43">
        <f t="shared" si="15"/>
        <v>964</v>
      </c>
      <c r="B974" s="43">
        <v>9589.4551331197072</v>
      </c>
      <c r="C974" s="43">
        <f>($F$22+B974)*$F$23/Main!$K$3</f>
        <v>321.03702868186645</v>
      </c>
    </row>
    <row r="975" spans="1:3" x14ac:dyDescent="0.2">
      <c r="A975" s="43">
        <f t="shared" si="15"/>
        <v>965</v>
      </c>
      <c r="B975" s="43">
        <v>777.76416640299715</v>
      </c>
      <c r="C975" s="43">
        <f>($F$22+B975)*$F$23/Main!$K$3</f>
        <v>244.61895355029154</v>
      </c>
    </row>
    <row r="976" spans="1:3" x14ac:dyDescent="0.2">
      <c r="A976" s="43">
        <f t="shared" si="15"/>
        <v>966</v>
      </c>
      <c r="B976" s="43">
        <v>3839.4990438141267</v>
      </c>
      <c r="C976" s="43">
        <f>($F$22+B976)*$F$23/Main!$K$3</f>
        <v>271.17139243843673</v>
      </c>
    </row>
    <row r="977" spans="1:3" x14ac:dyDescent="0.2">
      <c r="A977" s="43">
        <f t="shared" si="15"/>
        <v>967</v>
      </c>
      <c r="B977" s="43">
        <v>5341.2818666299827</v>
      </c>
      <c r="C977" s="43">
        <f>($F$22+B977)*$F$23/Main!$K$3</f>
        <v>284.19537989087149</v>
      </c>
    </row>
    <row r="978" spans="1:3" x14ac:dyDescent="0.2">
      <c r="A978" s="43">
        <f t="shared" si="15"/>
        <v>968</v>
      </c>
      <c r="B978" s="43">
        <v>12548.294742679331</v>
      </c>
      <c r="C978" s="43">
        <f>($F$22+B978)*$F$23/Main!$K$3</f>
        <v>346.69712371239564</v>
      </c>
    </row>
    <row r="979" spans="1:3" x14ac:dyDescent="0.2">
      <c r="A979" s="43">
        <f t="shared" si="15"/>
        <v>969</v>
      </c>
      <c r="B979" s="43">
        <v>23572.352651491772</v>
      </c>
      <c r="C979" s="43">
        <f>($F$22+B979)*$F$23/Main!$K$3</f>
        <v>442.30162104582388</v>
      </c>
    </row>
    <row r="980" spans="1:3" x14ac:dyDescent="0.2">
      <c r="A980" s="43">
        <f t="shared" ref="A980:A996" si="16">A979+1</f>
        <v>970</v>
      </c>
      <c r="B980" s="43">
        <v>16989.87143098173</v>
      </c>
      <c r="C980" s="43">
        <f>($F$22+B980)*$F$23/Main!$K$3</f>
        <v>385.21603482166859</v>
      </c>
    </row>
    <row r="981" spans="1:3" x14ac:dyDescent="0.2">
      <c r="A981" s="43">
        <f t="shared" si="16"/>
        <v>971</v>
      </c>
      <c r="B981" s="43">
        <v>346.01964841136066</v>
      </c>
      <c r="C981" s="43">
        <f>($F$22+B981)*$F$23/Main!$K$3</f>
        <v>240.8747136378671</v>
      </c>
    </row>
    <row r="982" spans="1:3" x14ac:dyDescent="0.2">
      <c r="A982" s="43">
        <f t="shared" si="16"/>
        <v>972</v>
      </c>
      <c r="B982" s="43">
        <v>9324.2099729528363</v>
      </c>
      <c r="C982" s="43">
        <f>($F$22+B982)*$F$23/Main!$K$3</f>
        <v>318.73672960709405</v>
      </c>
    </row>
    <row r="983" spans="1:3" x14ac:dyDescent="0.2">
      <c r="A983" s="43">
        <f t="shared" si="16"/>
        <v>973</v>
      </c>
      <c r="B983" s="43">
        <v>-1748.7670452748782</v>
      </c>
      <c r="C983" s="43">
        <f>($F$22+B983)*$F$23/Main!$K$3</f>
        <v>222.70798859639814</v>
      </c>
    </row>
    <row r="984" spans="1:3" x14ac:dyDescent="0.2">
      <c r="A984" s="43">
        <f t="shared" si="16"/>
        <v>974</v>
      </c>
      <c r="B984" s="43">
        <v>23291.884555784749</v>
      </c>
      <c r="C984" s="43">
        <f>($F$22+B984)*$F$23/Main!$K$3</f>
        <v>439.86930333396765</v>
      </c>
    </row>
    <row r="985" spans="1:3" x14ac:dyDescent="0.2">
      <c r="A985" s="43">
        <f t="shared" si="16"/>
        <v>975</v>
      </c>
      <c r="B985" s="43">
        <v>10073.712109167502</v>
      </c>
      <c r="C985" s="43">
        <f>($F$22+B985)*$F$23/Main!$K$3</f>
        <v>325.23667505148916</v>
      </c>
    </row>
    <row r="986" spans="1:3" x14ac:dyDescent="0.2">
      <c r="A986" s="43">
        <f t="shared" si="16"/>
        <v>976</v>
      </c>
      <c r="B986" s="43">
        <v>5602.10547887132</v>
      </c>
      <c r="C986" s="43">
        <f>($F$22+B986)*$F$23/Main!$K$3</f>
        <v>286.45733375099127</v>
      </c>
    </row>
    <row r="987" spans="1:3" x14ac:dyDescent="0.2">
      <c r="A987" s="43">
        <f t="shared" si="16"/>
        <v>977</v>
      </c>
      <c r="B987" s="43">
        <v>2926.4519074287523</v>
      </c>
      <c r="C987" s="43">
        <f>($F$22+B987)*$F$23/Main!$K$3</f>
        <v>263.25312738232975</v>
      </c>
    </row>
    <row r="988" spans="1:3" x14ac:dyDescent="0.2">
      <c r="A988" s="43">
        <f t="shared" si="16"/>
        <v>978</v>
      </c>
      <c r="B988" s="43">
        <v>16619.073879178475</v>
      </c>
      <c r="C988" s="43">
        <f>($F$22+B988)*$F$23/Main!$K$3</f>
        <v>382.00034837972078</v>
      </c>
    </row>
    <row r="989" spans="1:3" x14ac:dyDescent="0.2">
      <c r="A989" s="43">
        <f t="shared" si="16"/>
        <v>979</v>
      </c>
      <c r="B989" s="43">
        <v>-2280.8768413961889</v>
      </c>
      <c r="C989" s="43">
        <f>($F$22+B989)*$F$23/Main!$K$3</f>
        <v>218.0933457847249</v>
      </c>
    </row>
    <row r="990" spans="1:3" x14ac:dyDescent="0.2">
      <c r="A990" s="43">
        <f t="shared" si="16"/>
        <v>980</v>
      </c>
      <c r="B990" s="43">
        <v>50118.441107773804</v>
      </c>
      <c r="C990" s="43">
        <f>($F$22+B990)*$F$23/Main!$K$3</f>
        <v>672.51861228666201</v>
      </c>
    </row>
    <row r="991" spans="1:3" x14ac:dyDescent="0.2">
      <c r="A991" s="43">
        <f t="shared" si="16"/>
        <v>981</v>
      </c>
      <c r="B991" s="43">
        <v>22541.225043614653</v>
      </c>
      <c r="C991" s="43">
        <f>($F$22+B991)*$F$23/Main!$K$3</f>
        <v>433.35932071928909</v>
      </c>
    </row>
    <row r="992" spans="1:3" x14ac:dyDescent="0.2">
      <c r="A992" s="43">
        <f t="shared" si="16"/>
        <v>982</v>
      </c>
      <c r="B992" s="43">
        <v>889.25545306838342</v>
      </c>
      <c r="C992" s="43">
        <f>($F$22+B992)*$F$23/Main!$K$3</f>
        <v>245.58584509847367</v>
      </c>
    </row>
    <row r="993" spans="1:3" x14ac:dyDescent="0.2">
      <c r="A993" s="43">
        <f t="shared" si="16"/>
        <v>983</v>
      </c>
      <c r="B993" s="43">
        <v>5899.533757748829</v>
      </c>
      <c r="C993" s="43">
        <f>($F$22+B993)*$F$23/Main!$K$3</f>
        <v>289.03673612079376</v>
      </c>
    </row>
    <row r="994" spans="1:3" x14ac:dyDescent="0.2">
      <c r="A994" s="43">
        <f t="shared" si="16"/>
        <v>984</v>
      </c>
      <c r="B994" s="43">
        <v>10488.011745214508</v>
      </c>
      <c r="C994" s="43">
        <f>($F$22+B994)*$F$23/Main!$K$3</f>
        <v>328.82962682816969</v>
      </c>
    </row>
    <row r="995" spans="1:3" x14ac:dyDescent="0.2">
      <c r="A995" s="43">
        <f t="shared" si="16"/>
        <v>985</v>
      </c>
      <c r="B995" s="43">
        <v>10527.752988281873</v>
      </c>
      <c r="C995" s="43">
        <f>($F$22+B995)*$F$23/Main!$K$3</f>
        <v>329.17427682894873</v>
      </c>
    </row>
    <row r="996" spans="1:3" x14ac:dyDescent="0.2">
      <c r="A996" s="43">
        <f t="shared" si="16"/>
        <v>986</v>
      </c>
      <c r="B996" s="43">
        <v>482.29499742703564</v>
      </c>
      <c r="C996" s="43">
        <f>($F$22+B996)*$F$23/Main!$K$3</f>
        <v>242.05654126879475</v>
      </c>
    </row>
    <row r="997" spans="1:3" x14ac:dyDescent="0.2">
      <c r="A997" s="43">
        <f t="shared" ref="A997:A1006" si="17">A996+1</f>
        <v>987</v>
      </c>
      <c r="B997" s="43">
        <v>20113.907236299059</v>
      </c>
      <c r="C997" s="43">
        <f>($F$22+B997)*$F$23/Main!$K$3</f>
        <v>412.30876921126588</v>
      </c>
    </row>
    <row r="998" spans="1:3" x14ac:dyDescent="0.2">
      <c r="A998" s="43">
        <f t="shared" si="17"/>
        <v>988</v>
      </c>
      <c r="B998" s="43">
        <v>3837.0196861599143</v>
      </c>
      <c r="C998" s="43">
        <f>($F$22+B998)*$F$23/Main!$K$3</f>
        <v>271.14989057912129</v>
      </c>
    </row>
    <row r="999" spans="1:3" x14ac:dyDescent="0.2">
      <c r="A999" s="43">
        <f t="shared" si="17"/>
        <v>989</v>
      </c>
      <c r="B999" s="43">
        <v>22304.239428164041</v>
      </c>
      <c r="C999" s="43">
        <f>($F$22+B999)*$F$23/Main!$K$3</f>
        <v>431.30409832951034</v>
      </c>
    </row>
    <row r="1000" spans="1:3" x14ac:dyDescent="0.2">
      <c r="A1000" s="43">
        <f t="shared" si="17"/>
        <v>990</v>
      </c>
      <c r="B1000" s="43">
        <v>3639.096663895431</v>
      </c>
      <c r="C1000" s="43">
        <f>($F$22+B1000)*$F$23/Main!$K$3</f>
        <v>269.4334327002868</v>
      </c>
    </row>
    <row r="1001" spans="1:3" x14ac:dyDescent="0.2">
      <c r="A1001" s="43">
        <f t="shared" si="17"/>
        <v>991</v>
      </c>
      <c r="B1001" s="43">
        <v>8720.0429528389959</v>
      </c>
      <c r="C1001" s="43">
        <f>($F$22+B1001)*$F$23/Main!$K$3</f>
        <v>313.49718127188021</v>
      </c>
    </row>
    <row r="1002" spans="1:3" x14ac:dyDescent="0.2">
      <c r="A1002" s="43">
        <f t="shared" si="17"/>
        <v>992</v>
      </c>
      <c r="B1002" s="43">
        <v>10795.678668404735</v>
      </c>
      <c r="C1002" s="43">
        <f>($F$22+B1002)*$F$23/Main!$K$3</f>
        <v>331.4978223130837</v>
      </c>
    </row>
    <row r="1003" spans="1:3" x14ac:dyDescent="0.2">
      <c r="A1003" s="43">
        <f t="shared" si="17"/>
        <v>993</v>
      </c>
      <c r="B1003" s="43">
        <v>458.70464801933508</v>
      </c>
      <c r="C1003" s="43">
        <f>($F$22+B1003)*$F$23/Main!$K$3</f>
        <v>241.85195748343199</v>
      </c>
    </row>
    <row r="1004" spans="1:3" x14ac:dyDescent="0.2">
      <c r="A1004" s="43">
        <f t="shared" si="17"/>
        <v>994</v>
      </c>
      <c r="B1004" s="43">
        <v>320.00446344616807</v>
      </c>
      <c r="C1004" s="43">
        <f>($F$22+B1004)*$F$23/Main!$K$3</f>
        <v>240.64910082793753</v>
      </c>
    </row>
    <row r="1005" spans="1:3" x14ac:dyDescent="0.2">
      <c r="A1005" s="43">
        <f t="shared" si="17"/>
        <v>995</v>
      </c>
      <c r="B1005" s="43">
        <v>812.70285513404633</v>
      </c>
      <c r="C1005" s="43">
        <f>($F$22+B1005)*$F$23/Main!$K$3</f>
        <v>244.92195411516983</v>
      </c>
    </row>
    <row r="1006" spans="1:3" x14ac:dyDescent="0.2">
      <c r="A1006" s="43">
        <f t="shared" si="17"/>
        <v>996</v>
      </c>
      <c r="B1006" s="43">
        <v>13449.891015536061</v>
      </c>
      <c r="C1006" s="43">
        <f>($F$22+B1006)*$F$23/Main!$K$3</f>
        <v>354.51608286311426</v>
      </c>
    </row>
    <row r="1007" spans="1:3" x14ac:dyDescent="0.2">
      <c r="A1007" s="43">
        <f t="shared" ref="A1007:A1009" si="18">A1006+1</f>
        <v>997</v>
      </c>
      <c r="B1007" s="43">
        <v>21035.233228763143</v>
      </c>
      <c r="C1007" s="43">
        <f>($F$22+B1007)*$F$23/Main!$K$3</f>
        <v>420.2988314114416</v>
      </c>
    </row>
    <row r="1008" spans="1:3" x14ac:dyDescent="0.2">
      <c r="A1008" s="43">
        <f t="shared" si="18"/>
        <v>998</v>
      </c>
      <c r="B1008" s="43">
        <v>-808.65509886745224</v>
      </c>
      <c r="C1008" s="43">
        <f>($F$22+B1008)*$F$23/Main!$K$3</f>
        <v>230.86096917912755</v>
      </c>
    </row>
    <row r="1009" spans="1:4" x14ac:dyDescent="0.2">
      <c r="A1009" s="43">
        <f t="shared" si="18"/>
        <v>999</v>
      </c>
      <c r="B1009" s="43">
        <v>4520.5243513941923</v>
      </c>
      <c r="C1009" s="43">
        <f>($F$22+B1009)*$F$23/Main!$K$3</f>
        <v>277.07748280380838</v>
      </c>
    </row>
    <row r="1010" spans="1:4" x14ac:dyDescent="0.2">
      <c r="A1010" s="43">
        <f t="shared" ref="A1010" si="19">A1009+1</f>
        <v>1000</v>
      </c>
      <c r="B1010" s="43">
        <v>9196.7479066455016</v>
      </c>
      <c r="C1010" s="43">
        <f>($F$22+B1010)*$F$23/Main!$K$3</f>
        <v>317.63133385543966</v>
      </c>
      <c r="D1010" s="43" t="s">
        <v>212</v>
      </c>
    </row>
  </sheetData>
  <hyperlinks>
    <hyperlink ref="A1" location="Main!A1" display="Main" xr:uid="{38F51FC6-9BC8-4E1B-AFF0-6F5DC11B6E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CC Model</vt:lpstr>
      <vt:lpstr>Literature</vt:lpstr>
      <vt:lpstr>Management</vt:lpstr>
      <vt:lpstr>Q&amp;A</vt:lpstr>
      <vt:lpstr>Monte Carlo Simulation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2026-03-03T08:34:30Z</dcterms:modified>
</cp:coreProperties>
</file>