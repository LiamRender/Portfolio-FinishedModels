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7sher\Downloads\"/>
    </mc:Choice>
  </mc:AlternateContent>
  <xr:revisionPtr revIDLastSave="0" documentId="13_ncr:1_{5A2B5FDC-A0AB-4AFC-81DD-8DB469EACC41}" xr6:coauthVersionLast="47" xr6:coauthVersionMax="47" xr10:uidLastSave="{00000000-0000-0000-0000-000000000000}"/>
  <bookViews>
    <workbookView xWindow="2025" yWindow="570" windowWidth="18030" windowHeight="13680" activeTab="2" xr2:uid="{B5255683-9904-4B96-B116-504FB2085B5B}"/>
  </bookViews>
  <sheets>
    <sheet name="Main" sheetId="1" r:id="rId1"/>
    <sheet name="Model" sheetId="2" r:id="rId2"/>
    <sheet name="CC Model" sheetId="4" r:id="rId3"/>
    <sheet name="Literature" sheetId="3" r:id="rId4"/>
    <sheet name="Management" sheetId="6"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12" i="2" l="1"/>
  <c r="AC12" i="2" s="1"/>
  <c r="AD12" i="2" s="1"/>
  <c r="AA16" i="2"/>
  <c r="AA20" i="2"/>
  <c r="AB20" i="2"/>
  <c r="AC20" i="2"/>
  <c r="AD20" i="2"/>
  <c r="Y10" i="2"/>
  <c r="Y12" i="2"/>
  <c r="C6" i="4"/>
  <c r="C7" i="4" s="1"/>
  <c r="Y9" i="2" s="1"/>
  <c r="AE101" i="2"/>
  <c r="AE87" i="2"/>
  <c r="X105" i="2"/>
  <c r="Z70" i="2"/>
  <c r="Y89" i="2"/>
  <c r="X89" i="2"/>
  <c r="Y71" i="2"/>
  <c r="W88" i="2"/>
  <c r="X88" i="2"/>
  <c r="V88" i="2"/>
  <c r="C28" i="4" l="1"/>
  <c r="Y11" i="2"/>
  <c r="W87" i="2"/>
  <c r="X87" i="2"/>
  <c r="V87" i="2"/>
  <c r="W101" i="2"/>
  <c r="X101" i="2"/>
  <c r="Y101" i="2"/>
  <c r="Z101" i="2"/>
  <c r="AA101" i="2"/>
  <c r="AB101" i="2"/>
  <c r="AC101" i="2"/>
  <c r="AD101" i="2"/>
  <c r="V101" i="2"/>
  <c r="W95" i="2"/>
  <c r="X95" i="2"/>
  <c r="Y95" i="2"/>
  <c r="V95" i="2"/>
  <c r="X68" i="2" l="1"/>
  <c r="W68" i="2"/>
  <c r="W73" i="2" s="1"/>
  <c r="X66" i="2"/>
  <c r="W57" i="2"/>
  <c r="Y20" i="2"/>
  <c r="Z20" i="2" s="1"/>
  <c r="Y83" i="2"/>
  <c r="W66" i="2" l="1"/>
  <c r="W74" i="2" s="1"/>
  <c r="W56" i="2"/>
  <c r="X73" i="2"/>
  <c r="X56" i="2"/>
  <c r="X103" i="2"/>
  <c r="V103" i="2"/>
  <c r="V105" i="2"/>
  <c r="W103" i="2"/>
  <c r="W105" i="2"/>
  <c r="X74" i="2"/>
  <c r="W75" i="2"/>
  <c r="X75" i="2"/>
  <c r="Z9" i="2"/>
  <c r="AA9" i="2" s="1"/>
  <c r="U25" i="2"/>
  <c r="V25" i="2" s="1"/>
  <c r="R25" i="2"/>
  <c r="L18" i="2"/>
  <c r="M18" i="2" s="1"/>
  <c r="N18" i="2" s="1"/>
  <c r="O18" i="2" s="1"/>
  <c r="P18" i="2" s="1"/>
  <c r="Q18" i="2" s="1"/>
  <c r="R18" i="2" s="1"/>
  <c r="S18" i="2" s="1"/>
  <c r="T18" i="2" s="1"/>
  <c r="U18" i="2" s="1"/>
  <c r="V18" i="2" s="1"/>
  <c r="W18" i="2" s="1"/>
  <c r="X18" i="2" s="1"/>
  <c r="M2" i="2"/>
  <c r="N2" i="2" s="1"/>
  <c r="O2" i="2" s="1"/>
  <c r="P2" i="2" s="1"/>
  <c r="Q2" i="2" s="1"/>
  <c r="R2" i="2" s="1"/>
  <c r="Y16" i="2"/>
  <c r="Y17" i="2"/>
  <c r="Y21" i="2"/>
  <c r="Z21" i="2" s="1"/>
  <c r="Y4" i="2"/>
  <c r="Y5" i="2"/>
  <c r="K6" i="1"/>
  <c r="K5" i="1"/>
  <c r="Y38" i="2"/>
  <c r="Y39" i="2"/>
  <c r="Z39" i="2" s="1"/>
  <c r="AA39" i="2" s="1"/>
  <c r="AB39" i="2" s="1"/>
  <c r="AC39" i="2" s="1"/>
  <c r="AD39" i="2" s="1"/>
  <c r="T51" i="2"/>
  <c r="U51" i="2"/>
  <c r="V51" i="2"/>
  <c r="S40" i="2"/>
  <c r="S41" i="2" s="1"/>
  <c r="S43" i="2" s="1"/>
  <c r="S45" i="2" s="1"/>
  <c r="S47" i="2" s="1"/>
  <c r="T40" i="2"/>
  <c r="T41" i="2" s="1"/>
  <c r="T43" i="2" s="1"/>
  <c r="T45" i="2" s="1"/>
  <c r="T47" i="2" s="1"/>
  <c r="U40" i="2"/>
  <c r="U41" i="2" s="1"/>
  <c r="U43" i="2" s="1"/>
  <c r="U45" i="2" s="1"/>
  <c r="U47" i="2" s="1"/>
  <c r="S35" i="2"/>
  <c r="T35" i="2"/>
  <c r="U35" i="2"/>
  <c r="S31" i="2"/>
  <c r="T31" i="2"/>
  <c r="U31" i="2"/>
  <c r="I39" i="2"/>
  <c r="J39" i="2" s="1"/>
  <c r="I38" i="2"/>
  <c r="J38" i="2" s="1"/>
  <c r="I37" i="2"/>
  <c r="J37" i="2" s="1"/>
  <c r="I46" i="2"/>
  <c r="J46" i="2" s="1"/>
  <c r="D40" i="2"/>
  <c r="E40" i="2"/>
  <c r="F40" i="2"/>
  <c r="G40" i="2"/>
  <c r="H40" i="2"/>
  <c r="C40" i="2"/>
  <c r="H58" i="2"/>
  <c r="H57" i="2"/>
  <c r="C56" i="2"/>
  <c r="D56" i="2"/>
  <c r="E56" i="2"/>
  <c r="F56" i="2"/>
  <c r="E35" i="2"/>
  <c r="F35" i="2"/>
  <c r="G35" i="2"/>
  <c r="G36" i="2" s="1"/>
  <c r="G53" i="2" s="1"/>
  <c r="H35" i="2"/>
  <c r="C35" i="2"/>
  <c r="D35" i="2"/>
  <c r="H31" i="2"/>
  <c r="H50" i="2" s="1"/>
  <c r="F31" i="2"/>
  <c r="E31" i="2"/>
  <c r="C31" i="2"/>
  <c r="G49" i="2" s="1"/>
  <c r="D31" i="2"/>
  <c r="W31" i="2"/>
  <c r="X31" i="2" s="1"/>
  <c r="X51" i="2"/>
  <c r="W51" i="2"/>
  <c r="X42" i="2"/>
  <c r="W42" i="2"/>
  <c r="V42" i="2"/>
  <c r="W40" i="2"/>
  <c r="X40" i="2"/>
  <c r="V40" i="2"/>
  <c r="W35" i="2"/>
  <c r="X78" i="2" s="1"/>
  <c r="X35" i="2"/>
  <c r="V35" i="2"/>
  <c r="W78" i="2" s="1"/>
  <c r="V31" i="2"/>
  <c r="G58" i="2"/>
  <c r="G57" i="2"/>
  <c r="U2" i="2"/>
  <c r="V2" i="2" s="1"/>
  <c r="W2" i="2" s="1"/>
  <c r="X2" i="2" s="1"/>
  <c r="Y2" i="2" s="1"/>
  <c r="Z2" i="2" s="1"/>
  <c r="AA2" i="2" s="1"/>
  <c r="AB2" i="2" s="1"/>
  <c r="AC2" i="2" s="1"/>
  <c r="AD2" i="2" s="1"/>
  <c r="K4" i="1"/>
  <c r="Y70" i="2" l="1"/>
  <c r="Z38" i="2"/>
  <c r="AB9" i="2"/>
  <c r="Z11" i="2"/>
  <c r="Y19" i="2"/>
  <c r="Z19" i="2" s="1"/>
  <c r="Z18" i="2" s="1"/>
  <c r="U49" i="2"/>
  <c r="Z16" i="2"/>
  <c r="Y22" i="2"/>
  <c r="Y23" i="2" s="1"/>
  <c r="T49" i="2"/>
  <c r="V49" i="2"/>
  <c r="K7" i="1"/>
  <c r="F50" i="2"/>
  <c r="C36" i="2"/>
  <c r="C53" i="2" s="1"/>
  <c r="G50" i="2"/>
  <c r="J31" i="2"/>
  <c r="J49" i="2" s="1"/>
  <c r="H49" i="2"/>
  <c r="H56" i="2"/>
  <c r="I42" i="2" s="1"/>
  <c r="I40" i="2"/>
  <c r="J40" i="2"/>
  <c r="I50" i="2"/>
  <c r="I35" i="2"/>
  <c r="I36" i="2" s="1"/>
  <c r="G41" i="2"/>
  <c r="E50" i="2"/>
  <c r="H36" i="2"/>
  <c r="F36" i="2"/>
  <c r="D50" i="2"/>
  <c r="E36" i="2"/>
  <c r="D36" i="2"/>
  <c r="I49" i="2"/>
  <c r="Y51" i="2"/>
  <c r="X77" i="2"/>
  <c r="W77" i="2"/>
  <c r="V36" i="2"/>
  <c r="V53" i="2" s="1"/>
  <c r="G56" i="2"/>
  <c r="X49" i="2"/>
  <c r="W49" i="2"/>
  <c r="Y49" i="2"/>
  <c r="Y35" i="2"/>
  <c r="X36" i="2"/>
  <c r="X53" i="2" s="1"/>
  <c r="W36" i="2"/>
  <c r="W53" i="2" s="1"/>
  <c r="AA38" i="2" l="1"/>
  <c r="Y36" i="2"/>
  <c r="Y69" i="2"/>
  <c r="AB16" i="2"/>
  <c r="AC16" i="2" s="1"/>
  <c r="AD16" i="2" s="1"/>
  <c r="AA11" i="2"/>
  <c r="Z7" i="2"/>
  <c r="Z8" i="2" s="1"/>
  <c r="AC9" i="2"/>
  <c r="Z22" i="2"/>
  <c r="Z23" i="2" s="1"/>
  <c r="AA23" i="2" s="1"/>
  <c r="AB23" i="2" s="1"/>
  <c r="AC23" i="2" s="1"/>
  <c r="AD23" i="2" s="1"/>
  <c r="Y18" i="2"/>
  <c r="Y8" i="2" s="1"/>
  <c r="Z26" i="2"/>
  <c r="J50" i="2"/>
  <c r="C41" i="2"/>
  <c r="C43" i="2" s="1"/>
  <c r="C45" i="2" s="1"/>
  <c r="C47" i="2" s="1"/>
  <c r="I41" i="2"/>
  <c r="I43" i="2" s="1"/>
  <c r="I44" i="2" s="1"/>
  <c r="I45" i="2" s="1"/>
  <c r="I56" i="2" s="1"/>
  <c r="J35" i="2"/>
  <c r="J36" i="2" s="1"/>
  <c r="J41" i="2" s="1"/>
  <c r="J54" i="2" s="1"/>
  <c r="E53" i="2"/>
  <c r="E41" i="2"/>
  <c r="D53" i="2"/>
  <c r="D41" i="2"/>
  <c r="F53" i="2"/>
  <c r="F41" i="2"/>
  <c r="G54" i="2"/>
  <c r="G43" i="2"/>
  <c r="G45" i="2" s="1"/>
  <c r="G47" i="2" s="1"/>
  <c r="K8" i="1" s="1"/>
  <c r="H53" i="2"/>
  <c r="H41" i="2"/>
  <c r="V41" i="2"/>
  <c r="V43" i="2" s="1"/>
  <c r="Y37" i="2"/>
  <c r="Y40" i="2" s="1"/>
  <c r="Y85" i="2"/>
  <c r="Y84" i="2"/>
  <c r="Y82" i="2"/>
  <c r="Y86" i="2"/>
  <c r="W41" i="2"/>
  <c r="X41" i="2"/>
  <c r="Y78" i="2" l="1"/>
  <c r="Y87" i="2"/>
  <c r="AA70" i="2"/>
  <c r="AB38" i="2"/>
  <c r="Z31" i="2"/>
  <c r="Z82" i="2" s="1"/>
  <c r="AD9" i="2"/>
  <c r="C54" i="2"/>
  <c r="AB11" i="2"/>
  <c r="AA19" i="2"/>
  <c r="AA7" i="2"/>
  <c r="I54" i="2"/>
  <c r="Z35" i="2"/>
  <c r="Z49" i="2"/>
  <c r="H54" i="2"/>
  <c r="H43" i="2"/>
  <c r="H45" i="2" s="1"/>
  <c r="H47" i="2" s="1"/>
  <c r="F43" i="2"/>
  <c r="F45" i="2" s="1"/>
  <c r="F47" i="2" s="1"/>
  <c r="F54" i="2"/>
  <c r="D43" i="2"/>
  <c r="D45" i="2" s="1"/>
  <c r="D47" i="2" s="1"/>
  <c r="D54" i="2"/>
  <c r="E43" i="2"/>
  <c r="E45" i="2" s="1"/>
  <c r="E47" i="2" s="1"/>
  <c r="E54" i="2"/>
  <c r="I47" i="2"/>
  <c r="J42" i="2"/>
  <c r="V54" i="2"/>
  <c r="W43" i="2"/>
  <c r="W45" i="2" s="1"/>
  <c r="W54" i="2"/>
  <c r="V45" i="2"/>
  <c r="X43" i="2"/>
  <c r="X54" i="2"/>
  <c r="Z36" i="2" l="1"/>
  <c r="Z40" i="2" s="1"/>
  <c r="Z69" i="2"/>
  <c r="Z78" i="2" s="1"/>
  <c r="AC38" i="2"/>
  <c r="AB70" i="2"/>
  <c r="Z91" i="2"/>
  <c r="Z95" i="2" s="1"/>
  <c r="Z71" i="2"/>
  <c r="Z87" i="2" s="1"/>
  <c r="AB19" i="2"/>
  <c r="AB18" i="2" s="1"/>
  <c r="AC11" i="2"/>
  <c r="AB7" i="2"/>
  <c r="AA18" i="2"/>
  <c r="J43" i="2"/>
  <c r="J44" i="2" s="1"/>
  <c r="J45" i="2" s="1"/>
  <c r="Y42" i="2"/>
  <c r="X45" i="2"/>
  <c r="X47" i="2" s="1"/>
  <c r="V47" i="2"/>
  <c r="V80" i="2"/>
  <c r="W47" i="2"/>
  <c r="W80" i="2"/>
  <c r="Z41" i="2"/>
  <c r="Z54" i="2" s="1"/>
  <c r="Z89" i="2" l="1"/>
  <c r="AD38" i="2"/>
  <c r="AD70" i="2" s="1"/>
  <c r="AC70" i="2"/>
  <c r="AD11" i="2"/>
  <c r="AC19" i="2"/>
  <c r="AC7" i="2"/>
  <c r="AB31" i="2"/>
  <c r="AB82" i="2" s="1"/>
  <c r="AB8" i="2"/>
  <c r="AA31" i="2"/>
  <c r="AA82" i="2" s="1"/>
  <c r="AA8" i="2"/>
  <c r="AC18" i="2"/>
  <c r="AC8" i="2" s="1"/>
  <c r="X80" i="2"/>
  <c r="J47" i="2"/>
  <c r="J56" i="2"/>
  <c r="Y56" i="2" s="1"/>
  <c r="AB35" i="2" l="1"/>
  <c r="AB36" i="2" s="1"/>
  <c r="AB40" i="2" s="1"/>
  <c r="AB49" i="2"/>
  <c r="AA71" i="2"/>
  <c r="AB91" i="2"/>
  <c r="AB95" i="2" s="1"/>
  <c r="AB71" i="2"/>
  <c r="AD19" i="2"/>
  <c r="AD18" i="2" s="1"/>
  <c r="AD7" i="2"/>
  <c r="AC31" i="2"/>
  <c r="AC49" i="2" s="1"/>
  <c r="AA49" i="2"/>
  <c r="AA91" i="2"/>
  <c r="AA95" i="2" s="1"/>
  <c r="AA35" i="2"/>
  <c r="Z42" i="2"/>
  <c r="Z43" i="2" s="1"/>
  <c r="Z44" i="2" s="1"/>
  <c r="AB69" i="2" l="1"/>
  <c r="AB87" i="2" s="1"/>
  <c r="AC35" i="2"/>
  <c r="AC91" i="2"/>
  <c r="AC95" i="2" s="1"/>
  <c r="AC71" i="2"/>
  <c r="AC82" i="2"/>
  <c r="AA36" i="2"/>
  <c r="AA40" i="2" s="1"/>
  <c r="AA41" i="2" s="1"/>
  <c r="AA54" i="2" s="1"/>
  <c r="AA69" i="2"/>
  <c r="AA78" i="2" s="1"/>
  <c r="AB78" i="2"/>
  <c r="AC36" i="2"/>
  <c r="AC40" i="2" s="1"/>
  <c r="AC69" i="2"/>
  <c r="AC78" i="2" s="1"/>
  <c r="AA87" i="2"/>
  <c r="AA89" i="2" s="1"/>
  <c r="AD8" i="2"/>
  <c r="AD31" i="2"/>
  <c r="Z45" i="2"/>
  <c r="Z80" i="2" s="1"/>
  <c r="Z88" i="2" s="1"/>
  <c r="Z105" i="2" s="1"/>
  <c r="AB41" i="2"/>
  <c r="AB54" i="2" s="1"/>
  <c r="AC41" i="2" l="1"/>
  <c r="AC54" i="2" s="1"/>
  <c r="AC87" i="2"/>
  <c r="AC89" i="2" s="1"/>
  <c r="AD71" i="2"/>
  <c r="AE31" i="2"/>
  <c r="AE82" i="2" s="1"/>
  <c r="AE91" i="2" s="1"/>
  <c r="AE95" i="2" s="1"/>
  <c r="AD82" i="2"/>
  <c r="AD91" i="2"/>
  <c r="AB89" i="2"/>
  <c r="AD35" i="2"/>
  <c r="AD49" i="2"/>
  <c r="Z56" i="2"/>
  <c r="AA42" i="2" s="1"/>
  <c r="AA43" i="2" s="1"/>
  <c r="AA44" i="2" s="1"/>
  <c r="Z47" i="2"/>
  <c r="AD95" i="2" l="1"/>
  <c r="AD36" i="2"/>
  <c r="AD69" i="2"/>
  <c r="Z103" i="2"/>
  <c r="AA45" i="2"/>
  <c r="AA80" i="2" s="1"/>
  <c r="AA88" i="2" s="1"/>
  <c r="AA105" i="2" s="1"/>
  <c r="AA103" i="2" l="1"/>
  <c r="AD78" i="2"/>
  <c r="AD87" i="2"/>
  <c r="AD89" i="2" s="1"/>
  <c r="AD40" i="2"/>
  <c r="AD41" i="2" s="1"/>
  <c r="AA56" i="2"/>
  <c r="AB42" i="2" s="1"/>
  <c r="AB43" i="2" s="1"/>
  <c r="AB44" i="2" s="1"/>
  <c r="AA47" i="2"/>
  <c r="AD54" i="2" l="1"/>
  <c r="AE41" i="2"/>
  <c r="AE43" i="2" s="1"/>
  <c r="AE44" i="2" s="1"/>
  <c r="AE45" i="2" s="1"/>
  <c r="AE80" i="2" s="1"/>
  <c r="AE88" i="2" s="1"/>
  <c r="AB45" i="2"/>
  <c r="AE105" i="2" l="1"/>
  <c r="AE103" i="2"/>
  <c r="AB80" i="2"/>
  <c r="AB88" i="2" s="1"/>
  <c r="AB105" i="2" s="1"/>
  <c r="AB56" i="2"/>
  <c r="AC42" i="2" s="1"/>
  <c r="AC43" i="2" s="1"/>
  <c r="AC44" i="2" s="1"/>
  <c r="AB47" i="2"/>
  <c r="AC45" i="2" l="1"/>
  <c r="AB103" i="2" l="1"/>
  <c r="AC80" i="2"/>
  <c r="AC88" i="2" s="1"/>
  <c r="AC105" i="2" s="1"/>
  <c r="AC47" i="2"/>
  <c r="AC56" i="2"/>
  <c r="AD42" i="2" l="1"/>
  <c r="AD43" i="2" s="1"/>
  <c r="AD44" i="2" s="1"/>
  <c r="AC103" i="2" l="1"/>
  <c r="AD45" i="2"/>
  <c r="AD80" i="2" l="1"/>
  <c r="AD88" i="2" s="1"/>
  <c r="AD105" i="2" s="1"/>
  <c r="AD47" i="2"/>
  <c r="AD56" i="2"/>
  <c r="AF105" i="2" l="1"/>
  <c r="AG105" i="2" s="1"/>
  <c r="AH105" i="2" s="1"/>
  <c r="AI105" i="2" s="1"/>
  <c r="AJ105" i="2" s="1"/>
  <c r="AK105" i="2" s="1"/>
  <c r="AL105" i="2" s="1"/>
  <c r="AM105" i="2" s="1"/>
  <c r="AN105" i="2" s="1"/>
  <c r="AO105" i="2" s="1"/>
  <c r="AP105" i="2" s="1"/>
  <c r="AQ105" i="2" s="1"/>
  <c r="AR105" i="2" s="1"/>
  <c r="AS105" i="2" s="1"/>
  <c r="AT105" i="2" s="1"/>
  <c r="AU105" i="2" s="1"/>
  <c r="AV105" i="2" s="1"/>
  <c r="AW105" i="2" s="1"/>
  <c r="AX105" i="2" s="1"/>
  <c r="AY105" i="2" s="1"/>
  <c r="AZ105" i="2" s="1"/>
  <c r="BA105" i="2" s="1"/>
  <c r="BB105" i="2" s="1"/>
  <c r="BC105" i="2" s="1"/>
  <c r="BD105" i="2" s="1"/>
  <c r="BE105" i="2" s="1"/>
  <c r="BF105" i="2" s="1"/>
  <c r="BG105" i="2" s="1"/>
  <c r="BH105" i="2" s="1"/>
  <c r="BI105" i="2" s="1"/>
  <c r="BJ105" i="2" s="1"/>
  <c r="BK105" i="2" s="1"/>
  <c r="BL105" i="2" s="1"/>
  <c r="BM105" i="2" s="1"/>
  <c r="BN105" i="2" s="1"/>
  <c r="BO105" i="2" s="1"/>
  <c r="BP105" i="2" s="1"/>
  <c r="BQ105" i="2" s="1"/>
  <c r="BR105" i="2" s="1"/>
  <c r="BS105" i="2" s="1"/>
  <c r="BT105" i="2" s="1"/>
  <c r="BU105" i="2" s="1"/>
  <c r="BV105" i="2" s="1"/>
  <c r="BW105" i="2" s="1"/>
  <c r="BX105" i="2" s="1"/>
  <c r="BY105" i="2" s="1"/>
  <c r="BZ105" i="2" s="1"/>
  <c r="CA105" i="2" s="1"/>
  <c r="CB105" i="2" s="1"/>
  <c r="CC105" i="2" s="1"/>
  <c r="CD105" i="2" s="1"/>
  <c r="CE105" i="2" s="1"/>
  <c r="CF105" i="2" s="1"/>
  <c r="CG105" i="2" s="1"/>
  <c r="CH105" i="2" s="1"/>
  <c r="CI105" i="2" s="1"/>
  <c r="CJ105" i="2" s="1"/>
  <c r="CK105" i="2" s="1"/>
  <c r="CL105" i="2" s="1"/>
  <c r="CM105" i="2" s="1"/>
  <c r="CN105" i="2" s="1"/>
  <c r="CO105" i="2" s="1"/>
  <c r="CP105" i="2" s="1"/>
  <c r="CQ105" i="2" s="1"/>
  <c r="CR105" i="2" s="1"/>
  <c r="CS105" i="2" s="1"/>
  <c r="CT105" i="2" s="1"/>
  <c r="CU105" i="2" s="1"/>
  <c r="CV105" i="2" s="1"/>
  <c r="CW105" i="2" s="1"/>
  <c r="CX105" i="2" s="1"/>
  <c r="CY105" i="2" s="1"/>
  <c r="CZ105" i="2" s="1"/>
  <c r="DA105" i="2" s="1"/>
  <c r="DB105" i="2" s="1"/>
  <c r="DC105" i="2" s="1"/>
  <c r="DD105" i="2" s="1"/>
  <c r="DE105" i="2" s="1"/>
  <c r="DF105" i="2" s="1"/>
  <c r="DG105" i="2" s="1"/>
  <c r="DH105" i="2" s="1"/>
  <c r="DI105" i="2" s="1"/>
  <c r="AG107" i="2" s="1"/>
  <c r="AD103" i="2"/>
  <c r="Y41" i="2"/>
  <c r="Y54" i="2" s="1"/>
  <c r="AH100" i="2" l="1"/>
  <c r="AH101" i="2" s="1"/>
  <c r="AH102" i="2" s="1"/>
  <c r="Y43" i="2"/>
  <c r="Y45" i="2" s="1"/>
  <c r="Y47" i="2"/>
  <c r="Y80" i="2"/>
  <c r="Y88" i="2" s="1"/>
  <c r="Y105" i="2" s="1"/>
  <c r="Y103"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tc={B6688284-DA35-4372-A780-A5694C758617}</author>
    <author>tc={930402CF-3C62-4243-A4C1-01A5F2FB1BBD}</author>
    <author>tc={706AA5D0-3B68-4316-9AB5-E7BDFD5EF801}</author>
    <author>tc={3BD375D7-0B10-42FC-9699-90B801AF29CC}</author>
    <author>tc={0C61AB74-6410-4899-92DB-71CC8802C6FA}</author>
    <author>tc={9110625B-A20F-4814-80C6-6F1F6BAF5A5E}</author>
    <author>tc={E13E47F7-F728-4330-AB6F-377167A8CC30}</author>
    <author>tc={47EEF720-4C0B-45BB-8636-3C393FD966F1}</author>
    <author>tc={A1AC085D-6825-4B37-8D01-4B2B2237006B}</author>
    <author>tc={94532EAC-8F13-4889-AAA0-70FC0C11077E}</author>
    <author>tc={579D2475-8567-4E48-BB9B-9F5FA93F9BAE}</author>
    <author>tc={0C8D69BF-FC7E-49A8-9710-5453D28F245F}</author>
    <author>tc={039CF15E-A2F2-4AB9-BED3-79C4EA0446D8}</author>
    <author>tc={8DBC8CD6-1AF2-4E50-B99B-EDC1B76D28A6}</author>
    <author>tc={F007FFDD-AFCC-4115-9860-68DC6499D0AF}</author>
  </authors>
  <commentList>
    <comment ref="AA2" authorId="0" shapeId="0" xr:uid="{B6688284-DA35-4372-A780-A5694C758617}">
      <text>
        <t>[Threaded comment]
Your version of Excel allows you to read this threaded comment; however, any edits to it will get removed if the file is opened in a newer version of Excel. Learn more: https://go.microsoft.com/fwlink/?linkid=870924
Comment:
    Assumed year of complete transition of enterprise clients to ai tools/reduction in seats. AI tools will increase enterprise ARPU, decrease seats, ultimated lead to less revenue for enterprise clients (CC enterprise, marketing). However, Jevon’s paradox (as tools in an industry get more productive, more users will use the software) so I assume a normal growth rate afterwards to be conservative.</t>
      </text>
    </comment>
    <comment ref="B9" authorId="1" shapeId="0" xr:uid="{930402CF-3C62-4243-A4C1-01A5F2FB1BBD}">
      <text>
        <t>[Threaded comment]
Your version of Excel allows you to read this threaded comment; however, any edits to it will get removed if the file is opened in a newer version of Excel. Learn more: https://go.microsoft.com/fwlink/?linkid=870924
Comment:
    Millions; calculated through assuming the ARPU for enterprise and non-enterprise based on subscription pricing with the creative cloud revenue numbers and the total creative cloud seats to find x and y (enterprise seats and non-enterprise seats)</t>
      </text>
    </comment>
    <comment ref="AA9" authorId="2" shapeId="0" xr:uid="{706AA5D0-3B68-4316-9AB5-E7BDFD5EF801}">
      <text>
        <t>[Threaded comment]
Your version of Excel allows you to read this threaded comment; however, any edits to it will get removed if the file is opened in a newer version of Excel. Learn more: https://go.microsoft.com/fwlink/?linkid=870924
Comment:
    Non-enterprise is likely mostly more tied to the art industry/highly elastic many reasons why seats wouldn’t decrease for non-enterprise clients</t>
      </text>
    </comment>
    <comment ref="AA10" authorId="3" shapeId="0" xr:uid="{3BD375D7-0B10-42FC-9699-90B801AF29CC}">
      <text>
        <t>[Threaded comment]
Your version of Excel allows you to read this threaded comment; however, any edits to it will get removed if the file is opened in a newer version of Excel. Learn more: https://go.microsoft.com/fwlink/?linkid=870924
Comment:
    Likely small increase in ARPU due to user gen tokens</t>
      </text>
    </comment>
    <comment ref="B11" authorId="4" shapeId="0" xr:uid="{0C61AB74-6410-4899-92DB-71CC8802C6FA}">
      <text>
        <t>[Threaded comment]
Your version of Excel allows you to read this threaded comment; however, any edits to it will get removed if the file is opened in a newer version of Excel. Learn more: https://go.microsoft.com/fwlink/?linkid=870924
Comment:
    millions</t>
      </text>
    </comment>
    <comment ref="AA11" authorId="5" shapeId="0" xr:uid="{9110625B-A20F-4814-80C6-6F1F6BAF5A5E}">
      <text>
        <t>[Threaded comment]
Your version of Excel allows you to read this threaded comment; however, any edits to it will get removed if the file is opened in a newer version of Excel. Learn more: https://go.microsoft.com/fwlink/?linkid=870924
Comment:
    50% decrease in seats as companies transition to ai -&gt; 100% increased productivity</t>
      </text>
    </comment>
    <comment ref="AA12" authorId="6" shapeId="0" xr:uid="{E13E47F7-F728-4330-AB6F-377167A8CC30}">
      <text>
        <t>[Threaded comment]
Your version of Excel allows you to read this threaded comment; however, any edits to it will get removed if the file is opened in a newer version of Excel. Learn more: https://go.microsoft.com/fwlink/?linkid=870924
Comment:
    Assumed, yet to be conclusively calcuated with research. Assuming a 100% price increase for generative ai tokens. This 100% price increase is justified in the model through an assumed 100% increase in productivity which would let companies reduce seats by 50% which the cost of a human assumed to be ~60k/year vs previous 480/year software license will easily let adobe charge a lot more. The highest firefly tier is currently 200/month for 50k tokens, not everyone is likely to use this much and to be conservative I use a lot less ARPU for enterprise deals and etc.</t>
      </text>
    </comment>
    <comment ref="AA16" authorId="7" shapeId="0" xr:uid="{47EEF720-4C0B-45BB-8636-3C393FD966F1}">
      <text>
        <t>[Threaded comment]
Your version of Excel allows you to read this threaded comment; however, any edits to it will get removed if the file is opened in a newer version of Excel. Learn more: https://go.microsoft.com/fwlink/?linkid=870924
Comment:
    Not assumed a 50% drop as the others, currently 25% drop due to the nature of the software -&gt; more ai compute being used, more storage and use of enterprise systems. Even though still less due to less people.</t>
      </text>
    </comment>
    <comment ref="X17" authorId="8" shapeId="0" xr:uid="{A1AC085D-6825-4B37-8D01-4B2B2237006B}">
      <text>
        <t>[Threaded comment]
Your version of Excel allows you to read this threaded comment; however, any edits to it will get removed if the file is opened in a newer version of Excel. Learn more: https://go.microsoft.com/fwlink/?linkid=870924
Comment:
    From Q424 end of year segments</t>
      </text>
    </comment>
    <comment ref="Y18" authorId="9" shapeId="0" xr:uid="{94532EAC-8F13-4889-AAA0-70FC0C11077E}">
      <text>
        <t>[Threaded comment]
Your version of Excel allows you to read this threaded comment; however, any edits to it will get removed if the file is opened in a newer version of Excel. Learn more: https://go.microsoft.com/fwlink/?linkid=870924
Comment:
    Seperated out from creative&amp;marketing using previous q424 segements to estimate current creative cloud only vs marketing only</t>
      </text>
    </comment>
    <comment ref="Z31" authorId="10" shapeId="0" xr:uid="{579D2475-8567-4E48-BB9B-9F5FA93F9BAE}">
      <text>
        <t>[Threaded comment]
Your version of Excel allows you to read this threaded comment; however, any edits to it will get removed if the file is opened in a newer version of Excel. Learn more: https://go.microsoft.com/fwlink/?linkid=870924
Comment:
    26,000 guidance</t>
      </text>
    </comment>
    <comment ref="Z40" authorId="11" shapeId="0" xr:uid="{0C8D69BF-FC7E-49A8-9710-5453D28F245F}">
      <text>
        <t>[Threaded comment]
Your version of Excel allows you to read this threaded comment; however, any edits to it will get removed if the file is opened in a newer version of Excel. Learn more: https://go.microsoft.com/fwlink/?linkid=870924
Comment:
    Operating margin stable</t>
      </text>
    </comment>
    <comment ref="Z69" authorId="12" shapeId="0" xr:uid="{039CF15E-A2F2-4AB9-BED3-79C4EA0446D8}">
      <text>
        <t>[Threaded comment]
Your version of Excel allows you to read this threaded comment; however, any edits to it will get removed if the file is opened in a newer version of Excel. Learn more: https://go.microsoft.com/fwlink/?linkid=870924
Comment:
    Dpo from cogs</t>
      </text>
    </comment>
    <comment ref="Z70" authorId="13" shapeId="0" xr:uid="{8DBC8CD6-1AF2-4E50-B99B-EDC1B76D28A6}">
      <text>
        <t>[Threaded comment]
Your version of Excel allows you to read this threaded comment; however, any edits to it will get removed if the file is opened in a newer version of Excel. Learn more: https://go.microsoft.com/fwlink/?linkid=870924
Comment:
    Percent of sg&amp;a</t>
      </text>
    </comment>
    <comment ref="Z71" authorId="14" shapeId="0" xr:uid="{F007FFDD-AFCC-4115-9860-68DC6499D0AF}">
      <text>
        <t>[Threaded comment]
Your version of Excel allows you to read this threaded comment; however, any edits to it will get removed if the file is opened in a newer version of Excel. Learn more: https://go.microsoft.com/fwlink/?linkid=870924
Comment:
    Percent of rev</t>
      </text>
    </comment>
  </commentList>
</comments>
</file>

<file path=xl/sharedStrings.xml><?xml version="1.0" encoding="utf-8"?>
<sst xmlns="http://schemas.openxmlformats.org/spreadsheetml/2006/main" count="211" uniqueCount="191">
  <si>
    <t>Price</t>
  </si>
  <si>
    <t>Shares</t>
  </si>
  <si>
    <t>MC</t>
  </si>
  <si>
    <t>Cash</t>
  </si>
  <si>
    <t>Debt</t>
  </si>
  <si>
    <t>EV</t>
  </si>
  <si>
    <t>Subscription</t>
  </si>
  <si>
    <t>Product</t>
  </si>
  <si>
    <t>Services</t>
  </si>
  <si>
    <t>Revenue</t>
  </si>
  <si>
    <t>Subscription COGS</t>
  </si>
  <si>
    <t>Product COGS</t>
  </si>
  <si>
    <t>Services COGS</t>
  </si>
  <si>
    <t>COGS</t>
  </si>
  <si>
    <t>Gross Profit</t>
  </si>
  <si>
    <t>R&amp;D</t>
  </si>
  <si>
    <t>S&amp;M</t>
  </si>
  <si>
    <t>G&amp;A</t>
  </si>
  <si>
    <t>OPEX</t>
  </si>
  <si>
    <t>Operating Income</t>
  </si>
  <si>
    <t>Pretax Income</t>
  </si>
  <si>
    <t>Tax</t>
  </si>
  <si>
    <t>Net Income</t>
  </si>
  <si>
    <t>EPS</t>
  </si>
  <si>
    <t>Gross Margin</t>
  </si>
  <si>
    <t>CFFO</t>
  </si>
  <si>
    <t>FCF</t>
  </si>
  <si>
    <t>Net Cash</t>
  </si>
  <si>
    <t>Q125</t>
  </si>
  <si>
    <t>ROIC</t>
  </si>
  <si>
    <t>Maturity</t>
  </si>
  <si>
    <t>Discount</t>
  </si>
  <si>
    <t>NPV</t>
  </si>
  <si>
    <t>Revenue y/y</t>
  </si>
  <si>
    <t>Operating Margin</t>
  </si>
  <si>
    <t>PP&amp;E</t>
  </si>
  <si>
    <t>GW</t>
  </si>
  <si>
    <t>Other Intangibles</t>
  </si>
  <si>
    <t>Assets</t>
  </si>
  <si>
    <t>SE</t>
  </si>
  <si>
    <t>Liabilities</t>
  </si>
  <si>
    <t>L+SE</t>
  </si>
  <si>
    <t>Main</t>
  </si>
  <si>
    <t>Q124</t>
  </si>
  <si>
    <t>Q224</t>
  </si>
  <si>
    <t>Q324</t>
  </si>
  <si>
    <t>Q425</t>
  </si>
  <si>
    <t>Q225</t>
  </si>
  <si>
    <t>Q325</t>
  </si>
  <si>
    <t>DSO</t>
  </si>
  <si>
    <t>Model NI</t>
  </si>
  <si>
    <t>Reported NI</t>
  </si>
  <si>
    <t>D&amp;A</t>
  </si>
  <si>
    <t>AP</t>
  </si>
  <si>
    <t>DR</t>
  </si>
  <si>
    <t>Digital Media</t>
  </si>
  <si>
    <t>Digital Experience</t>
  </si>
  <si>
    <t>SG&amp;A y/y</t>
  </si>
  <si>
    <t>Revenue q/q</t>
  </si>
  <si>
    <t>Interest Income</t>
  </si>
  <si>
    <t>CEO: Shantanu Narayen</t>
  </si>
  <si>
    <t>Share</t>
  </si>
  <si>
    <t>Moat: Barrier to entry -&gt; complex equations and tested by users software many functions and large suite providing the best bargain for a lot of tools; User switching cost -&gt; takes time to learn the tools and long standing company provides updates and longevity users want to not want to learn new tools;</t>
  </si>
  <si>
    <t>Industry: High growth rate</t>
  </si>
  <si>
    <t>Management Quality:</t>
  </si>
  <si>
    <t>Innovation:</t>
  </si>
  <si>
    <t>Art/visual media is highly elastic meaning more producivity will in the long run lead to a higher consumption/ growth rate.</t>
  </si>
  <si>
    <t>Jevon's Paradox</t>
  </si>
  <si>
    <t>https://doi.org/10.1093/pnasnexus/pgae052</t>
  </si>
  <si>
    <t>Creative &amp; Marketing</t>
  </si>
  <si>
    <t>Business &amp; Consumers</t>
  </si>
  <si>
    <t>ARR (measured end of year)</t>
  </si>
  <si>
    <t>Marketing (AEP, AEM)</t>
  </si>
  <si>
    <t>Creators &amp; Creative (Creative Cloud)</t>
  </si>
  <si>
    <t>Business &amp; Consumers (Acrobat, Express)</t>
  </si>
  <si>
    <t>Creative Cloud</t>
  </si>
  <si>
    <t>Acrobat</t>
  </si>
  <si>
    <t>Consumer Creative</t>
  </si>
  <si>
    <t>Acrobat+Consumer</t>
  </si>
  <si>
    <t>Consumer</t>
  </si>
  <si>
    <t xml:space="preserve">For Creative Cloud companies cannot replace junior artists and let the lead/concept artists work their ideas </t>
  </si>
  <si>
    <t>They need the juniors to train for the next generation of lead artists</t>
  </si>
  <si>
    <t>They also need to execute the concept well and add their own ideas to help refine the concept</t>
  </si>
  <si>
    <t>Replacing many juniors wouldn't work well in real life situations due to the very strong widespread ideology that ai art is bad, lacks humanness, and respect for human ideas</t>
  </si>
  <si>
    <t>Which means all the lead artists would not go along with the replacement</t>
  </si>
  <si>
    <t>Creative Cloud non-Enterprise</t>
  </si>
  <si>
    <t>Image/Video Editing and Graphic Design 9% CAGR</t>
  </si>
  <si>
    <t>DAM Software 14% CAGR</t>
  </si>
  <si>
    <t>Creative Cloud Enterprise</t>
  </si>
  <si>
    <t>e-signature and digital document 10% cagr</t>
  </si>
  <si>
    <t>WC</t>
  </si>
  <si>
    <t>CapEx</t>
  </si>
  <si>
    <t>Investments</t>
  </si>
  <si>
    <t>Acquisitions/IPRD</t>
  </si>
  <si>
    <t>Other</t>
  </si>
  <si>
    <t>CFFI</t>
  </si>
  <si>
    <t>Dividends</t>
  </si>
  <si>
    <t>Borrowing</t>
  </si>
  <si>
    <t>Buyback</t>
  </si>
  <si>
    <t>CFFF</t>
  </si>
  <si>
    <t>FX</t>
  </si>
  <si>
    <t>CIC</t>
  </si>
  <si>
    <t>DT</t>
  </si>
  <si>
    <t>SBC</t>
  </si>
  <si>
    <t>A/R</t>
  </si>
  <si>
    <t>Prepaids</t>
  </si>
  <si>
    <t>OCA</t>
  </si>
  <si>
    <t>ONCA</t>
  </si>
  <si>
    <t>Compensation</t>
  </si>
  <si>
    <t>Taxes</t>
  </si>
  <si>
    <t>CC Enterprise Seats</t>
  </si>
  <si>
    <t>CC Enterprise ARPU/month</t>
  </si>
  <si>
    <t>CC ARPU/month</t>
  </si>
  <si>
    <t>CC Seats</t>
  </si>
  <si>
    <t>CC Non-Enterprise ARPU/month</t>
  </si>
  <si>
    <t>CC Non-Enterprise Seats</t>
  </si>
  <si>
    <t>x+y=40</t>
  </si>
  <si>
    <t>y=40-x</t>
  </si>
  <si>
    <t>AEP/AEM ARPU</t>
  </si>
  <si>
    <t>AEP/AEM Clients</t>
  </si>
  <si>
    <t>DPO</t>
  </si>
  <si>
    <t>CIWC</t>
  </si>
  <si>
    <t>T</t>
  </si>
  <si>
    <t>180x+720y=10638</t>
  </si>
  <si>
    <t>180x+720(40-x)=10638</t>
  </si>
  <si>
    <t>Total CC Revenue</t>
  </si>
  <si>
    <t>Total CC Seats</t>
  </si>
  <si>
    <t>Non-Enterprise ARPU/mo</t>
  </si>
  <si>
    <t>Enterprise ARPU/mo</t>
  </si>
  <si>
    <t>Enterprise Seats</t>
  </si>
  <si>
    <t>Non-Enterprise Seats</t>
  </si>
  <si>
    <t>v</t>
  </si>
  <si>
    <t>Logic:</t>
  </si>
  <si>
    <t>x=Enterprise Seats; y=Non-Enterprise Seats</t>
  </si>
  <si>
    <t>Variables:</t>
  </si>
  <si>
    <t>Unknowns:</t>
  </si>
  <si>
    <t>Knowns:</t>
  </si>
  <si>
    <t>CC Revenue/year</t>
  </si>
  <si>
    <t>CC Seats/year</t>
  </si>
  <si>
    <t>Adjusted for yearly by multiplying by 12</t>
  </si>
  <si>
    <t>Limits:</t>
  </si>
  <si>
    <t>as Enterprise Seats -&gt; 0; Non-Ent ARPU -&gt; 22.1625⁻</t>
  </si>
  <si>
    <t>as Non-Ent Seats -&gt; 0; Ent ARPU -&gt; 22.1625⁺</t>
  </si>
  <si>
    <t>Ent-ARPU cannot be less than 22.1625</t>
  </si>
  <si>
    <t>Non-Ent ARPU cannot be greater than 22.1625</t>
  </si>
  <si>
    <t>Ent ARPU</t>
  </si>
  <si>
    <t>NonENT ARPU</t>
  </si>
  <si>
    <t>Sensitivity Analysis; End Value = ENT Revenue</t>
  </si>
  <si>
    <t>Takeaways:</t>
  </si>
  <si>
    <t>If NonENT ARPU avg is &gt;=20 ADBE is worth a lot more</t>
  </si>
  <si>
    <t>25% of rev</t>
  </si>
  <si>
    <t>46% of rev</t>
  </si>
  <si>
    <t>15% of rev</t>
  </si>
  <si>
    <t>14% of rev</t>
  </si>
  <si>
    <t xml:space="preserve"> CC Enterprise</t>
  </si>
  <si>
    <t xml:space="preserve"> CC NonEnt</t>
  </si>
  <si>
    <t>43% of CC</t>
  </si>
  <si>
    <t>57% of CC</t>
  </si>
  <si>
    <t>Enterprise Software/ Marketing</t>
  </si>
  <si>
    <t>Random Notes:</t>
  </si>
  <si>
    <t>Current CEO takes over, was COO since 2005</t>
  </si>
  <si>
    <t>Adobe stagnates as its business model is outdated and not innovating</t>
  </si>
  <si>
    <t>Adobe transitions to a monthly subscription model and starts focusing on enterprise deals and software</t>
  </si>
  <si>
    <t>Post 2014</t>
  </si>
  <si>
    <t>The new direction of the company which marks the current model of Adobe is very successful</t>
  </si>
  <si>
    <t>Notes:</t>
  </si>
  <si>
    <t>Current Opinion:</t>
  </si>
  <si>
    <t>Adobe is slightly undervalued with very conservative values. A lot of turn around potential with great management.</t>
  </si>
  <si>
    <t>Adobe's future is highly dependent on the mangement's execution and if Jevon's Paradox will accelerate growth after seat diminishment</t>
  </si>
  <si>
    <t>Firefly: Adobe's AI Suite</t>
  </si>
  <si>
    <t>Creative Cloud: Digital Art, Visual Media, Digital Editing, etc. Suite of tools package</t>
  </si>
  <si>
    <t>AEP, AEM: Adobe's Enterprise Software</t>
  </si>
  <si>
    <t>Firefly trained on images Adobe had the legal right to train on; Most AI models are trained on data skimmed from the internet</t>
  </si>
  <si>
    <t>The key drivers are: Enterprise Firefly adoption, AI generated content legality, Jevon's Paradox increasing industry adoption of tools, and Firefly/Adobe's GenAI ability to raise ARPU through increased use of gen tokens.</t>
  </si>
  <si>
    <t>Acrobat: Industry Standard Document Tool</t>
  </si>
  <si>
    <t>Explainations of The Main Assumptions:</t>
  </si>
  <si>
    <t>CC Enterprise Revenue drops 50% due to 50% seat reduction from a 100% increase in productivity from AI tools.</t>
  </si>
  <si>
    <t>CC Non-Enterprise Revenue &amp; ARPU is basically unchanged due to the elasticity of Digital Art/Visual Media jobs in non-corporate settings. This assumption is very conservative as GenAI and producitvity could lead to a lot higher adoption rate.</t>
  </si>
  <si>
    <t>AEP, AEM Revenue drops 25% to be conservative for less enterprise software seats even though more generated content could provide somewhat of a protection for these contracts.</t>
  </si>
  <si>
    <t>Acrobat Revenue grows at a normal rate, industry standard tool not likely to be changed.</t>
  </si>
  <si>
    <t>CC Enterprise and Non-Enterprise was reconstructed through some logic explained in the CC Model and sensitivity tested where the max limit in both directions would only result in a &lt;30% difference in calculated share price</t>
  </si>
  <si>
    <t>CC Enterprise ARPU grows 65% due to GenAI tokens and its ability to replace employees. This could be a key driver if GenAI legality becomes more questionable. 65% is also very conservative if you take into account that I am modeling this tool replaceing half of workers, Adobe could easily justify 200% or more depending on execution and market dynamics. This is also not sensitive at all and only really changes the share price drastically at a very large increase in ARPU.</t>
  </si>
  <si>
    <t>Base Case: Firefly gets some adoption in enterprise clients and enterprise seats get drastically cut. The stock remains relatively unchanged around 300</t>
  </si>
  <si>
    <t>Bull Case: Adobe's management executes Firefly well and GenAI legality increases Firefly adoption among enterprise clients and allows them to drastically raise ARPU through the cost savings of increased productivity and less seats and Jevon's Paradox helps regain some seats. Depending on market dynamics it could raise the price anywhere from the high 300s to the previous highs in the best circumstances.</t>
  </si>
  <si>
    <t>Bear Case: Jevon's Paradox never kicks in, enterprise clients don’t adopt firefly, and even non enterprise seats are cut. Drop to around the low 200s</t>
  </si>
  <si>
    <t>ARPU Sensitivity Analysis</t>
  </si>
  <si>
    <t>Firefly?</t>
  </si>
  <si>
    <t>Adobe GenAI seat reduction fears stock collapses ~40%</t>
  </si>
  <si>
    <t>If NonENT  ARPU avg is &lt;= 10 then ADBE isnt worth much as a lot more ENT revenue is at risk</t>
  </si>
  <si>
    <t>ENT ARPU</t>
  </si>
  <si>
    <t>Percent Change In Share Price NPV as Discount Rate and Enterprise ARPU Exit Rate Change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</si>
</sst>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8" formatCode="&quot;$&quot;#,##0.00_);[Red]\(&quot;$&quot;#,##0.00\)"/>
    <numFmt numFmtId="164" formatCode="0.0%"/>
  </numFmts>
  <fonts count="21" x14ac:knownFonts="1">
    <font>
      <sz val="11"/>
      <color theme="1"/>
      <name val="Aptos Narrow"/>
      <family val="2"/>
      <scheme val="minor"/>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u/>
      <sz val="11"/>
      <color theme="10"/>
      <name val="Aptos Narrow"/>
      <family val="2"/>
      <scheme val="minor"/>
    </font>
    <font>
      <b/>
      <sz val="10"/>
      <color theme="1"/>
      <name val="Arial"/>
      <family val="2"/>
    </font>
    <font>
      <u/>
      <sz val="10"/>
      <color theme="10"/>
      <name val="Arial"/>
      <family val="2"/>
    </font>
    <font>
      <sz val="9"/>
      <color indexed="81"/>
      <name val="Tahoma"/>
      <family val="2"/>
    </font>
    <font>
      <u/>
      <sz val="10"/>
      <color theme="1"/>
      <name val="Arial"/>
      <family val="2"/>
    </font>
    <font>
      <i/>
      <sz val="10"/>
      <color theme="1"/>
      <name val="Arial"/>
      <family val="2"/>
    </font>
  </fonts>
  <fills count="2">
    <fill>
      <patternFill patternType="none"/>
    </fill>
    <fill>
      <patternFill patternType="gray125"/>
    </fill>
  </fills>
  <borders count="1">
    <border>
      <left/>
      <right/>
      <top/>
      <bottom/>
      <diagonal/>
    </border>
  </borders>
  <cellStyleXfs count="4">
    <xf numFmtId="0" fontId="0" fillId="0" borderId="0"/>
    <xf numFmtId="0" fontId="15" fillId="0" borderId="0" applyNumberFormat="0" applyFill="0" applyBorder="0" applyAlignment="0" applyProtection="0"/>
    <xf numFmtId="0" fontId="1" fillId="0" borderId="0"/>
    <xf numFmtId="0" fontId="17" fillId="0" borderId="0" applyNumberFormat="0" applyFill="0" applyBorder="0" applyAlignment="0" applyProtection="0"/>
  </cellStyleXfs>
  <cellXfs count="41">
    <xf numFmtId="0" fontId="0" fillId="0" borderId="0" xfId="0"/>
    <xf numFmtId="0" fontId="16" fillId="0" borderId="0" xfId="0" applyFont="1"/>
    <xf numFmtId="0" fontId="14" fillId="0" borderId="0" xfId="0" applyFont="1"/>
    <xf numFmtId="4" fontId="14" fillId="0" borderId="0" xfId="0" applyNumberFormat="1" applyFont="1"/>
    <xf numFmtId="3" fontId="14" fillId="0" borderId="0" xfId="0" applyNumberFormat="1" applyFont="1"/>
    <xf numFmtId="3" fontId="17" fillId="0" borderId="0" xfId="1" applyNumberFormat="1" applyFont="1"/>
    <xf numFmtId="3" fontId="13" fillId="0" borderId="0" xfId="0" applyNumberFormat="1" applyFont="1"/>
    <xf numFmtId="0" fontId="13" fillId="0" borderId="0" xfId="0" applyFont="1"/>
    <xf numFmtId="1" fontId="13" fillId="0" borderId="0" xfId="0" applyNumberFormat="1" applyFont="1"/>
    <xf numFmtId="4" fontId="13" fillId="0" borderId="0" xfId="0" applyNumberFormat="1" applyFont="1"/>
    <xf numFmtId="3" fontId="16" fillId="0" borderId="0" xfId="0" applyNumberFormat="1" applyFont="1"/>
    <xf numFmtId="10" fontId="13" fillId="0" borderId="0" xfId="0" applyNumberFormat="1" applyFont="1"/>
    <xf numFmtId="9" fontId="16" fillId="0" borderId="0" xfId="0" applyNumberFormat="1" applyFont="1"/>
    <xf numFmtId="164" fontId="16" fillId="0" borderId="0" xfId="0" applyNumberFormat="1" applyFont="1"/>
    <xf numFmtId="9" fontId="13" fillId="0" borderId="0" xfId="0" applyNumberFormat="1" applyFont="1"/>
    <xf numFmtId="164" fontId="13" fillId="0" borderId="0" xfId="0" applyNumberFormat="1" applyFont="1"/>
    <xf numFmtId="3" fontId="12" fillId="0" borderId="0" xfId="0" applyNumberFormat="1" applyFont="1"/>
    <xf numFmtId="0" fontId="11" fillId="0" borderId="0" xfId="0" applyFont="1"/>
    <xf numFmtId="3" fontId="11" fillId="0" borderId="0" xfId="0" applyNumberFormat="1" applyFont="1"/>
    <xf numFmtId="0" fontId="10" fillId="0" borderId="0" xfId="0" applyFont="1"/>
    <xf numFmtId="3" fontId="9" fillId="0" borderId="0" xfId="0" applyNumberFormat="1" applyFont="1"/>
    <xf numFmtId="3" fontId="8" fillId="0" borderId="0" xfId="0" applyNumberFormat="1" applyFont="1"/>
    <xf numFmtId="0" fontId="7" fillId="0" borderId="0" xfId="0" applyFont="1"/>
    <xf numFmtId="3" fontId="7" fillId="0" borderId="0" xfId="0" applyNumberFormat="1" applyFont="1"/>
    <xf numFmtId="0" fontId="6" fillId="0" borderId="0" xfId="0" applyFont="1"/>
    <xf numFmtId="0" fontId="5" fillId="0" borderId="0" xfId="0" applyFont="1"/>
    <xf numFmtId="0" fontId="4" fillId="0" borderId="0" xfId="0" applyFont="1"/>
    <xf numFmtId="3" fontId="3" fillId="0" borderId="0" xfId="0" applyNumberFormat="1" applyFont="1"/>
    <xf numFmtId="0" fontId="3" fillId="0" borderId="0" xfId="0" applyFont="1"/>
    <xf numFmtId="1" fontId="16" fillId="0" borderId="0" xfId="0" applyNumberFormat="1" applyFont="1"/>
    <xf numFmtId="0" fontId="2" fillId="0" borderId="0" xfId="0" applyFont="1"/>
    <xf numFmtId="8" fontId="13" fillId="0" borderId="0" xfId="0" applyNumberFormat="1" applyFont="1"/>
    <xf numFmtId="3" fontId="1" fillId="0" borderId="0" xfId="0" applyNumberFormat="1" applyFont="1"/>
    <xf numFmtId="0" fontId="1" fillId="0" borderId="0" xfId="0" applyFont="1"/>
    <xf numFmtId="1" fontId="1" fillId="0" borderId="0" xfId="0" applyNumberFormat="1" applyFont="1"/>
    <xf numFmtId="0" fontId="0" fillId="0" borderId="0" xfId="0" applyFont="1"/>
    <xf numFmtId="9" fontId="1" fillId="0" borderId="0" xfId="0" applyNumberFormat="1" applyFont="1"/>
    <xf numFmtId="3" fontId="1" fillId="0" borderId="0" xfId="2" applyNumberFormat="1"/>
    <xf numFmtId="0" fontId="19" fillId="0" borderId="0" xfId="0" applyFont="1"/>
    <xf numFmtId="0" fontId="20" fillId="0" borderId="0" xfId="0" applyFont="1"/>
    <xf numFmtId="0" fontId="17" fillId="0" borderId="0" xfId="1" applyFont="1"/>
  </cellXfs>
  <cellStyles count="4">
    <cellStyle name="Hyperlink" xfId="1" builtinId="8"/>
    <cellStyle name="Hyperlink 2" xfId="3" xr:uid="{8167C2B3-41E3-49A0-85D6-3E655CEE2A2F}"/>
    <cellStyle name="Normal" xfId="0" builtinId="0"/>
    <cellStyle name="Normal 2" xfId="2" xr:uid="{B0BB5EB7-AD62-4847-82AD-78D8E6650A1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xdr:from>
      <xdr:col>25</xdr:col>
      <xdr:colOff>2198</xdr:colOff>
      <xdr:row>1</xdr:row>
      <xdr:rowOff>57883</xdr:rowOff>
    </xdr:from>
    <xdr:to>
      <xdr:col>25</xdr:col>
      <xdr:colOff>7327</xdr:colOff>
      <xdr:row>110</xdr:row>
      <xdr:rowOff>7327</xdr:rowOff>
    </xdr:to>
    <xdr:cxnSp macro="">
      <xdr:nvCxnSpPr>
        <xdr:cNvPr id="3" name="Straight Connector 2">
          <a:extLst>
            <a:ext uri="{FF2B5EF4-FFF2-40B4-BE49-F238E27FC236}">
              <a16:creationId xmlns:a16="http://schemas.microsoft.com/office/drawing/2014/main" id="{D27E734B-78F6-25CF-AF3A-9164F515D047}"/>
            </a:ext>
          </a:extLst>
        </xdr:cNvPr>
        <xdr:cNvCxnSpPr/>
      </xdr:nvCxnSpPr>
      <xdr:spPr>
        <a:xfrm>
          <a:off x="16245986" y="219075"/>
          <a:ext cx="5129" cy="17197021"/>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632313</xdr:colOff>
      <xdr:row>1</xdr:row>
      <xdr:rowOff>0</xdr:rowOff>
    </xdr:from>
    <xdr:to>
      <xdr:col>8</xdr:col>
      <xdr:colOff>4396</xdr:colOff>
      <xdr:row>82</xdr:row>
      <xdr:rowOff>66675</xdr:rowOff>
    </xdr:to>
    <xdr:cxnSp macro="">
      <xdr:nvCxnSpPr>
        <xdr:cNvPr id="4" name="Straight Connector 3">
          <a:extLst>
            <a:ext uri="{FF2B5EF4-FFF2-40B4-BE49-F238E27FC236}">
              <a16:creationId xmlns:a16="http://schemas.microsoft.com/office/drawing/2014/main" id="{81F5E25C-17F0-4F8D-1774-386610D8C3FE}"/>
            </a:ext>
          </a:extLst>
        </xdr:cNvPr>
        <xdr:cNvCxnSpPr/>
      </xdr:nvCxnSpPr>
      <xdr:spPr>
        <a:xfrm flipH="1">
          <a:off x="5871063" y="0"/>
          <a:ext cx="9525" cy="11350137"/>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wsDr>
</file>

<file path=xl/persons/person.xml><?xml version="1.0" encoding="utf-8"?>
<personList xmlns="http://schemas.microsoft.com/office/spreadsheetml/2018/threadedcomments" xmlns:x="http://schemas.openxmlformats.org/spreadsheetml/2006/main">
  <person displayName="Liam R" id="{CD58ED4A-AE3D-49F0-854E-D35C7D332244}" userId="be0b8782fa6c70c8"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6-03-02T03:18:09.99" personId="{CD58ED4A-AE3D-49F0-854E-D35C7D332244}" id="{B6688284-DA35-4372-A780-A5694C758617}">
    <text>Assumed year of complete transition of enterprise clients to ai tools/reduction in seats. AI tools will increase enterprise ARPU, decrease seats, ultimated lead to less revenue for enterprise clients (CC enterprise, marketing). However, Jevon’s paradox (as tools in an industry get more productive, more users will use the software) so I assume a normal growth rate afterwards to be conservative.</text>
  </threadedComment>
  <threadedComment ref="B9" dT="2026-03-02T03:05:41.51" personId="{CD58ED4A-AE3D-49F0-854E-D35C7D332244}" id="{930402CF-3C62-4243-A4C1-01A5F2FB1BBD}">
    <text>Millions; calculated through assuming the ARPU for enterprise and non-enterprise based on subscription pricing with the creative cloud revenue numbers and the total creative cloud seats to find x and y (enterprise seats and non-enterprise seats)</text>
  </threadedComment>
  <threadedComment ref="AA9" dT="2026-03-02T03:14:55.31" personId="{CD58ED4A-AE3D-49F0-854E-D35C7D332244}" id="{706AA5D0-3B68-4316-9AB5-E7BDFD5EF801}">
    <text>Non-enterprise is likely mostly more tied to the art industry/highly elastic many reasons why seats wouldn’t decrease for non-enterprise clients</text>
  </threadedComment>
  <threadedComment ref="AA10" dT="2026-03-02T03:12:15.85" personId="{CD58ED4A-AE3D-49F0-854E-D35C7D332244}" id="{3BD375D7-0B10-42FC-9699-90B801AF29CC}">
    <text>Likely small increase in ARPU due to user gen tokens</text>
  </threadedComment>
  <threadedComment ref="B11" dT="2026-03-02T02:49:18.15" personId="{CD58ED4A-AE3D-49F0-854E-D35C7D332244}" id="{0C61AB74-6410-4899-92DB-71CC8802C6FA}">
    <text>millions</text>
  </threadedComment>
  <threadedComment ref="AA11" dT="2026-03-02T03:13:44.29" personId="{CD58ED4A-AE3D-49F0-854E-D35C7D332244}" id="{9110625B-A20F-4814-80C6-6F1F6BAF5A5E}">
    <text>50% decrease in seats as companies transition to ai -&gt; 100% increased productivity</text>
  </threadedComment>
  <threadedComment ref="AA12" dT="2026-03-02T03:11:40.77" personId="{CD58ED4A-AE3D-49F0-854E-D35C7D332244}" id="{E13E47F7-F728-4330-AB6F-377167A8CC30}">
    <text>Assumed, yet to be conclusively calcuated with research. Assuming a 100% price increase for generative ai tokens. This 100% price increase is justified in the model through an assumed 100% increase in productivity which would let companies reduce seats by 50% which the cost of a human assumed to be ~60k/year vs previous 480/year software license will easily let adobe charge a lot more. The highest firefly tier is currently 200/month for 50k tokens, not everyone is likely to use this much and to be conservative I use a lot less ARPU for enterprise deals and etc.</text>
  </threadedComment>
  <threadedComment ref="AA16" dT="2026-03-02T03:32:55.66" personId="{CD58ED4A-AE3D-49F0-854E-D35C7D332244}" id="{47EEF720-4C0B-45BB-8636-3C393FD966F1}">
    <text>Not assumed a 50% drop as the others, currently 25% drop due to the nature of the software -&gt; more ai compute being used, more storage and use of enterprise systems. Even though still less due to less people.</text>
  </threadedComment>
  <threadedComment ref="X17" dT="2026-02-28T07:47:32.23" personId="{CD58ED4A-AE3D-49F0-854E-D35C7D332244}" id="{A1AC085D-6825-4B37-8D01-4B2B2237006B}">
    <text>From Q424 end of year segments</text>
  </threadedComment>
  <threadedComment ref="Y18" dT="2026-02-28T07:48:38.19" personId="{CD58ED4A-AE3D-49F0-854E-D35C7D332244}" id="{94532EAC-8F13-4889-AAA0-70FC0C11077E}">
    <text>Seperated out from creative&amp;marketing using previous q424 segements to estimate current creative cloud only vs marketing only</text>
  </threadedComment>
  <threadedComment ref="Z31" dT="2026-02-28T07:54:37.47" personId="{CD58ED4A-AE3D-49F0-854E-D35C7D332244}" id="{579D2475-8567-4E48-BB9B-9F5FA93F9BAE}">
    <text>26,000 guidance</text>
  </threadedComment>
  <threadedComment ref="Z40" dT="2026-03-02T04:38:57.44" personId="{CD58ED4A-AE3D-49F0-854E-D35C7D332244}" id="{0C8D69BF-FC7E-49A8-9710-5453D28F245F}">
    <text>Operating margin stable</text>
  </threadedComment>
  <threadedComment ref="Z69" dT="2026-03-02T04:37:17.19" personId="{CD58ED4A-AE3D-49F0-854E-D35C7D332244}" id="{039CF15E-A2F2-4AB9-BED3-79C4EA0446D8}">
    <text>Dpo from cogs</text>
  </threadedComment>
  <threadedComment ref="Z70" dT="2026-03-02T04:36:57.79" personId="{CD58ED4A-AE3D-49F0-854E-D35C7D332244}" id="{8DBC8CD6-1AF2-4E50-B99B-EDC1B76D28A6}">
    <text>Percent of sg&amp;a</text>
  </threadedComment>
  <threadedComment ref="Z71" dT="2026-03-02T04:37:24.16" personId="{CD58ED4A-AE3D-49F0-854E-D35C7D332244}" id="{F007FFDD-AFCC-4115-9860-68DC6499D0AF}">
    <text>Percent of rev</text>
  </threadedComment>
</ThreadedComment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hyperlink" Target="https://doi.org/10.1093/pnasnexus/pgae05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5A162-EAE9-4CC5-AE4B-8B686CFC5399}">
  <dimension ref="A1:L74"/>
  <sheetViews>
    <sheetView zoomScale="115" zoomScaleNormal="115" workbookViewId="0">
      <selection activeCell="E12" sqref="E12"/>
    </sheetView>
  </sheetViews>
  <sheetFormatPr defaultRowHeight="12.75" x14ac:dyDescent="0.2"/>
  <cols>
    <col min="1" max="1" width="3" style="2" customWidth="1"/>
    <col min="2" max="16384" width="9.140625" style="2"/>
  </cols>
  <sheetData>
    <row r="1" spans="1:12" x14ac:dyDescent="0.2">
      <c r="A1" s="1"/>
    </row>
    <row r="2" spans="1:12" x14ac:dyDescent="0.2">
      <c r="J2" s="2" t="s">
        <v>0</v>
      </c>
      <c r="K2" s="3">
        <v>262</v>
      </c>
    </row>
    <row r="3" spans="1:12" x14ac:dyDescent="0.2">
      <c r="A3" s="25"/>
      <c r="B3" s="33" t="s">
        <v>169</v>
      </c>
      <c r="F3" s="1" t="s">
        <v>158</v>
      </c>
      <c r="G3" s="1" t="s">
        <v>150</v>
      </c>
      <c r="J3" s="2" t="s">
        <v>1</v>
      </c>
      <c r="K3" s="4">
        <v>410.5</v>
      </c>
      <c r="L3" s="24" t="s">
        <v>46</v>
      </c>
    </row>
    <row r="4" spans="1:12" x14ac:dyDescent="0.2">
      <c r="B4" s="33" t="s">
        <v>170</v>
      </c>
      <c r="F4" s="12" t="s">
        <v>75</v>
      </c>
      <c r="G4" s="1" t="s">
        <v>151</v>
      </c>
      <c r="J4" s="2" t="s">
        <v>2</v>
      </c>
      <c r="K4" s="4">
        <f>K3*K2</f>
        <v>107551</v>
      </c>
      <c r="L4" s="24"/>
    </row>
    <row r="5" spans="1:12" x14ac:dyDescent="0.2">
      <c r="B5" s="33" t="s">
        <v>171</v>
      </c>
      <c r="F5" s="36" t="s">
        <v>154</v>
      </c>
      <c r="G5" s="33" t="s">
        <v>156</v>
      </c>
      <c r="J5" s="2" t="s">
        <v>3</v>
      </c>
      <c r="K5" s="4">
        <f>5431+1164</f>
        <v>6595</v>
      </c>
      <c r="L5" s="24" t="s">
        <v>46</v>
      </c>
    </row>
    <row r="6" spans="1:12" x14ac:dyDescent="0.2">
      <c r="B6" s="33" t="s">
        <v>174</v>
      </c>
      <c r="F6" s="36" t="s">
        <v>155</v>
      </c>
      <c r="G6" s="33" t="s">
        <v>157</v>
      </c>
      <c r="J6" s="2" t="s">
        <v>4</v>
      </c>
      <c r="K6" s="4">
        <f>6210+469+125+361+508</f>
        <v>7673</v>
      </c>
      <c r="L6" s="24" t="s">
        <v>46</v>
      </c>
    </row>
    <row r="7" spans="1:12" x14ac:dyDescent="0.2">
      <c r="F7" s="12" t="s">
        <v>76</v>
      </c>
      <c r="G7" s="1" t="s">
        <v>152</v>
      </c>
      <c r="J7" s="2" t="s">
        <v>5</v>
      </c>
      <c r="K7" s="4">
        <f>K4+K6-K5</f>
        <v>108629</v>
      </c>
    </row>
    <row r="8" spans="1:12" x14ac:dyDescent="0.2">
      <c r="F8" s="1" t="s">
        <v>79</v>
      </c>
      <c r="G8" s="1" t="s">
        <v>153</v>
      </c>
      <c r="K8" s="3" t="e">
        <f>K2/(1.1*4*Model!G47)</f>
        <v>#DIV/0!</v>
      </c>
    </row>
    <row r="9" spans="1:12" x14ac:dyDescent="0.2">
      <c r="J9" s="33" t="s">
        <v>60</v>
      </c>
    </row>
    <row r="10" spans="1:12" x14ac:dyDescent="0.2">
      <c r="F10" s="33" t="s">
        <v>166</v>
      </c>
      <c r="J10" s="17"/>
    </row>
    <row r="11" spans="1:12" x14ac:dyDescent="0.2">
      <c r="A11" s="25"/>
      <c r="F11" s="33" t="s">
        <v>167</v>
      </c>
    </row>
    <row r="12" spans="1:12" x14ac:dyDescent="0.2">
      <c r="F12" s="33" t="s">
        <v>168</v>
      </c>
    </row>
    <row r="13" spans="1:12" x14ac:dyDescent="0.2">
      <c r="F13" s="33" t="s">
        <v>173</v>
      </c>
    </row>
    <row r="15" spans="1:12" x14ac:dyDescent="0.2">
      <c r="F15" s="33" t="s">
        <v>175</v>
      </c>
    </row>
    <row r="16" spans="1:12" x14ac:dyDescent="0.2">
      <c r="F16" s="33" t="s">
        <v>176</v>
      </c>
    </row>
    <row r="17" spans="6:6" x14ac:dyDescent="0.2">
      <c r="F17" s="33" t="s">
        <v>181</v>
      </c>
    </row>
    <row r="18" spans="6:6" x14ac:dyDescent="0.2">
      <c r="F18" s="33" t="s">
        <v>177</v>
      </c>
    </row>
    <row r="19" spans="6:6" x14ac:dyDescent="0.2">
      <c r="F19" s="33" t="s">
        <v>178</v>
      </c>
    </row>
    <row r="20" spans="6:6" x14ac:dyDescent="0.2">
      <c r="F20" s="33" t="s">
        <v>179</v>
      </c>
    </row>
    <row r="21" spans="6:6" x14ac:dyDescent="0.2">
      <c r="F21" s="33" t="s">
        <v>180</v>
      </c>
    </row>
    <row r="22" spans="6:6" x14ac:dyDescent="0.2">
      <c r="F22" s="33"/>
    </row>
    <row r="23" spans="6:6" x14ac:dyDescent="0.2">
      <c r="F23" s="33" t="s">
        <v>183</v>
      </c>
    </row>
    <row r="24" spans="6:6" x14ac:dyDescent="0.2">
      <c r="F24" s="33" t="s">
        <v>182</v>
      </c>
    </row>
    <row r="25" spans="6:6" x14ac:dyDescent="0.2">
      <c r="F25" s="33" t="s">
        <v>184</v>
      </c>
    </row>
    <row r="26" spans="6:6" x14ac:dyDescent="0.2">
      <c r="F26" s="33"/>
    </row>
    <row r="27" spans="6:6" x14ac:dyDescent="0.2">
      <c r="F27" s="33" t="s">
        <v>165</v>
      </c>
    </row>
    <row r="28" spans="6:6" x14ac:dyDescent="0.2">
      <c r="F28" s="25" t="s">
        <v>67</v>
      </c>
    </row>
    <row r="29" spans="6:6" x14ac:dyDescent="0.2">
      <c r="F29" s="25" t="s">
        <v>66</v>
      </c>
    </row>
    <row r="30" spans="6:6" x14ac:dyDescent="0.2">
      <c r="F30" s="33" t="s">
        <v>172</v>
      </c>
    </row>
    <row r="32" spans="6:6" x14ac:dyDescent="0.2">
      <c r="F32" s="22" t="s">
        <v>62</v>
      </c>
    </row>
    <row r="33" spans="2:6" x14ac:dyDescent="0.2">
      <c r="F33" s="22" t="s">
        <v>64</v>
      </c>
    </row>
    <row r="34" spans="2:6" ht="12" customHeight="1" x14ac:dyDescent="0.2">
      <c r="F34" s="22" t="s">
        <v>65</v>
      </c>
    </row>
    <row r="35" spans="2:6" x14ac:dyDescent="0.2">
      <c r="F35" s="22" t="s">
        <v>63</v>
      </c>
    </row>
    <row r="36" spans="2:6" x14ac:dyDescent="0.2">
      <c r="F36" s="22"/>
    </row>
    <row r="37" spans="2:6" x14ac:dyDescent="0.2">
      <c r="F37" s="33" t="s">
        <v>159</v>
      </c>
    </row>
    <row r="38" spans="2:6" x14ac:dyDescent="0.2">
      <c r="F38" s="30" t="s">
        <v>80</v>
      </c>
    </row>
    <row r="39" spans="2:6" x14ac:dyDescent="0.2">
      <c r="F39" s="30" t="s">
        <v>81</v>
      </c>
    </row>
    <row r="40" spans="2:6" x14ac:dyDescent="0.2">
      <c r="F40" s="30" t="s">
        <v>82</v>
      </c>
    </row>
    <row r="41" spans="2:6" x14ac:dyDescent="0.2">
      <c r="F41" s="30" t="s">
        <v>83</v>
      </c>
    </row>
    <row r="42" spans="2:6" x14ac:dyDescent="0.2">
      <c r="B42" s="25"/>
      <c r="F42" s="30" t="s">
        <v>84</v>
      </c>
    </row>
    <row r="43" spans="2:6" x14ac:dyDescent="0.2">
      <c r="B43" s="25"/>
    </row>
    <row r="44" spans="2:6" x14ac:dyDescent="0.2">
      <c r="C44" s="25"/>
    </row>
    <row r="45" spans="2:6" x14ac:dyDescent="0.2">
      <c r="C45" s="25"/>
    </row>
    <row r="46" spans="2:6" x14ac:dyDescent="0.2">
      <c r="C46" s="25"/>
    </row>
    <row r="47" spans="2:6" x14ac:dyDescent="0.2">
      <c r="B47" s="25"/>
    </row>
    <row r="48" spans="2:6" x14ac:dyDescent="0.2">
      <c r="C48" s="25"/>
    </row>
    <row r="49" spans="1:5" x14ac:dyDescent="0.2">
      <c r="C49" s="25"/>
    </row>
    <row r="51" spans="1:5" x14ac:dyDescent="0.2">
      <c r="C51" s="28"/>
    </row>
    <row r="52" spans="1:5" x14ac:dyDescent="0.2">
      <c r="C52" s="28"/>
      <c r="E52" s="26"/>
    </row>
    <row r="53" spans="1:5" x14ac:dyDescent="0.2">
      <c r="C53" s="28"/>
      <c r="E53" s="26"/>
    </row>
    <row r="54" spans="1:5" x14ac:dyDescent="0.2">
      <c r="C54" s="27"/>
    </row>
    <row r="55" spans="1:5" x14ac:dyDescent="0.2">
      <c r="C55" s="27"/>
    </row>
    <row r="56" spans="1:5" x14ac:dyDescent="0.2">
      <c r="B56" s="28"/>
      <c r="C56" s="27"/>
    </row>
    <row r="57" spans="1:5" x14ac:dyDescent="0.2">
      <c r="C57" s="27"/>
    </row>
    <row r="58" spans="1:5" x14ac:dyDescent="0.2">
      <c r="C58" s="28"/>
    </row>
    <row r="59" spans="1:5" x14ac:dyDescent="0.2">
      <c r="C59" s="28"/>
    </row>
    <row r="60" spans="1:5" x14ac:dyDescent="0.2">
      <c r="C60" s="28"/>
      <c r="D60" s="28"/>
    </row>
    <row r="61" spans="1:5" x14ac:dyDescent="0.2">
      <c r="C61" s="28"/>
      <c r="D61" s="28"/>
    </row>
    <row r="62" spans="1:5" x14ac:dyDescent="0.2">
      <c r="A62" s="28"/>
      <c r="C62" s="28"/>
      <c r="D62" s="28"/>
    </row>
    <row r="63" spans="1:5" x14ac:dyDescent="0.2">
      <c r="C63" s="28"/>
      <c r="D63" s="28"/>
    </row>
    <row r="64" spans="1:5" x14ac:dyDescent="0.2">
      <c r="C64" s="28"/>
    </row>
    <row r="65" spans="3:5" x14ac:dyDescent="0.2">
      <c r="C65" s="28"/>
    </row>
    <row r="66" spans="3:5" x14ac:dyDescent="0.2">
      <c r="C66" s="28"/>
    </row>
    <row r="67" spans="3:5" x14ac:dyDescent="0.2">
      <c r="C67" s="28"/>
      <c r="D67" s="4"/>
      <c r="E67" s="27"/>
    </row>
    <row r="68" spans="3:5" x14ac:dyDescent="0.2">
      <c r="C68" s="28"/>
      <c r="D68" s="4"/>
      <c r="E68" s="28"/>
    </row>
    <row r="69" spans="3:5" x14ac:dyDescent="0.2">
      <c r="C69" s="28"/>
      <c r="D69" s="4"/>
      <c r="E69" s="28"/>
    </row>
    <row r="70" spans="3:5" x14ac:dyDescent="0.2">
      <c r="C70" s="28"/>
      <c r="D70" s="4"/>
      <c r="E70" s="28"/>
    </row>
    <row r="71" spans="3:5" x14ac:dyDescent="0.2">
      <c r="C71" s="28"/>
      <c r="D71" s="4"/>
    </row>
    <row r="72" spans="3:5" x14ac:dyDescent="0.2">
      <c r="C72" s="28"/>
    </row>
    <row r="73" spans="3:5" x14ac:dyDescent="0.2">
      <c r="C73" s="28"/>
    </row>
    <row r="74" spans="3:5" x14ac:dyDescent="0.2">
      <c r="C74" s="2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1F5702-5366-4A93-A101-38C235480BE9}">
  <dimension ref="A1:EA127"/>
  <sheetViews>
    <sheetView zoomScale="130" zoomScaleNormal="130" workbookViewId="0">
      <pane xSplit="2" ySplit="2" topLeftCell="AF96" activePane="bottomRight" state="frozen"/>
      <selection pane="topRight" activeCell="B1" sqref="B1"/>
      <selection pane="bottomLeft" activeCell="A2" sqref="A2"/>
      <selection pane="bottomRight" activeCell="AJ100" sqref="AJ100"/>
    </sheetView>
  </sheetViews>
  <sheetFormatPr defaultRowHeight="12.75" x14ac:dyDescent="0.2"/>
  <cols>
    <col min="1" max="1" width="5" style="6" customWidth="1"/>
    <col min="2" max="2" width="27.85546875" style="6" customWidth="1"/>
    <col min="3" max="6" width="9.140625" style="7"/>
    <col min="7" max="7" width="9.140625" style="6"/>
    <col min="8" max="8" width="9.5703125" style="7" bestFit="1" customWidth="1"/>
    <col min="9" max="18" width="9.140625" style="7"/>
    <col min="19" max="24" width="9.140625" style="6"/>
    <col min="25" max="25" width="9.5703125" style="6" bestFit="1" customWidth="1"/>
    <col min="26" max="32" width="9.140625" style="6"/>
    <col min="33" max="33" width="10.7109375" style="6" bestFit="1" customWidth="1"/>
    <col min="34" max="16384" width="9.140625" style="6"/>
  </cols>
  <sheetData>
    <row r="1" spans="1:34" x14ac:dyDescent="0.2">
      <c r="A1" s="5" t="s">
        <v>42</v>
      </c>
    </row>
    <row r="2" spans="1:34" x14ac:dyDescent="0.2">
      <c r="C2" s="7" t="s">
        <v>43</v>
      </c>
      <c r="D2" s="7" t="s">
        <v>44</v>
      </c>
      <c r="E2" s="7" t="s">
        <v>45</v>
      </c>
      <c r="F2" s="7" t="s">
        <v>46</v>
      </c>
      <c r="G2" s="6" t="s">
        <v>28</v>
      </c>
      <c r="H2" s="7" t="s">
        <v>47</v>
      </c>
      <c r="I2" s="7" t="s">
        <v>48</v>
      </c>
      <c r="J2" s="7" t="s">
        <v>46</v>
      </c>
      <c r="L2" s="7">
        <v>2012</v>
      </c>
      <c r="M2" s="7">
        <f>L2+1</f>
        <v>2013</v>
      </c>
      <c r="N2" s="7">
        <f t="shared" ref="N2:R2" si="0">M2+1</f>
        <v>2014</v>
      </c>
      <c r="O2" s="7">
        <f t="shared" si="0"/>
        <v>2015</v>
      </c>
      <c r="P2" s="7">
        <f t="shared" si="0"/>
        <v>2016</v>
      </c>
      <c r="Q2" s="7">
        <f t="shared" si="0"/>
        <v>2017</v>
      </c>
      <c r="R2" s="7">
        <f t="shared" si="0"/>
        <v>2018</v>
      </c>
      <c r="S2" s="8">
        <v>2019</v>
      </c>
      <c r="T2" s="8">
        <v>2020</v>
      </c>
      <c r="U2" s="8">
        <f>T2+1</f>
        <v>2021</v>
      </c>
      <c r="V2" s="8">
        <f t="shared" ref="V2:AC2" si="1">U2+1</f>
        <v>2022</v>
      </c>
      <c r="W2" s="8">
        <f t="shared" si="1"/>
        <v>2023</v>
      </c>
      <c r="X2" s="8">
        <f t="shared" si="1"/>
        <v>2024</v>
      </c>
      <c r="Y2" s="8">
        <f t="shared" si="1"/>
        <v>2025</v>
      </c>
      <c r="Z2" s="8">
        <f t="shared" si="1"/>
        <v>2026</v>
      </c>
      <c r="AA2" s="8">
        <f t="shared" si="1"/>
        <v>2027</v>
      </c>
      <c r="AB2" s="8">
        <f t="shared" si="1"/>
        <v>2028</v>
      </c>
      <c r="AC2" s="8">
        <f t="shared" si="1"/>
        <v>2029</v>
      </c>
      <c r="AD2" s="8">
        <f t="shared" ref="AD2" si="2">AC2+1</f>
        <v>2030</v>
      </c>
      <c r="AE2" s="34" t="s">
        <v>122</v>
      </c>
      <c r="AF2" s="8"/>
      <c r="AG2" s="8"/>
      <c r="AH2" s="8"/>
    </row>
    <row r="3" spans="1:34" x14ac:dyDescent="0.2">
      <c r="B3" s="27" t="s">
        <v>71</v>
      </c>
      <c r="S3" s="8"/>
      <c r="T3" s="8"/>
      <c r="U3" s="8"/>
      <c r="V3" s="8"/>
      <c r="W3" s="8"/>
      <c r="X3" s="8"/>
      <c r="Y3" s="8">
        <v>25660</v>
      </c>
      <c r="Z3" s="8"/>
      <c r="AA3" s="8"/>
      <c r="AB3" s="8"/>
      <c r="AC3" s="8"/>
      <c r="AD3" s="8"/>
      <c r="AE3" s="8"/>
      <c r="AG3" s="8"/>
      <c r="AH3" s="8"/>
    </row>
    <row r="4" spans="1:34" x14ac:dyDescent="0.2">
      <c r="B4" s="27" t="s">
        <v>70</v>
      </c>
      <c r="S4" s="8"/>
      <c r="T4" s="8"/>
      <c r="U4" s="8"/>
      <c r="V4" s="8"/>
      <c r="W4" s="8"/>
      <c r="X4" s="8"/>
      <c r="Y4" s="8">
        <f>Z4*0.92</f>
        <v>6808</v>
      </c>
      <c r="Z4" s="8">
        <v>7400</v>
      </c>
      <c r="AA4" s="14"/>
      <c r="AB4" s="8"/>
      <c r="AC4" s="8"/>
      <c r="AD4" s="8"/>
      <c r="AE4" s="8"/>
      <c r="AG4" s="8"/>
      <c r="AH4" s="8"/>
    </row>
    <row r="5" spans="1:34" x14ac:dyDescent="0.2">
      <c r="B5" s="27" t="s">
        <v>69</v>
      </c>
      <c r="S5" s="8"/>
      <c r="T5" s="8"/>
      <c r="U5" s="8"/>
      <c r="V5" s="8"/>
      <c r="W5" s="8"/>
      <c r="X5" s="8"/>
      <c r="Y5" s="8">
        <f>Z5*0.92</f>
        <v>16468</v>
      </c>
      <c r="Z5" s="8">
        <v>17900</v>
      </c>
      <c r="AA5" s="14"/>
      <c r="AB5" s="8"/>
      <c r="AC5" s="8"/>
      <c r="AD5" s="8"/>
      <c r="AE5" s="8"/>
      <c r="AG5" s="8"/>
      <c r="AH5" s="8"/>
    </row>
    <row r="6" spans="1:34" x14ac:dyDescent="0.2">
      <c r="S6" s="8"/>
      <c r="T6" s="8"/>
      <c r="U6" s="8"/>
      <c r="V6" s="8"/>
      <c r="W6" s="8"/>
      <c r="X6" s="8"/>
      <c r="Y6" s="14"/>
      <c r="Z6" s="14"/>
      <c r="AA6" s="12"/>
      <c r="AB6" s="8"/>
      <c r="AC6" s="8"/>
      <c r="AD6" s="8"/>
      <c r="AE6" s="8"/>
      <c r="AG6" s="8"/>
      <c r="AH6" s="8"/>
    </row>
    <row r="7" spans="1:34" x14ac:dyDescent="0.2">
      <c r="B7" s="32" t="s">
        <v>113</v>
      </c>
      <c r="S7" s="8"/>
      <c r="T7" s="8"/>
      <c r="U7" s="8"/>
      <c r="V7" s="8"/>
      <c r="W7" s="8"/>
      <c r="X7" s="8"/>
      <c r="Y7" s="6">
        <v>40</v>
      </c>
      <c r="Z7" s="8">
        <f>Z9+Z11</f>
        <v>43.918333333333337</v>
      </c>
      <c r="AA7" s="8">
        <f t="shared" ref="AA7:AD7" si="3">AA9+AA11</f>
        <v>43.588763333333333</v>
      </c>
      <c r="AB7" s="8">
        <f t="shared" si="3"/>
        <v>47.693202033333336</v>
      </c>
      <c r="AC7" s="8">
        <f t="shared" si="3"/>
        <v>52.192443216333338</v>
      </c>
      <c r="AD7" s="8">
        <f t="shared" si="3"/>
        <v>57.125575525803342</v>
      </c>
      <c r="AE7" s="8"/>
      <c r="AG7" s="8"/>
      <c r="AH7" s="8"/>
    </row>
    <row r="8" spans="1:34" x14ac:dyDescent="0.2">
      <c r="B8" s="32" t="s">
        <v>112</v>
      </c>
      <c r="S8" s="8"/>
      <c r="T8" s="8"/>
      <c r="U8" s="8"/>
      <c r="V8" s="8"/>
      <c r="W8" s="8"/>
      <c r="X8" s="8"/>
      <c r="Y8" s="6">
        <f>Y18/Y7/12</f>
        <v>22.162500000000005</v>
      </c>
      <c r="Z8" s="6">
        <f t="shared" ref="Z8:AD8" si="4">Z18/Z7/12</f>
        <v>22.4367576183067</v>
      </c>
      <c r="AA8" s="6">
        <f t="shared" si="4"/>
        <v>22.993453741021479</v>
      </c>
      <c r="AB8" s="6">
        <f t="shared" si="4"/>
        <v>23.286427104582305</v>
      </c>
      <c r="AC8" s="6">
        <f t="shared" si="4"/>
        <v>23.590464082279681</v>
      </c>
      <c r="AD8" s="6">
        <f t="shared" si="4"/>
        <v>23.905880030565324</v>
      </c>
      <c r="AE8" s="8"/>
      <c r="AG8" s="8"/>
      <c r="AH8" s="8"/>
    </row>
    <row r="9" spans="1:34" x14ac:dyDescent="0.2">
      <c r="B9" s="32" t="s">
        <v>115</v>
      </c>
      <c r="S9" s="8"/>
      <c r="T9" s="8"/>
      <c r="U9" s="8"/>
      <c r="V9" s="8"/>
      <c r="W9" s="8"/>
      <c r="X9" s="8"/>
      <c r="Y9" s="8">
        <f>'CC Model'!C7</f>
        <v>33.633333333333333</v>
      </c>
      <c r="Z9" s="8">
        <f>Y9*1.09</f>
        <v>36.660333333333334</v>
      </c>
      <c r="AA9" s="8">
        <f>Z9*1.09</f>
        <v>39.959763333333335</v>
      </c>
      <c r="AB9" s="8">
        <f t="shared" ref="AB9:AD9" si="5">AA9*1.09</f>
        <v>43.556142033333337</v>
      </c>
      <c r="AC9" s="8">
        <f t="shared" si="5"/>
        <v>47.47619481633334</v>
      </c>
      <c r="AD9" s="8">
        <f t="shared" si="5"/>
        <v>51.749052349803343</v>
      </c>
      <c r="AE9" s="8"/>
      <c r="AG9" s="8"/>
      <c r="AH9" s="8"/>
    </row>
    <row r="10" spans="1:34" x14ac:dyDescent="0.2">
      <c r="B10" s="32" t="s">
        <v>114</v>
      </c>
      <c r="S10" s="8"/>
      <c r="T10" s="8"/>
      <c r="U10" s="8"/>
      <c r="V10" s="8"/>
      <c r="W10" s="8"/>
      <c r="X10" s="8"/>
      <c r="Y10" s="6">
        <f>'CC Model'!C4</f>
        <v>15</v>
      </c>
      <c r="Z10" s="6">
        <v>15</v>
      </c>
      <c r="AA10" s="6">
        <v>16</v>
      </c>
      <c r="AB10" s="6">
        <v>16</v>
      </c>
      <c r="AC10" s="6">
        <v>16</v>
      </c>
      <c r="AD10" s="6">
        <v>16</v>
      </c>
      <c r="AE10" s="8"/>
      <c r="AG10" s="8"/>
      <c r="AH10" s="8"/>
    </row>
    <row r="11" spans="1:34" x14ac:dyDescent="0.2">
      <c r="B11" s="32" t="s">
        <v>110</v>
      </c>
      <c r="S11" s="8"/>
      <c r="T11" s="8"/>
      <c r="U11" s="8"/>
      <c r="V11" s="8"/>
      <c r="W11" s="8"/>
      <c r="X11" s="8"/>
      <c r="Y11" s="6">
        <f>'CC Model'!C6</f>
        <v>6.3666666666666663</v>
      </c>
      <c r="Z11" s="6">
        <f>Y11*1.14</f>
        <v>7.2579999999999991</v>
      </c>
      <c r="AA11" s="6">
        <f>Z11*0.5</f>
        <v>3.6289999999999996</v>
      </c>
      <c r="AB11" s="34">
        <f>AA11*1.14</f>
        <v>4.1370599999999991</v>
      </c>
      <c r="AC11" s="34">
        <f t="shared" ref="AC11:AD11" si="6">AB11*1.14</f>
        <v>4.7162483999999987</v>
      </c>
      <c r="AD11" s="34">
        <f t="shared" si="6"/>
        <v>5.3765231759999983</v>
      </c>
      <c r="AE11" s="8"/>
      <c r="AG11" s="8"/>
      <c r="AH11" s="8"/>
    </row>
    <row r="12" spans="1:34" x14ac:dyDescent="0.2">
      <c r="B12" s="32" t="s">
        <v>111</v>
      </c>
      <c r="S12" s="8"/>
      <c r="T12" s="8"/>
      <c r="U12" s="8"/>
      <c r="V12" s="8"/>
      <c r="W12" s="8"/>
      <c r="X12" s="8"/>
      <c r="Y12" s="8">
        <f>'CC Model'!C5</f>
        <v>60</v>
      </c>
      <c r="Z12" s="8">
        <v>60</v>
      </c>
      <c r="AA12" s="8">
        <v>100</v>
      </c>
      <c r="AB12" s="8">
        <f>AA12</f>
        <v>100</v>
      </c>
      <c r="AC12" s="8">
        <f t="shared" ref="AC12:AD12" si="7">AB12</f>
        <v>100</v>
      </c>
      <c r="AD12" s="8">
        <f t="shared" si="7"/>
        <v>100</v>
      </c>
      <c r="AE12" s="8"/>
      <c r="AG12" s="8"/>
      <c r="AH12" s="8"/>
    </row>
    <row r="13" spans="1:34" x14ac:dyDescent="0.2">
      <c r="B13" s="32" t="s">
        <v>119</v>
      </c>
      <c r="S13" s="8"/>
      <c r="T13" s="8"/>
      <c r="U13" s="8"/>
      <c r="V13" s="8"/>
      <c r="W13" s="8"/>
      <c r="X13" s="8"/>
      <c r="Y13" s="14"/>
      <c r="Z13" s="14"/>
      <c r="AA13" s="12"/>
      <c r="AC13" s="8"/>
      <c r="AD13" s="8"/>
      <c r="AE13" s="8"/>
      <c r="AG13" s="8"/>
      <c r="AH13" s="8"/>
    </row>
    <row r="14" spans="1:34" x14ac:dyDescent="0.2">
      <c r="B14" s="32" t="s">
        <v>118</v>
      </c>
      <c r="S14" s="8"/>
      <c r="T14" s="8"/>
      <c r="U14" s="8"/>
      <c r="V14" s="8"/>
      <c r="W14" s="8"/>
      <c r="X14" s="8"/>
      <c r="Y14" s="36"/>
      <c r="Z14" s="9"/>
      <c r="AA14" s="12"/>
      <c r="AC14" s="8"/>
      <c r="AD14" s="8"/>
      <c r="AE14" s="8"/>
      <c r="AG14" s="8"/>
      <c r="AH14" s="8"/>
    </row>
    <row r="15" spans="1:34" x14ac:dyDescent="0.2">
      <c r="S15" s="8"/>
      <c r="T15" s="8"/>
      <c r="U15" s="8"/>
      <c r="V15" s="8"/>
      <c r="W15" s="8"/>
      <c r="X15" s="8"/>
      <c r="Y15" s="14"/>
      <c r="Z15" s="9"/>
      <c r="AA15" s="12"/>
      <c r="AC15" s="8"/>
      <c r="AD15" s="8"/>
      <c r="AE15" s="8"/>
      <c r="AF15" s="8"/>
      <c r="AG15" s="8"/>
      <c r="AH15" s="8"/>
    </row>
    <row r="16" spans="1:34" s="10" customFormat="1" x14ac:dyDescent="0.2">
      <c r="A16" s="6"/>
      <c r="B16" s="10" t="s">
        <v>72</v>
      </c>
      <c r="C16" s="1"/>
      <c r="D16" s="1"/>
      <c r="E16" s="1"/>
      <c r="F16" s="1"/>
      <c r="H16" s="1"/>
      <c r="I16" s="1"/>
      <c r="J16" s="1"/>
      <c r="K16" s="1"/>
      <c r="L16" s="1"/>
      <c r="M16" s="1"/>
      <c r="N16" s="1"/>
      <c r="O16" s="1"/>
      <c r="P16" s="1"/>
      <c r="Q16" s="1"/>
      <c r="R16" s="1"/>
      <c r="S16" s="29"/>
      <c r="T16" s="29"/>
      <c r="U16" s="29"/>
      <c r="V16" s="29"/>
      <c r="W16" s="29"/>
      <c r="X16" s="29">
        <v>5370</v>
      </c>
      <c r="Y16" s="29">
        <f>Y26</f>
        <v>5850</v>
      </c>
      <c r="Z16" s="29">
        <f>Y16*1.09</f>
        <v>6376.5000000000009</v>
      </c>
      <c r="AA16" s="29">
        <f>Z16*0.75</f>
        <v>4782.3750000000009</v>
      </c>
      <c r="AB16" s="29">
        <f t="shared" ref="AB16:AD16" si="8">AA16*1.09</f>
        <v>5212.7887500000015</v>
      </c>
      <c r="AC16" s="29">
        <f t="shared" si="8"/>
        <v>5681.9397375000017</v>
      </c>
      <c r="AD16" s="29">
        <f t="shared" si="8"/>
        <v>6193.314313875002</v>
      </c>
      <c r="AE16" s="29"/>
      <c r="AF16" s="29"/>
      <c r="AG16" s="29"/>
      <c r="AH16" s="29"/>
    </row>
    <row r="17" spans="1:35" x14ac:dyDescent="0.2">
      <c r="B17" s="27" t="s">
        <v>73</v>
      </c>
      <c r="S17" s="8"/>
      <c r="T17" s="8"/>
      <c r="U17" s="8"/>
      <c r="V17" s="8"/>
      <c r="W17" s="8"/>
      <c r="X17" s="8">
        <v>12680</v>
      </c>
      <c r="Y17" s="8">
        <f t="shared" ref="Y17:Z21" si="9">X17*1.1</f>
        <v>13948.000000000002</v>
      </c>
      <c r="Z17" s="31"/>
      <c r="AA17" s="8"/>
      <c r="AB17" s="8"/>
      <c r="AC17" s="8"/>
      <c r="AD17" s="8"/>
      <c r="AE17" s="8"/>
      <c r="AF17" s="8"/>
      <c r="AG17" s="8"/>
      <c r="AH17" s="8"/>
    </row>
    <row r="18" spans="1:35" s="10" customFormat="1" x14ac:dyDescent="0.2">
      <c r="A18" s="6"/>
      <c r="B18" s="10" t="s">
        <v>75</v>
      </c>
      <c r="C18" s="1"/>
      <c r="D18" s="1"/>
      <c r="E18" s="1"/>
      <c r="F18" s="1"/>
      <c r="H18" s="1"/>
      <c r="I18" s="1"/>
      <c r="J18" s="1"/>
      <c r="K18" s="1"/>
      <c r="L18" s="10">
        <f>L25-L23</f>
        <v>2600</v>
      </c>
      <c r="M18" s="10">
        <f>L18*1.1</f>
        <v>2860.0000000000005</v>
      </c>
      <c r="N18" s="10">
        <f>M18*1.1</f>
        <v>3146.0000000000009</v>
      </c>
      <c r="O18" s="10">
        <f>N18*1.12</f>
        <v>3523.5200000000013</v>
      </c>
      <c r="P18" s="10">
        <f t="shared" ref="P18:X18" si="10">O18*1.12</f>
        <v>3946.3424000000018</v>
      </c>
      <c r="Q18" s="10">
        <f t="shared" si="10"/>
        <v>4419.9034880000027</v>
      </c>
      <c r="R18" s="10">
        <f t="shared" si="10"/>
        <v>4950.2919065600036</v>
      </c>
      <c r="S18" s="10">
        <f t="shared" si="10"/>
        <v>5544.3269353472042</v>
      </c>
      <c r="T18" s="10">
        <f t="shared" si="10"/>
        <v>6209.6461675888695</v>
      </c>
      <c r="U18" s="10">
        <f t="shared" si="10"/>
        <v>6954.8037076995342</v>
      </c>
      <c r="V18" s="10">
        <f t="shared" si="10"/>
        <v>7789.3801526234793</v>
      </c>
      <c r="W18" s="10">
        <f t="shared" si="10"/>
        <v>8724.1057709382967</v>
      </c>
      <c r="X18" s="10">
        <f t="shared" si="10"/>
        <v>9770.9984634508928</v>
      </c>
      <c r="Y18" s="29">
        <f>Y17-Y22</f>
        <v>10638.000000000002</v>
      </c>
      <c r="Z18" s="29">
        <f>SUM(Z19:Z20)</f>
        <v>11824.619999999999</v>
      </c>
      <c r="AA18" s="29">
        <f>SUM(AA19:AA20)</f>
        <v>12027.074559999999</v>
      </c>
      <c r="AB18" s="29">
        <f t="shared" ref="AB18:AD18" si="11">SUM(AB19:AB20)</f>
        <v>13327.2512704</v>
      </c>
      <c r="AC18" s="29">
        <f t="shared" si="11"/>
        <v>14774.927484735999</v>
      </c>
      <c r="AD18" s="29">
        <f t="shared" si="11"/>
        <v>16387.645862362238</v>
      </c>
      <c r="AE18" s="29"/>
      <c r="AF18" s="29"/>
      <c r="AG18" s="29"/>
      <c r="AH18" s="29"/>
    </row>
    <row r="19" spans="1:35" s="10" customFormat="1" x14ac:dyDescent="0.2">
      <c r="A19" s="6"/>
      <c r="B19" s="32" t="s">
        <v>88</v>
      </c>
      <c r="C19" s="1"/>
      <c r="D19" s="1"/>
      <c r="E19" s="1"/>
      <c r="F19" s="1"/>
      <c r="H19" s="1"/>
      <c r="I19" s="1"/>
      <c r="J19" s="1"/>
      <c r="K19" s="1"/>
      <c r="Y19" s="34">
        <f>Y12*12*Y11</f>
        <v>4584</v>
      </c>
      <c r="Z19" s="34">
        <f t="shared" ref="Z19" si="12">Y19*1.14</f>
        <v>5225.7599999999993</v>
      </c>
      <c r="AA19" s="34">
        <f>AA12*12*AA11</f>
        <v>4354.7999999999993</v>
      </c>
      <c r="AB19" s="34">
        <f t="shared" ref="AB19:AD19" si="13">AB12*12*AB11</f>
        <v>4964.4719999999988</v>
      </c>
      <c r="AC19" s="34">
        <f t="shared" si="13"/>
        <v>5659.4980799999985</v>
      </c>
      <c r="AD19" s="34">
        <f t="shared" si="13"/>
        <v>6451.827811199998</v>
      </c>
      <c r="AE19" s="29"/>
      <c r="AF19" s="29"/>
      <c r="AG19" s="29"/>
      <c r="AH19" s="29"/>
    </row>
    <row r="20" spans="1:35" s="10" customFormat="1" x14ac:dyDescent="0.2">
      <c r="A20" s="6"/>
      <c r="B20" s="32" t="s">
        <v>85</v>
      </c>
      <c r="C20" s="1"/>
      <c r="D20" s="1"/>
      <c r="E20" s="1"/>
      <c r="F20" s="1"/>
      <c r="H20" s="1"/>
      <c r="I20" s="1"/>
      <c r="J20" s="1"/>
      <c r="K20" s="1"/>
      <c r="L20" s="33"/>
      <c r="M20" s="32"/>
      <c r="N20" s="32"/>
      <c r="O20" s="32"/>
      <c r="P20" s="32"/>
      <c r="Q20" s="32"/>
      <c r="R20" s="32"/>
      <c r="S20" s="32"/>
      <c r="T20" s="32"/>
      <c r="U20" s="32"/>
      <c r="V20" s="32"/>
      <c r="W20" s="32"/>
      <c r="X20" s="29"/>
      <c r="Y20" s="34">
        <f>Y10*12*Y9</f>
        <v>6054</v>
      </c>
      <c r="Z20" s="34">
        <f>Y20*1.09</f>
        <v>6598.8600000000006</v>
      </c>
      <c r="AA20" s="34">
        <f>AA10*12*AA9</f>
        <v>7672.2745599999998</v>
      </c>
      <c r="AB20" s="34">
        <f t="shared" ref="AB20:AD20" si="14">AB10*12*AB9</f>
        <v>8362.7792704000003</v>
      </c>
      <c r="AC20" s="34">
        <f t="shared" si="14"/>
        <v>9115.4294047360017</v>
      </c>
      <c r="AD20" s="34">
        <f t="shared" si="14"/>
        <v>9935.8180511622413</v>
      </c>
      <c r="AE20" s="29"/>
      <c r="AF20" s="29"/>
      <c r="AG20" s="29"/>
      <c r="AH20" s="29"/>
    </row>
    <row r="21" spans="1:35" x14ac:dyDescent="0.2">
      <c r="B21" s="27" t="s">
        <v>74</v>
      </c>
      <c r="S21" s="8"/>
      <c r="T21" s="8"/>
      <c r="U21" s="8"/>
      <c r="V21" s="8"/>
      <c r="W21" s="8"/>
      <c r="X21" s="8">
        <v>3180</v>
      </c>
      <c r="Y21" s="8">
        <f t="shared" si="9"/>
        <v>3498.0000000000005</v>
      </c>
      <c r="Z21" s="8">
        <f t="shared" si="9"/>
        <v>3847.8000000000006</v>
      </c>
      <c r="AA21" s="8"/>
      <c r="AB21" s="8"/>
      <c r="AC21" s="8"/>
      <c r="AD21" s="8"/>
      <c r="AE21" s="8"/>
      <c r="AF21" s="8"/>
      <c r="AG21" s="8"/>
      <c r="AH21" s="8"/>
    </row>
    <row r="22" spans="1:35" x14ac:dyDescent="0.2">
      <c r="B22" s="27" t="s">
        <v>77</v>
      </c>
      <c r="S22" s="8"/>
      <c r="T22" s="8"/>
      <c r="U22" s="8"/>
      <c r="V22" s="8"/>
      <c r="W22" s="8"/>
      <c r="X22" s="8"/>
      <c r="Y22" s="8">
        <f>Y4-Y21</f>
        <v>3309.9999999999995</v>
      </c>
      <c r="Z22" s="8">
        <f>Y22*1.1</f>
        <v>3641</v>
      </c>
      <c r="AA22" s="8"/>
      <c r="AB22" s="8"/>
      <c r="AC22" s="8"/>
      <c r="AD22" s="8"/>
      <c r="AE22" s="8"/>
      <c r="AF22" s="8"/>
      <c r="AG22" s="8"/>
      <c r="AH22" s="8"/>
    </row>
    <row r="23" spans="1:35" s="10" customFormat="1" x14ac:dyDescent="0.2">
      <c r="A23" s="6"/>
      <c r="B23" s="10" t="s">
        <v>78</v>
      </c>
      <c r="C23" s="1"/>
      <c r="D23" s="1"/>
      <c r="E23" s="1"/>
      <c r="F23" s="1"/>
      <c r="H23" s="1"/>
      <c r="I23" s="1"/>
      <c r="J23" s="1"/>
      <c r="K23" s="1"/>
      <c r="L23" s="1">
        <v>400</v>
      </c>
      <c r="M23" s="1"/>
      <c r="N23" s="1"/>
      <c r="O23" s="1"/>
      <c r="P23" s="1"/>
      <c r="Q23" s="1"/>
      <c r="R23" s="1"/>
      <c r="S23" s="29"/>
      <c r="T23" s="29"/>
      <c r="U23" s="29"/>
      <c r="V23" s="29"/>
      <c r="W23" s="29"/>
      <c r="X23" s="29"/>
      <c r="Y23" s="29">
        <f>SUM(Y21:Y22)</f>
        <v>6808</v>
      </c>
      <c r="Z23" s="29">
        <f>SUM(Z21:Z22)</f>
        <v>7488.8000000000011</v>
      </c>
      <c r="AA23" s="29">
        <f>Z23*1.1</f>
        <v>8237.6800000000021</v>
      </c>
      <c r="AB23" s="29">
        <f t="shared" ref="AB23:AD23" si="15">AA23*1.1</f>
        <v>9061.448000000004</v>
      </c>
      <c r="AC23" s="29">
        <f t="shared" si="15"/>
        <v>9967.5928000000058</v>
      </c>
      <c r="AD23" s="29">
        <f t="shared" si="15"/>
        <v>10964.352080000008</v>
      </c>
      <c r="AE23" s="29"/>
      <c r="AF23" s="29"/>
      <c r="AG23" s="29"/>
      <c r="AH23" s="29"/>
    </row>
    <row r="24" spans="1:35" x14ac:dyDescent="0.2">
      <c r="S24" s="8"/>
      <c r="T24" s="8"/>
      <c r="U24" s="8"/>
      <c r="V24" s="8"/>
      <c r="W24" s="8"/>
      <c r="X24" s="8"/>
      <c r="Y24" s="8"/>
      <c r="Z24" s="9"/>
      <c r="AA24" s="9"/>
      <c r="AB24" s="9"/>
      <c r="AC24" s="9"/>
      <c r="AD24" s="9"/>
      <c r="AE24" s="8"/>
      <c r="AF24" s="8"/>
      <c r="AG24" s="8"/>
      <c r="AH24" s="8"/>
    </row>
    <row r="25" spans="1:35" x14ac:dyDescent="0.2">
      <c r="A25" s="5"/>
      <c r="B25" s="6" t="s">
        <v>55</v>
      </c>
      <c r="H25" s="6">
        <v>4300</v>
      </c>
      <c r="I25" s="6">
        <v>4400</v>
      </c>
      <c r="L25" s="7">
        <v>3000</v>
      </c>
      <c r="P25" s="6">
        <v>3940</v>
      </c>
      <c r="Q25" s="6">
        <v>5010</v>
      </c>
      <c r="R25" s="6">
        <f>Q25*1.26</f>
        <v>6312.6</v>
      </c>
      <c r="S25" s="6">
        <v>7700</v>
      </c>
      <c r="T25" s="8">
        <v>9230</v>
      </c>
      <c r="U25" s="34">
        <f>T25*1.15</f>
        <v>10614.5</v>
      </c>
      <c r="V25" s="6">
        <f>U25*1.16</f>
        <v>12312.82</v>
      </c>
      <c r="W25" s="8">
        <v>14000</v>
      </c>
      <c r="X25" s="8">
        <v>15860</v>
      </c>
      <c r="Y25" s="6">
        <v>17500</v>
      </c>
      <c r="Z25" s="8"/>
      <c r="AA25" s="8"/>
      <c r="AB25" s="8"/>
      <c r="AC25" s="8"/>
      <c r="AD25" s="8"/>
      <c r="AE25" s="8"/>
      <c r="AF25" s="8"/>
      <c r="AG25" s="8"/>
      <c r="AH25" s="8"/>
    </row>
    <row r="26" spans="1:35" x14ac:dyDescent="0.2">
      <c r="A26" s="5"/>
      <c r="B26" s="6" t="s">
        <v>56</v>
      </c>
      <c r="H26" s="6">
        <v>1450</v>
      </c>
      <c r="I26" s="6">
        <v>1450</v>
      </c>
      <c r="T26" s="8"/>
      <c r="U26" s="8"/>
      <c r="V26" s="8"/>
      <c r="W26" s="8"/>
      <c r="X26" s="8">
        <v>5370</v>
      </c>
      <c r="Y26" s="6">
        <v>5850</v>
      </c>
      <c r="Z26" s="8">
        <f>Z16</f>
        <v>6376.5000000000009</v>
      </c>
      <c r="AA26" s="8"/>
      <c r="AB26" s="8"/>
      <c r="AC26" s="8"/>
      <c r="AD26" s="8"/>
      <c r="AE26" s="8"/>
      <c r="AF26" s="8"/>
      <c r="AG26" s="8"/>
      <c r="AH26" s="8"/>
    </row>
    <row r="27" spans="1:35" x14ac:dyDescent="0.2">
      <c r="A27" s="5"/>
      <c r="H27" s="6"/>
      <c r="I27" s="14"/>
      <c r="P27" s="6"/>
      <c r="Q27" s="6"/>
      <c r="R27" s="6"/>
      <c r="T27" s="8"/>
      <c r="U27" s="8"/>
      <c r="V27" s="8"/>
      <c r="W27" s="8"/>
      <c r="X27" s="8"/>
      <c r="Y27" s="8"/>
      <c r="Z27" s="8"/>
      <c r="AA27" s="8"/>
      <c r="AB27" s="8"/>
      <c r="AC27" s="8"/>
      <c r="AD27" s="8"/>
      <c r="AE27" s="8"/>
      <c r="AF27" s="8"/>
      <c r="AG27" s="8"/>
      <c r="AH27" s="8"/>
      <c r="AI27" s="14"/>
    </row>
    <row r="28" spans="1:35" x14ac:dyDescent="0.2">
      <c r="B28" s="6" t="s">
        <v>6</v>
      </c>
      <c r="D28" s="6">
        <v>5060</v>
      </c>
      <c r="H28" s="6">
        <v>5641</v>
      </c>
      <c r="I28" s="6"/>
      <c r="J28" s="6"/>
      <c r="K28" s="6"/>
      <c r="L28" s="6"/>
      <c r="M28" s="6"/>
      <c r="N28" s="6"/>
      <c r="O28" s="6"/>
      <c r="P28" s="6"/>
      <c r="Q28" s="6"/>
      <c r="R28" s="6"/>
      <c r="S28" s="6">
        <v>9634</v>
      </c>
      <c r="T28" s="6">
        <v>11626</v>
      </c>
      <c r="U28" s="6">
        <v>14573</v>
      </c>
      <c r="V28" s="6">
        <v>16388</v>
      </c>
      <c r="W28" s="6">
        <v>18284</v>
      </c>
      <c r="X28" s="6">
        <v>20521</v>
      </c>
    </row>
    <row r="29" spans="1:35" x14ac:dyDescent="0.2">
      <c r="B29" s="6" t="s">
        <v>7</v>
      </c>
      <c r="D29" s="6">
        <v>104</v>
      </c>
      <c r="H29" s="7">
        <v>88</v>
      </c>
      <c r="S29" s="6">
        <v>648</v>
      </c>
      <c r="T29" s="6">
        <v>507</v>
      </c>
      <c r="U29" s="6">
        <v>555</v>
      </c>
      <c r="V29" s="6">
        <v>532</v>
      </c>
      <c r="W29" s="6">
        <v>460</v>
      </c>
      <c r="X29" s="6">
        <v>386</v>
      </c>
    </row>
    <row r="30" spans="1:35" x14ac:dyDescent="0.2">
      <c r="B30" s="6" t="s">
        <v>8</v>
      </c>
      <c r="D30" s="6">
        <v>145</v>
      </c>
      <c r="H30" s="7">
        <v>144</v>
      </c>
      <c r="S30" s="6">
        <v>889</v>
      </c>
      <c r="T30" s="6">
        <v>735</v>
      </c>
      <c r="U30" s="6">
        <v>657</v>
      </c>
      <c r="V30" s="6">
        <v>686</v>
      </c>
      <c r="W30" s="6">
        <v>665</v>
      </c>
      <c r="X30" s="6">
        <v>598</v>
      </c>
    </row>
    <row r="31" spans="1:35" s="10" customFormat="1" x14ac:dyDescent="0.2">
      <c r="B31" s="10" t="s">
        <v>9</v>
      </c>
      <c r="C31" s="10">
        <f>SUM(C28:C30)</f>
        <v>0</v>
      </c>
      <c r="D31" s="10">
        <f>SUM(D28:D30)</f>
        <v>5309</v>
      </c>
      <c r="E31" s="10">
        <f>SUM(E28:E30)</f>
        <v>0</v>
      </c>
      <c r="F31" s="10">
        <f>SUM(F28:F30)</f>
        <v>0</v>
      </c>
      <c r="G31" s="10">
        <v>5710</v>
      </c>
      <c r="H31" s="10">
        <f>SUM(H28:H30)</f>
        <v>5873</v>
      </c>
      <c r="I31" s="10">
        <v>5900</v>
      </c>
      <c r="J31" s="10">
        <f>I31*1.02</f>
        <v>6018</v>
      </c>
      <c r="L31" s="10">
        <v>4400</v>
      </c>
      <c r="M31" s="10">
        <v>4060</v>
      </c>
      <c r="N31" s="10">
        <v>4150</v>
      </c>
      <c r="O31" s="10">
        <v>4800</v>
      </c>
      <c r="P31" s="10">
        <v>5850</v>
      </c>
      <c r="Q31" s="10">
        <v>7300</v>
      </c>
      <c r="R31" s="10">
        <v>9030</v>
      </c>
      <c r="S31" s="10">
        <f>SUM(S28:S30)</f>
        <v>11171</v>
      </c>
      <c r="T31" s="10">
        <f>SUM(T28:T30)</f>
        <v>12868</v>
      </c>
      <c r="U31" s="10">
        <f>SUM(U28:U30)</f>
        <v>15785</v>
      </c>
      <c r="V31" s="10">
        <f>SUM(V28:V30)</f>
        <v>17606</v>
      </c>
      <c r="W31" s="10">
        <f t="shared" ref="W31:X31" si="16">SUM(W28:W30)</f>
        <v>19409</v>
      </c>
      <c r="X31" s="10">
        <f t="shared" si="16"/>
        <v>21505</v>
      </c>
      <c r="Y31" s="10">
        <v>23600</v>
      </c>
      <c r="Z31" s="10">
        <f>Z23+Z18+Z16</f>
        <v>25689.919999999998</v>
      </c>
      <c r="AA31" s="10">
        <f t="shared" ref="AA31:AD31" si="17">AA23+AA18+AA16</f>
        <v>25047.129560000001</v>
      </c>
      <c r="AB31" s="10">
        <f t="shared" si="17"/>
        <v>27601.488020400007</v>
      </c>
      <c r="AC31" s="10">
        <f t="shared" si="17"/>
        <v>30424.460022236006</v>
      </c>
      <c r="AD31" s="10">
        <f t="shared" si="17"/>
        <v>33545.312256237245</v>
      </c>
      <c r="AE31" s="10">
        <f>AD31*(1+$AH$98)</f>
        <v>33880.765378799617</v>
      </c>
    </row>
    <row r="32" spans="1:35" x14ac:dyDescent="0.2">
      <c r="B32" s="6" t="s">
        <v>10</v>
      </c>
      <c r="D32" s="7">
        <v>456</v>
      </c>
      <c r="H32" s="7">
        <v>505</v>
      </c>
      <c r="I32" s="6"/>
      <c r="V32" s="6">
        <v>1646</v>
      </c>
      <c r="W32" s="6">
        <v>1822</v>
      </c>
      <c r="X32" s="6">
        <v>1799</v>
      </c>
      <c r="AH32" s="14"/>
    </row>
    <row r="33" spans="2:34" x14ac:dyDescent="0.2">
      <c r="B33" s="6" t="s">
        <v>11</v>
      </c>
      <c r="D33" s="7">
        <v>8</v>
      </c>
      <c r="H33" s="7">
        <v>6</v>
      </c>
      <c r="V33" s="6">
        <v>35</v>
      </c>
      <c r="W33" s="6">
        <v>29</v>
      </c>
      <c r="X33" s="6">
        <v>25</v>
      </c>
      <c r="Y33" s="14"/>
      <c r="Z33" s="14"/>
    </row>
    <row r="34" spans="2:34" x14ac:dyDescent="0.2">
      <c r="B34" s="6" t="s">
        <v>12</v>
      </c>
      <c r="D34" s="7">
        <v>134</v>
      </c>
      <c r="H34" s="7">
        <v>127</v>
      </c>
      <c r="V34" s="6">
        <v>484</v>
      </c>
      <c r="W34" s="6">
        <v>503</v>
      </c>
      <c r="X34" s="6">
        <v>534</v>
      </c>
    </row>
    <row r="35" spans="2:34" x14ac:dyDescent="0.2">
      <c r="B35" s="6" t="s">
        <v>13</v>
      </c>
      <c r="C35" s="7">
        <f>SUM(C32:C34)</f>
        <v>0</v>
      </c>
      <c r="D35" s="7">
        <f>SUM(D32:D34)</f>
        <v>598</v>
      </c>
      <c r="E35" s="7">
        <f t="shared" ref="E35:H35" si="18">SUM(E32:E34)</f>
        <v>0</v>
      </c>
      <c r="F35" s="7">
        <f t="shared" si="18"/>
        <v>0</v>
      </c>
      <c r="G35" s="7">
        <f t="shared" si="18"/>
        <v>0</v>
      </c>
      <c r="H35" s="7">
        <f t="shared" si="18"/>
        <v>638</v>
      </c>
      <c r="I35" s="6">
        <f>I31*(1-I53)</f>
        <v>648.99999999999989</v>
      </c>
      <c r="J35" s="6">
        <f>J31*(1-J53)</f>
        <v>661.9799999999999</v>
      </c>
      <c r="K35" s="6"/>
      <c r="L35" s="6"/>
      <c r="M35" s="6"/>
      <c r="N35" s="6"/>
      <c r="O35" s="6"/>
      <c r="P35" s="6"/>
      <c r="Q35" s="6"/>
      <c r="R35" s="6"/>
      <c r="S35" s="6">
        <f>SUM(S32:S34)</f>
        <v>0</v>
      </c>
      <c r="T35" s="6">
        <f>SUM(T32:T34)</f>
        <v>0</v>
      </c>
      <c r="U35" s="6">
        <f>SUM(U32:U34)</f>
        <v>0</v>
      </c>
      <c r="V35" s="6">
        <f>SUM(V32:V34)</f>
        <v>2165</v>
      </c>
      <c r="W35" s="6">
        <f t="shared" ref="W35:X35" si="19">SUM(W32:W34)</f>
        <v>2354</v>
      </c>
      <c r="X35" s="6">
        <f t="shared" si="19"/>
        <v>2358</v>
      </c>
      <c r="Y35" s="6">
        <f t="shared" ref="Y35:AD35" si="20">Y31*(1-Y53)</f>
        <v>2595.9999999999995</v>
      </c>
      <c r="Z35" s="6">
        <f t="shared" si="20"/>
        <v>2825.8911999999996</v>
      </c>
      <c r="AA35" s="6">
        <f t="shared" si="20"/>
        <v>2755.1842515999997</v>
      </c>
      <c r="AB35" s="6">
        <f t="shared" si="20"/>
        <v>3036.1636822440005</v>
      </c>
      <c r="AC35" s="6">
        <f t="shared" si="20"/>
        <v>3346.6906024459604</v>
      </c>
      <c r="AD35" s="6">
        <f t="shared" si="20"/>
        <v>3689.9843481860967</v>
      </c>
    </row>
    <row r="36" spans="2:34" x14ac:dyDescent="0.2">
      <c r="B36" s="6" t="s">
        <v>14</v>
      </c>
      <c r="C36" s="6">
        <f>C31-C35</f>
        <v>0</v>
      </c>
      <c r="D36" s="6">
        <f>D31-D35</f>
        <v>4711</v>
      </c>
      <c r="E36" s="6">
        <f t="shared" ref="E36:J36" si="21">E31-E35</f>
        <v>0</v>
      </c>
      <c r="F36" s="6">
        <f t="shared" si="21"/>
        <v>0</v>
      </c>
      <c r="G36" s="6">
        <f t="shared" si="21"/>
        <v>5710</v>
      </c>
      <c r="H36" s="6">
        <f t="shared" si="21"/>
        <v>5235</v>
      </c>
      <c r="I36" s="6">
        <f t="shared" si="21"/>
        <v>5251</v>
      </c>
      <c r="J36" s="6">
        <f t="shared" si="21"/>
        <v>5356.02</v>
      </c>
      <c r="K36" s="6"/>
      <c r="L36" s="6"/>
      <c r="M36" s="6"/>
      <c r="N36" s="6"/>
      <c r="O36" s="6"/>
      <c r="P36" s="6"/>
      <c r="Q36" s="6"/>
      <c r="R36" s="6"/>
      <c r="V36" s="6">
        <f>V31-V35</f>
        <v>15441</v>
      </c>
      <c r="W36" s="6">
        <f t="shared" ref="W36:X36" si="22">W31-W35</f>
        <v>17055</v>
      </c>
      <c r="X36" s="6">
        <f t="shared" si="22"/>
        <v>19147</v>
      </c>
      <c r="Y36" s="6">
        <f t="shared" ref="Y36" si="23">Y31-Y35</f>
        <v>21004</v>
      </c>
      <c r="Z36" s="6">
        <f t="shared" ref="Z36" si="24">Z31-Z35</f>
        <v>22864.0288</v>
      </c>
      <c r="AA36" s="6">
        <f t="shared" ref="AA36" si="25">AA31-AA35</f>
        <v>22291.945308400002</v>
      </c>
      <c r="AB36" s="6">
        <f t="shared" ref="AB36" si="26">AB31-AB35</f>
        <v>24565.324338156006</v>
      </c>
      <c r="AC36" s="6">
        <f t="shared" ref="AC36:AD36" si="27">AC31-AC35</f>
        <v>27077.769419790046</v>
      </c>
      <c r="AD36" s="6">
        <f t="shared" si="27"/>
        <v>29855.327908051149</v>
      </c>
    </row>
    <row r="37" spans="2:34" x14ac:dyDescent="0.2">
      <c r="B37" s="6" t="s">
        <v>15</v>
      </c>
      <c r="C37" s="6"/>
      <c r="D37" s="6">
        <v>984</v>
      </c>
      <c r="E37" s="6"/>
      <c r="F37" s="6"/>
      <c r="H37" s="6">
        <v>1082</v>
      </c>
      <c r="I37" s="6">
        <f t="shared" ref="I37:J39" si="28">H37*1.01</f>
        <v>1092.82</v>
      </c>
      <c r="J37" s="6">
        <f t="shared" si="28"/>
        <v>1103.7482</v>
      </c>
      <c r="K37" s="6"/>
      <c r="L37" s="6"/>
      <c r="M37" s="6"/>
      <c r="N37" s="6"/>
      <c r="O37" s="6"/>
      <c r="P37" s="6"/>
      <c r="Q37" s="6"/>
      <c r="R37" s="6"/>
      <c r="V37" s="6">
        <v>2987</v>
      </c>
      <c r="W37" s="6">
        <v>3473</v>
      </c>
      <c r="X37" s="6">
        <v>3944</v>
      </c>
      <c r="Y37" s="6">
        <f>X37*(1+Y49)</f>
        <v>4328.221343873518</v>
      </c>
    </row>
    <row r="38" spans="2:34" x14ac:dyDescent="0.2">
      <c r="B38" s="6" t="s">
        <v>16</v>
      </c>
      <c r="C38" s="6"/>
      <c r="D38" s="6">
        <v>1445</v>
      </c>
      <c r="E38" s="6"/>
      <c r="F38" s="6"/>
      <c r="H38" s="6">
        <v>1626</v>
      </c>
      <c r="I38" s="6">
        <f t="shared" si="28"/>
        <v>1642.26</v>
      </c>
      <c r="J38" s="6">
        <f t="shared" si="28"/>
        <v>1658.6826000000001</v>
      </c>
      <c r="K38" s="6"/>
      <c r="L38" s="6"/>
      <c r="M38" s="6"/>
      <c r="N38" s="6"/>
      <c r="O38" s="6"/>
      <c r="P38" s="6"/>
      <c r="Q38" s="6"/>
      <c r="R38" s="6"/>
      <c r="V38" s="6">
        <v>4968</v>
      </c>
      <c r="W38" s="6">
        <v>5351</v>
      </c>
      <c r="X38" s="6">
        <v>5764</v>
      </c>
      <c r="Y38" s="6">
        <f>X38*1.08</f>
        <v>6225.1200000000008</v>
      </c>
      <c r="Z38" s="6">
        <f>Y38*1.08</f>
        <v>6723.1296000000011</v>
      </c>
      <c r="AA38" s="6">
        <f t="shared" ref="AA38:AD38" si="29">Z38*1.08</f>
        <v>7260.9799680000015</v>
      </c>
      <c r="AB38" s="6">
        <f t="shared" si="29"/>
        <v>7841.8583654400018</v>
      </c>
      <c r="AC38" s="6">
        <f t="shared" si="29"/>
        <v>8469.2070346752025</v>
      </c>
      <c r="AD38" s="6">
        <f t="shared" si="29"/>
        <v>9146.74359744922</v>
      </c>
    </row>
    <row r="39" spans="2:34" x14ac:dyDescent="0.2">
      <c r="B39" s="6" t="s">
        <v>17</v>
      </c>
      <c r="C39" s="6"/>
      <c r="D39" s="6">
        <v>355</v>
      </c>
      <c r="E39" s="6"/>
      <c r="F39" s="6"/>
      <c r="H39" s="6">
        <v>377</v>
      </c>
      <c r="I39" s="6">
        <f t="shared" si="28"/>
        <v>380.77</v>
      </c>
      <c r="J39" s="6">
        <f t="shared" si="28"/>
        <v>384.57769999999999</v>
      </c>
      <c r="K39" s="6"/>
      <c r="L39" s="6"/>
      <c r="M39" s="6"/>
      <c r="N39" s="6"/>
      <c r="O39" s="6"/>
      <c r="P39" s="6"/>
      <c r="Q39" s="6"/>
      <c r="R39" s="6"/>
      <c r="V39" s="6">
        <v>1219</v>
      </c>
      <c r="W39" s="6">
        <v>1413</v>
      </c>
      <c r="X39" s="6">
        <v>1529</v>
      </c>
      <c r="Y39" s="6">
        <f>X39*1.08</f>
        <v>1651.3200000000002</v>
      </c>
      <c r="Z39" s="6">
        <f>Y39*1.08</f>
        <v>1783.4256000000003</v>
      </c>
      <c r="AA39" s="6">
        <f t="shared" ref="AA39:AD39" si="30">Z39*1.08</f>
        <v>1926.0996480000003</v>
      </c>
      <c r="AB39" s="6">
        <f t="shared" si="30"/>
        <v>2080.1876198400005</v>
      </c>
      <c r="AC39" s="6">
        <f t="shared" si="30"/>
        <v>2246.6026294272006</v>
      </c>
      <c r="AD39" s="6">
        <f t="shared" si="30"/>
        <v>2426.3308397813767</v>
      </c>
    </row>
    <row r="40" spans="2:34" x14ac:dyDescent="0.2">
      <c r="B40" s="6" t="s">
        <v>18</v>
      </c>
      <c r="C40" s="6">
        <f>SUM(C37:C39)</f>
        <v>0</v>
      </c>
      <c r="D40" s="6">
        <f t="shared" ref="D40:J40" si="31">SUM(D37:D39)</f>
        <v>2784</v>
      </c>
      <c r="E40" s="6">
        <f t="shared" si="31"/>
        <v>0</v>
      </c>
      <c r="F40" s="6">
        <f t="shared" si="31"/>
        <v>0</v>
      </c>
      <c r="G40" s="6">
        <f t="shared" si="31"/>
        <v>0</v>
      </c>
      <c r="H40" s="6">
        <f t="shared" si="31"/>
        <v>3085</v>
      </c>
      <c r="I40" s="6">
        <f t="shared" si="31"/>
        <v>3115.85</v>
      </c>
      <c r="J40" s="6">
        <f t="shared" si="31"/>
        <v>3147.0084999999999</v>
      </c>
      <c r="K40" s="6"/>
      <c r="L40" s="6"/>
      <c r="M40" s="6"/>
      <c r="N40" s="6"/>
      <c r="O40" s="6"/>
      <c r="P40" s="6"/>
      <c r="Q40" s="6"/>
      <c r="R40" s="6"/>
      <c r="S40" s="6">
        <f>SUM(S37:S39)</f>
        <v>0</v>
      </c>
      <c r="T40" s="6">
        <f>SUM(T37:T39)</f>
        <v>0</v>
      </c>
      <c r="U40" s="6">
        <f>SUM(U37:U39)</f>
        <v>0</v>
      </c>
      <c r="V40" s="6">
        <f>SUM(V37:V39)</f>
        <v>9174</v>
      </c>
      <c r="W40" s="6">
        <f t="shared" ref="W40:Y40" si="32">SUM(W37:W39)</f>
        <v>10237</v>
      </c>
      <c r="X40" s="6">
        <f t="shared" si="32"/>
        <v>11237</v>
      </c>
      <c r="Y40" s="6">
        <f t="shared" si="32"/>
        <v>12204.661343873518</v>
      </c>
      <c r="Z40" s="6">
        <f>Z36*0.58</f>
        <v>13261.136703999999</v>
      </c>
      <c r="AA40" s="6">
        <f t="shared" ref="AA40:AD40" si="33">AA36*0.58</f>
        <v>12929.328278872001</v>
      </c>
      <c r="AB40" s="6">
        <f t="shared" si="33"/>
        <v>14247.888116130482</v>
      </c>
      <c r="AC40" s="6">
        <f t="shared" si="33"/>
        <v>15705.106263478225</v>
      </c>
      <c r="AD40" s="6">
        <f t="shared" si="33"/>
        <v>17316.090186669666</v>
      </c>
    </row>
    <row r="41" spans="2:34" x14ac:dyDescent="0.2">
      <c r="B41" s="6" t="s">
        <v>19</v>
      </c>
      <c r="C41" s="6">
        <f>C36-C40</f>
        <v>0</v>
      </c>
      <c r="D41" s="6">
        <f t="shared" ref="D41:J41" si="34">D36-D40</f>
        <v>1927</v>
      </c>
      <c r="E41" s="6">
        <f t="shared" si="34"/>
        <v>0</v>
      </c>
      <c r="F41" s="6">
        <f t="shared" si="34"/>
        <v>0</v>
      </c>
      <c r="G41" s="6">
        <f t="shared" si="34"/>
        <v>5710</v>
      </c>
      <c r="H41" s="6">
        <f t="shared" si="34"/>
        <v>2150</v>
      </c>
      <c r="I41" s="6">
        <f t="shared" si="34"/>
        <v>2135.15</v>
      </c>
      <c r="J41" s="6">
        <f t="shared" si="34"/>
        <v>2209.0115000000005</v>
      </c>
      <c r="K41" s="6"/>
      <c r="L41" s="6"/>
      <c r="M41" s="6"/>
      <c r="N41" s="6"/>
      <c r="O41" s="6"/>
      <c r="P41" s="6"/>
      <c r="Q41" s="6"/>
      <c r="R41" s="6"/>
      <c r="S41" s="6">
        <f>S36-S40</f>
        <v>0</v>
      </c>
      <c r="T41" s="6">
        <f>T36-T40</f>
        <v>0</v>
      </c>
      <c r="U41" s="6">
        <f>U36-U40</f>
        <v>0</v>
      </c>
      <c r="V41" s="6">
        <f>V36-V40</f>
        <v>6267</v>
      </c>
      <c r="W41" s="6">
        <f t="shared" ref="W41:AC41" si="35">W36-W40</f>
        <v>6818</v>
      </c>
      <c r="X41" s="6">
        <f t="shared" si="35"/>
        <v>7910</v>
      </c>
      <c r="Y41" s="6">
        <f t="shared" si="35"/>
        <v>8799.3386561264815</v>
      </c>
      <c r="Z41" s="6">
        <f t="shared" si="35"/>
        <v>9602.8920960000014</v>
      </c>
      <c r="AA41" s="6">
        <f t="shared" si="35"/>
        <v>9362.6170295280008</v>
      </c>
      <c r="AB41" s="6">
        <f t="shared" si="35"/>
        <v>10317.436222025524</v>
      </c>
      <c r="AC41" s="6">
        <f t="shared" si="35"/>
        <v>11372.663156311821</v>
      </c>
      <c r="AD41" s="6">
        <f t="shared" ref="AD41" si="36">AD36-AD40</f>
        <v>12539.237721381483</v>
      </c>
      <c r="AE41" s="6">
        <f>AD41*(1+$AH$98)</f>
        <v>12664.630098595298</v>
      </c>
    </row>
    <row r="42" spans="2:34" x14ac:dyDescent="0.2">
      <c r="B42" s="16" t="s">
        <v>59</v>
      </c>
      <c r="I42" s="6">
        <f>H56*$AH$97/4</f>
        <v>-14.3025</v>
      </c>
      <c r="J42" s="6">
        <f>I56*$AH$97/4</f>
        <v>-1.5774149999999973</v>
      </c>
      <c r="K42" s="6"/>
      <c r="L42" s="6"/>
      <c r="M42" s="6"/>
      <c r="N42" s="6"/>
      <c r="O42" s="6"/>
      <c r="P42" s="6"/>
      <c r="Q42" s="6"/>
      <c r="R42" s="6"/>
      <c r="V42" s="6">
        <f>-112-19</f>
        <v>-131</v>
      </c>
      <c r="W42" s="6">
        <f>-113+16</f>
        <v>-97</v>
      </c>
      <c r="X42" s="6">
        <f>-169+48</f>
        <v>-121</v>
      </c>
      <c r="Y42" s="6">
        <f>SUM(G42:J42)</f>
        <v>-15.879914999999997</v>
      </c>
      <c r="Z42" s="6">
        <f>Y56*$AH$97</f>
        <v>46.668758040000021</v>
      </c>
      <c r="AA42" s="6">
        <f>Z56*$AH$97</f>
        <v>275.36335028074802</v>
      </c>
      <c r="AB42" s="6">
        <f>AA56*$AH$97</f>
        <v>503.78348528221534</v>
      </c>
      <c r="AC42" s="6">
        <f>AB56*$AH$97</f>
        <v>760.24639234540882</v>
      </c>
      <c r="AD42" s="6">
        <f>AC56*$AH$97</f>
        <v>1047.7963486485853</v>
      </c>
      <c r="AE42" s="6">
        <v>0</v>
      </c>
    </row>
    <row r="43" spans="2:34" x14ac:dyDescent="0.2">
      <c r="B43" s="6" t="s">
        <v>20</v>
      </c>
      <c r="C43" s="6">
        <f>C41+C42</f>
        <v>0</v>
      </c>
      <c r="D43" s="6">
        <f t="shared" ref="D43:J43" si="37">D41+D42</f>
        <v>1927</v>
      </c>
      <c r="E43" s="6">
        <f t="shared" si="37"/>
        <v>0</v>
      </c>
      <c r="F43" s="6">
        <f t="shared" si="37"/>
        <v>0</v>
      </c>
      <c r="G43" s="6">
        <f t="shared" si="37"/>
        <v>5710</v>
      </c>
      <c r="H43" s="6">
        <f t="shared" si="37"/>
        <v>2150</v>
      </c>
      <c r="I43" s="6">
        <f t="shared" si="37"/>
        <v>2120.8475000000003</v>
      </c>
      <c r="J43" s="6">
        <f t="shared" si="37"/>
        <v>2207.4340850000003</v>
      </c>
      <c r="K43" s="6"/>
      <c r="L43" s="6"/>
      <c r="M43" s="6"/>
      <c r="N43" s="6"/>
      <c r="O43" s="6"/>
      <c r="P43" s="6"/>
      <c r="Q43" s="6"/>
      <c r="R43" s="6"/>
      <c r="S43" s="6">
        <f>S41+S42</f>
        <v>0</v>
      </c>
      <c r="T43" s="6">
        <f>T41+T42</f>
        <v>0</v>
      </c>
      <c r="U43" s="6">
        <f>U41+U42</f>
        <v>0</v>
      </c>
      <c r="V43" s="6">
        <f>V41+V42</f>
        <v>6136</v>
      </c>
      <c r="W43" s="6">
        <f t="shared" ref="W43:AC43" si="38">W41+W42</f>
        <v>6721</v>
      </c>
      <c r="X43" s="6">
        <f t="shared" si="38"/>
        <v>7789</v>
      </c>
      <c r="Y43" s="6">
        <f t="shared" si="38"/>
        <v>8783.458741126482</v>
      </c>
      <c r="Z43" s="6">
        <f t="shared" si="38"/>
        <v>9649.5608540400008</v>
      </c>
      <c r="AA43" s="6">
        <f t="shared" si="38"/>
        <v>9637.9803798087487</v>
      </c>
      <c r="AB43" s="6">
        <f t="shared" si="38"/>
        <v>10821.21970730774</v>
      </c>
      <c r="AC43" s="6">
        <f t="shared" si="38"/>
        <v>12132.90954865723</v>
      </c>
      <c r="AD43" s="6">
        <f t="shared" ref="AD43" si="39">AD41+AD42</f>
        <v>13587.034070030069</v>
      </c>
      <c r="AE43" s="6">
        <f>AE41+AE42</f>
        <v>12664.630098595298</v>
      </c>
    </row>
    <row r="44" spans="2:34" x14ac:dyDescent="0.2">
      <c r="B44" s="6" t="s">
        <v>21</v>
      </c>
      <c r="I44" s="6">
        <f>I43*0.2</f>
        <v>424.16950000000008</v>
      </c>
      <c r="J44" s="6">
        <f>J43*0.2</f>
        <v>441.48681700000009</v>
      </c>
      <c r="K44" s="6"/>
      <c r="L44" s="6"/>
      <c r="M44" s="6"/>
      <c r="N44" s="6"/>
      <c r="O44" s="6"/>
      <c r="P44" s="6"/>
      <c r="Q44" s="6"/>
      <c r="R44" s="6"/>
      <c r="S44" s="14"/>
      <c r="T44" s="14"/>
      <c r="U44" s="14"/>
      <c r="V44" s="14"/>
      <c r="W44" s="14"/>
      <c r="X44" s="14"/>
      <c r="Y44" s="14"/>
      <c r="Z44" s="6">
        <f t="shared" ref="Z44:AE44" si="40">Z43*0.21</f>
        <v>2026.4077793484</v>
      </c>
      <c r="AA44" s="6">
        <f t="shared" si="40"/>
        <v>2023.9758797598372</v>
      </c>
      <c r="AB44" s="6">
        <f t="shared" si="40"/>
        <v>2272.4561385346256</v>
      </c>
      <c r="AC44" s="6">
        <f t="shared" si="40"/>
        <v>2547.9110052180181</v>
      </c>
      <c r="AD44" s="6">
        <f t="shared" si="40"/>
        <v>2853.2771547063144</v>
      </c>
      <c r="AE44" s="6">
        <f t="shared" si="40"/>
        <v>2659.5723207050128</v>
      </c>
    </row>
    <row r="45" spans="2:34" s="10" customFormat="1" x14ac:dyDescent="0.2">
      <c r="B45" s="10" t="s">
        <v>22</v>
      </c>
      <c r="C45" s="10">
        <f>C43-C44</f>
        <v>0</v>
      </c>
      <c r="D45" s="10">
        <f t="shared" ref="D45:J45" si="41">D43-D44</f>
        <v>1927</v>
      </c>
      <c r="E45" s="10">
        <f t="shared" si="41"/>
        <v>0</v>
      </c>
      <c r="F45" s="10">
        <f t="shared" si="41"/>
        <v>0</v>
      </c>
      <c r="G45" s="10">
        <f t="shared" si="41"/>
        <v>5710</v>
      </c>
      <c r="H45" s="10">
        <f t="shared" si="41"/>
        <v>2150</v>
      </c>
      <c r="I45" s="10">
        <f t="shared" si="41"/>
        <v>1696.6780000000003</v>
      </c>
      <c r="J45" s="10">
        <f t="shared" si="41"/>
        <v>1765.9472680000003</v>
      </c>
      <c r="S45" s="10">
        <f>S43-S44</f>
        <v>0</v>
      </c>
      <c r="T45" s="10">
        <f>T43-T44</f>
        <v>0</v>
      </c>
      <c r="U45" s="10">
        <f>U43-U44</f>
        <v>0</v>
      </c>
      <c r="V45" s="10">
        <f>V43-V44</f>
        <v>6136</v>
      </c>
      <c r="W45" s="10">
        <f t="shared" ref="W45:X45" si="42">W43-W44</f>
        <v>6721</v>
      </c>
      <c r="X45" s="10">
        <f t="shared" si="42"/>
        <v>7789</v>
      </c>
      <c r="Y45" s="10">
        <f t="shared" ref="Y45" si="43">Y43-Y44</f>
        <v>8783.458741126482</v>
      </c>
      <c r="Z45" s="10">
        <f t="shared" ref="Z45" si="44">Z43-Z44</f>
        <v>7623.1530746916005</v>
      </c>
      <c r="AA45" s="10">
        <f t="shared" ref="AA45" si="45">AA43-AA44</f>
        <v>7614.0045000489117</v>
      </c>
      <c r="AB45" s="10">
        <f t="shared" ref="AB45" si="46">AB43-AB44</f>
        <v>8548.7635687731145</v>
      </c>
      <c r="AC45" s="10">
        <f t="shared" ref="AC45:AE45" si="47">AC43-AC44</f>
        <v>9584.9985434392111</v>
      </c>
      <c r="AD45" s="10">
        <f t="shared" si="47"/>
        <v>10733.756915323755</v>
      </c>
      <c r="AE45" s="10">
        <f t="shared" si="47"/>
        <v>10005.057777890286</v>
      </c>
    </row>
    <row r="46" spans="2:34" x14ac:dyDescent="0.2">
      <c r="B46" s="6" t="s">
        <v>1</v>
      </c>
      <c r="H46" s="4">
        <v>424.2</v>
      </c>
      <c r="I46" s="6">
        <f>H46*1</f>
        <v>424.2</v>
      </c>
      <c r="J46" s="6">
        <f>I46*1</f>
        <v>424.2</v>
      </c>
      <c r="K46" s="6"/>
      <c r="L46" s="6"/>
      <c r="M46" s="6"/>
      <c r="N46" s="6"/>
      <c r="O46" s="6"/>
      <c r="P46" s="6"/>
      <c r="Q46" s="6"/>
      <c r="R46" s="6"/>
      <c r="V46" s="6">
        <v>471</v>
      </c>
      <c r="W46" s="6">
        <v>459</v>
      </c>
      <c r="X46" s="6">
        <v>450</v>
      </c>
      <c r="Y46" s="6">
        <v>411</v>
      </c>
      <c r="Z46" s="6">
        <v>411</v>
      </c>
      <c r="AA46" s="6">
        <v>411</v>
      </c>
      <c r="AB46" s="6">
        <v>411</v>
      </c>
      <c r="AC46" s="6">
        <v>411</v>
      </c>
      <c r="AD46" s="6">
        <v>411</v>
      </c>
    </row>
    <row r="47" spans="2:34" x14ac:dyDescent="0.2">
      <c r="B47" s="6" t="s">
        <v>23</v>
      </c>
      <c r="C47" s="9" t="e">
        <f t="shared" ref="C47:J47" si="48">C45/C46</f>
        <v>#DIV/0!</v>
      </c>
      <c r="D47" s="9" t="e">
        <f t="shared" si="48"/>
        <v>#DIV/0!</v>
      </c>
      <c r="E47" s="9" t="e">
        <f t="shared" si="48"/>
        <v>#DIV/0!</v>
      </c>
      <c r="F47" s="9" t="e">
        <f t="shared" si="48"/>
        <v>#DIV/0!</v>
      </c>
      <c r="G47" s="9" t="e">
        <f t="shared" si="48"/>
        <v>#DIV/0!</v>
      </c>
      <c r="H47" s="9">
        <f t="shared" si="48"/>
        <v>5.0683639792550688</v>
      </c>
      <c r="I47" s="9">
        <f t="shared" si="48"/>
        <v>3.9997123998114108</v>
      </c>
      <c r="J47" s="9">
        <f t="shared" si="48"/>
        <v>4.1630062894860922</v>
      </c>
      <c r="K47" s="9"/>
      <c r="L47" s="9"/>
      <c r="M47" s="9"/>
      <c r="N47" s="9"/>
      <c r="O47" s="9"/>
      <c r="P47" s="9"/>
      <c r="Q47" s="9"/>
      <c r="R47" s="9"/>
      <c r="S47" s="9" t="e">
        <f>S45/S46</f>
        <v>#DIV/0!</v>
      </c>
      <c r="T47" s="9" t="e">
        <f>T45/T46</f>
        <v>#DIV/0!</v>
      </c>
      <c r="U47" s="9" t="e">
        <f>U45/U46</f>
        <v>#DIV/0!</v>
      </c>
      <c r="V47" s="9">
        <f>V45/V46</f>
        <v>13.027600849256901</v>
      </c>
      <c r="W47" s="9">
        <f t="shared" ref="W47:AC47" si="49">W45/W46</f>
        <v>14.642701525054466</v>
      </c>
      <c r="X47" s="9">
        <f t="shared" si="49"/>
        <v>17.308888888888887</v>
      </c>
      <c r="Y47" s="9">
        <f t="shared" si="49"/>
        <v>21.370945842156889</v>
      </c>
      <c r="Z47" s="9">
        <f t="shared" si="49"/>
        <v>18.547817699979564</v>
      </c>
      <c r="AA47" s="9">
        <f t="shared" si="49"/>
        <v>18.525558394279592</v>
      </c>
      <c r="AB47" s="9">
        <f t="shared" si="49"/>
        <v>20.799911359545291</v>
      </c>
      <c r="AC47" s="9">
        <f t="shared" si="49"/>
        <v>23.321164339268154</v>
      </c>
      <c r="AD47" s="9">
        <f t="shared" ref="AD47" si="50">AD45/AD46</f>
        <v>26.116196874267043</v>
      </c>
      <c r="AE47" s="9"/>
      <c r="AF47" s="9"/>
      <c r="AG47" s="9"/>
      <c r="AH47" s="9"/>
    </row>
    <row r="48" spans="2:34" x14ac:dyDescent="0.2">
      <c r="U48" s="11"/>
    </row>
    <row r="49" spans="2:34" s="10" customFormat="1" x14ac:dyDescent="0.2">
      <c r="B49" s="10" t="s">
        <v>33</v>
      </c>
      <c r="E49" s="12"/>
      <c r="F49" s="12"/>
      <c r="G49" s="12" t="e">
        <f>G31/C31-1</f>
        <v>#DIV/0!</v>
      </c>
      <c r="H49" s="12">
        <f>H31/D31-1</f>
        <v>0.10623469579958567</v>
      </c>
      <c r="I49" s="12" t="e">
        <f>I31/E31-1</f>
        <v>#DIV/0!</v>
      </c>
      <c r="J49" s="12" t="e">
        <f>J31/F31-1</f>
        <v>#DIV/0!</v>
      </c>
      <c r="K49" s="12"/>
      <c r="L49" s="12"/>
      <c r="M49" s="12"/>
      <c r="N49" s="12"/>
      <c r="O49" s="12"/>
      <c r="P49" s="12"/>
      <c r="Q49" s="12"/>
      <c r="R49" s="12"/>
      <c r="S49" s="12"/>
      <c r="T49" s="12">
        <f>T31/S31-1</f>
        <v>0.151911198639334</v>
      </c>
      <c r="U49" s="12">
        <f>U31/T31-1</f>
        <v>0.22668635374572577</v>
      </c>
      <c r="V49" s="12">
        <f>V31/U31-1</f>
        <v>0.11536268609439349</v>
      </c>
      <c r="W49" s="12">
        <f>W31/V31-1</f>
        <v>0.10240826990798602</v>
      </c>
      <c r="X49" s="12">
        <f>X31/W31-1</f>
        <v>0.10799113813179462</v>
      </c>
      <c r="Y49" s="12">
        <f t="shared" ref="Y49:AE49" si="51">Y31/X31-1</f>
        <v>9.7419204836084683E-2</v>
      </c>
      <c r="Z49" s="12">
        <f t="shared" si="51"/>
        <v>8.8555932203389753E-2</v>
      </c>
      <c r="AA49" s="12">
        <f t="shared" si="51"/>
        <v>-2.5021114896426222E-2</v>
      </c>
      <c r="AB49" s="12">
        <f t="shared" si="51"/>
        <v>0.10198208358690697</v>
      </c>
      <c r="AC49" s="12">
        <f t="shared" si="51"/>
        <v>0.10227608017906742</v>
      </c>
      <c r="AD49" s="12">
        <f t="shared" si="51"/>
        <v>0.10257707882803291</v>
      </c>
      <c r="AE49" s="12"/>
      <c r="AF49" s="12"/>
      <c r="AG49" s="12"/>
      <c r="AH49" s="12"/>
    </row>
    <row r="50" spans="2:34" s="10" customFormat="1" x14ac:dyDescent="0.2">
      <c r="B50" s="16" t="s">
        <v>58</v>
      </c>
      <c r="C50" s="12"/>
      <c r="D50" s="12" t="e">
        <f t="shared" ref="D50:J50" si="52">D31/C31-1</f>
        <v>#DIV/0!</v>
      </c>
      <c r="E50" s="12">
        <f t="shared" si="52"/>
        <v>-1</v>
      </c>
      <c r="F50" s="12" t="e">
        <f t="shared" si="52"/>
        <v>#DIV/0!</v>
      </c>
      <c r="G50" s="12" t="e">
        <f t="shared" si="52"/>
        <v>#DIV/0!</v>
      </c>
      <c r="H50" s="12">
        <f t="shared" si="52"/>
        <v>2.8546409807355566E-2</v>
      </c>
      <c r="I50" s="12">
        <f t="shared" si="52"/>
        <v>4.5973097224587534E-3</v>
      </c>
      <c r="J50" s="12">
        <f t="shared" si="52"/>
        <v>2.0000000000000018E-2</v>
      </c>
      <c r="K50" s="12"/>
      <c r="L50" s="12"/>
      <c r="M50" s="12"/>
      <c r="N50" s="12"/>
      <c r="O50" s="12"/>
      <c r="P50" s="12"/>
      <c r="Q50" s="12"/>
      <c r="R50" s="12"/>
      <c r="W50" s="12"/>
      <c r="X50" s="12"/>
      <c r="Y50" s="12"/>
      <c r="Z50" s="12"/>
      <c r="AA50" s="12"/>
      <c r="AB50" s="12"/>
      <c r="AC50" s="12"/>
      <c r="AD50" s="12"/>
      <c r="AE50" s="12"/>
      <c r="AF50" s="12"/>
      <c r="AG50" s="12"/>
      <c r="AH50" s="12"/>
    </row>
    <row r="51" spans="2:34" s="10" customFormat="1" x14ac:dyDescent="0.2">
      <c r="B51" s="6" t="s">
        <v>57</v>
      </c>
      <c r="T51" s="12" t="e">
        <f t="shared" ref="T51:Y51" si="53">SUM(T38:T39)/SUM(S38:S39)-1</f>
        <v>#DIV/0!</v>
      </c>
      <c r="U51" s="12" t="e">
        <f t="shared" si="53"/>
        <v>#DIV/0!</v>
      </c>
      <c r="V51" s="12" t="e">
        <f t="shared" si="53"/>
        <v>#DIV/0!</v>
      </c>
      <c r="W51" s="12">
        <f t="shared" si="53"/>
        <v>9.326006141910459E-2</v>
      </c>
      <c r="X51" s="12">
        <f t="shared" si="53"/>
        <v>7.820816085156701E-2</v>
      </c>
      <c r="Y51" s="12">
        <f t="shared" si="53"/>
        <v>8.0000000000000071E-2</v>
      </c>
      <c r="Z51" s="12"/>
      <c r="AA51" s="12"/>
      <c r="AB51" s="12"/>
      <c r="AC51" s="12"/>
      <c r="AD51" s="12"/>
      <c r="AE51" s="12"/>
      <c r="AF51" s="12"/>
      <c r="AG51" s="12"/>
      <c r="AH51" s="12"/>
    </row>
    <row r="52" spans="2:34" x14ac:dyDescent="0.2">
      <c r="Z52" s="14"/>
      <c r="AA52" s="14"/>
      <c r="AB52" s="14"/>
      <c r="AC52" s="14"/>
      <c r="AD52" s="14"/>
      <c r="AE52" s="14"/>
    </row>
    <row r="53" spans="2:34" s="10" customFormat="1" x14ac:dyDescent="0.2">
      <c r="B53" s="10" t="s">
        <v>24</v>
      </c>
      <c r="C53" s="13" t="e">
        <f>C36/C31</f>
        <v>#DIV/0!</v>
      </c>
      <c r="D53" s="13">
        <f t="shared" ref="D53:H53" si="54">D36/D31</f>
        <v>0.88736108495008481</v>
      </c>
      <c r="E53" s="13" t="e">
        <f t="shared" si="54"/>
        <v>#DIV/0!</v>
      </c>
      <c r="F53" s="13" t="e">
        <f t="shared" si="54"/>
        <v>#DIV/0!</v>
      </c>
      <c r="G53" s="13">
        <f t="shared" si="54"/>
        <v>1</v>
      </c>
      <c r="H53" s="13">
        <f t="shared" si="54"/>
        <v>0.89136727396560533</v>
      </c>
      <c r="I53" s="13">
        <v>0.89</v>
      </c>
      <c r="J53" s="13">
        <v>0.89</v>
      </c>
      <c r="K53" s="13"/>
      <c r="L53" s="13"/>
      <c r="M53" s="13"/>
      <c r="N53" s="13"/>
      <c r="O53" s="13"/>
      <c r="P53" s="13"/>
      <c r="Q53" s="13"/>
      <c r="R53" s="13"/>
      <c r="V53" s="13">
        <f>V36/V31</f>
        <v>0.87703055776439853</v>
      </c>
      <c r="W53" s="13">
        <f>W36/W31</f>
        <v>0.87871605955999799</v>
      </c>
      <c r="X53" s="13">
        <f>X36/X31</f>
        <v>0.89035108114392003</v>
      </c>
      <c r="Y53" s="13">
        <v>0.89</v>
      </c>
      <c r="Z53" s="13">
        <v>0.89</v>
      </c>
      <c r="AA53" s="13">
        <v>0.89</v>
      </c>
      <c r="AB53" s="13">
        <v>0.89</v>
      </c>
      <c r="AC53" s="13">
        <v>0.89</v>
      </c>
      <c r="AD53" s="13">
        <v>0.89</v>
      </c>
      <c r="AE53" s="13"/>
      <c r="AF53" s="13"/>
      <c r="AG53" s="13"/>
      <c r="AH53" s="13"/>
    </row>
    <row r="54" spans="2:34" s="10" customFormat="1" x14ac:dyDescent="0.2">
      <c r="B54" s="6" t="s">
        <v>34</v>
      </c>
      <c r="C54" s="14" t="e">
        <f t="shared" ref="C54:J54" si="55">C41/C31</f>
        <v>#DIV/0!</v>
      </c>
      <c r="D54" s="14">
        <f t="shared" si="55"/>
        <v>0.36296854398191752</v>
      </c>
      <c r="E54" s="14" t="e">
        <f t="shared" si="55"/>
        <v>#DIV/0!</v>
      </c>
      <c r="F54" s="14" t="e">
        <f t="shared" si="55"/>
        <v>#DIV/0!</v>
      </c>
      <c r="G54" s="14">
        <f t="shared" si="55"/>
        <v>1</v>
      </c>
      <c r="H54" s="14">
        <f t="shared" si="55"/>
        <v>0.36608207049208241</v>
      </c>
      <c r="I54" s="14">
        <f t="shared" si="55"/>
        <v>0.36188983050847462</v>
      </c>
      <c r="J54" s="14">
        <f t="shared" si="55"/>
        <v>0.36706738118976412</v>
      </c>
      <c r="K54" s="14"/>
      <c r="L54" s="14"/>
      <c r="M54" s="14"/>
      <c r="N54" s="14"/>
      <c r="O54" s="14"/>
      <c r="P54" s="14"/>
      <c r="Q54" s="14"/>
      <c r="R54" s="14"/>
      <c r="V54" s="14">
        <f t="shared" ref="V54:AD54" si="56">V41/V31</f>
        <v>0.35595819606952173</v>
      </c>
      <c r="W54" s="14">
        <f t="shared" si="56"/>
        <v>0.35128033386573237</v>
      </c>
      <c r="X54" s="14">
        <f t="shared" si="56"/>
        <v>0.36782143687514529</v>
      </c>
      <c r="Y54" s="14">
        <f t="shared" si="56"/>
        <v>0.37285333288671529</v>
      </c>
      <c r="Z54" s="14">
        <f t="shared" si="56"/>
        <v>0.37380000000000008</v>
      </c>
      <c r="AA54" s="14">
        <f>AA41/AA31</f>
        <v>0.37380000000000002</v>
      </c>
      <c r="AB54" s="14">
        <f t="shared" si="56"/>
        <v>0.37380000000000008</v>
      </c>
      <c r="AC54" s="14">
        <f t="shared" si="56"/>
        <v>0.37380000000000008</v>
      </c>
      <c r="AD54" s="14">
        <f t="shared" si="56"/>
        <v>0.37380000000000002</v>
      </c>
      <c r="AE54" s="14"/>
      <c r="AF54" s="14"/>
      <c r="AG54" s="14"/>
      <c r="AH54" s="14"/>
    </row>
    <row r="56" spans="2:34" x14ac:dyDescent="0.2">
      <c r="B56" s="37" t="s">
        <v>27</v>
      </c>
      <c r="C56" s="6">
        <f>C57-C58</f>
        <v>0</v>
      </c>
      <c r="D56" s="6">
        <f>D57-D58</f>
        <v>0</v>
      </c>
      <c r="E56" s="6">
        <f>E57-E58</f>
        <v>0</v>
      </c>
      <c r="F56" s="6">
        <f>F57-F58</f>
        <v>0</v>
      </c>
      <c r="G56" s="6">
        <f>G57-G58</f>
        <v>-262</v>
      </c>
      <c r="H56" s="6">
        <f>H57-H58</f>
        <v>-1907</v>
      </c>
      <c r="I56" s="6">
        <f>H56+I45</f>
        <v>-210.32199999999966</v>
      </c>
      <c r="J56" s="6">
        <f>I56+J45</f>
        <v>1555.6252680000007</v>
      </c>
      <c r="K56" s="6"/>
      <c r="L56" s="6"/>
      <c r="M56" s="6"/>
      <c r="N56" s="6"/>
      <c r="O56" s="6"/>
      <c r="P56" s="6"/>
      <c r="Q56" s="6"/>
      <c r="R56" s="6"/>
      <c r="U56" s="37"/>
      <c r="W56" s="6">
        <f>W57-SUM(W68,W72)</f>
        <v>2674</v>
      </c>
      <c r="X56" s="6">
        <f>X57-SUM(X68,X72)</f>
        <v>316</v>
      </c>
      <c r="Y56" s="6">
        <f>J56</f>
        <v>1555.6252680000007</v>
      </c>
      <c r="Z56" s="6">
        <f t="shared" ref="Z56:AD56" si="57">Y56+Z45</f>
        <v>9178.7783426916012</v>
      </c>
      <c r="AA56" s="6">
        <f t="shared" si="57"/>
        <v>16792.782842740511</v>
      </c>
      <c r="AB56" s="6">
        <f t="shared" si="57"/>
        <v>25341.546411513627</v>
      </c>
      <c r="AC56" s="6">
        <f t="shared" si="57"/>
        <v>34926.544954952842</v>
      </c>
      <c r="AD56" s="6">
        <f t="shared" si="57"/>
        <v>45660.301870276598</v>
      </c>
    </row>
    <row r="57" spans="2:34" x14ac:dyDescent="0.2">
      <c r="B57" s="37" t="s">
        <v>3</v>
      </c>
      <c r="G57" s="6">
        <f>6758+677</f>
        <v>7435</v>
      </c>
      <c r="H57" s="4">
        <f>4931+782</f>
        <v>5713</v>
      </c>
      <c r="U57" s="37"/>
      <c r="W57" s="6">
        <f>7141+701</f>
        <v>7842</v>
      </c>
      <c r="X57" s="6">
        <v>7613</v>
      </c>
    </row>
    <row r="58" spans="2:34" x14ac:dyDescent="0.2">
      <c r="B58" s="37" t="s">
        <v>104</v>
      </c>
      <c r="G58" s="6">
        <f>6155+143+567+334+498</f>
        <v>7697</v>
      </c>
      <c r="H58" s="4">
        <f>6166+114+477+323+540</f>
        <v>7620</v>
      </c>
      <c r="U58" s="37"/>
      <c r="W58" s="6">
        <v>2224</v>
      </c>
      <c r="X58" s="6">
        <v>2072</v>
      </c>
    </row>
    <row r="59" spans="2:34" x14ac:dyDescent="0.2">
      <c r="B59" s="37" t="s">
        <v>105</v>
      </c>
      <c r="U59" s="37"/>
      <c r="W59" s="6">
        <v>1018</v>
      </c>
      <c r="X59" s="6">
        <v>1274</v>
      </c>
    </row>
    <row r="60" spans="2:34" x14ac:dyDescent="0.2">
      <c r="B60" s="37" t="s">
        <v>106</v>
      </c>
      <c r="U60" s="37"/>
      <c r="W60" s="6">
        <v>358</v>
      </c>
      <c r="X60" s="6">
        <v>281</v>
      </c>
    </row>
    <row r="61" spans="2:34" x14ac:dyDescent="0.2">
      <c r="B61" s="37" t="s">
        <v>36</v>
      </c>
      <c r="U61" s="37"/>
      <c r="W61" s="6">
        <v>12805</v>
      </c>
      <c r="X61" s="6">
        <v>12788</v>
      </c>
    </row>
    <row r="62" spans="2:34" x14ac:dyDescent="0.2">
      <c r="B62" s="37" t="s">
        <v>37</v>
      </c>
      <c r="U62" s="37"/>
      <c r="W62" s="6">
        <v>1088</v>
      </c>
      <c r="X62" s="6">
        <v>782</v>
      </c>
    </row>
    <row r="63" spans="2:34" x14ac:dyDescent="0.2">
      <c r="B63" s="37" t="s">
        <v>102</v>
      </c>
      <c r="U63" s="37"/>
      <c r="W63" s="6">
        <v>1191</v>
      </c>
      <c r="X63" s="6">
        <v>1657</v>
      </c>
    </row>
    <row r="64" spans="2:34" x14ac:dyDescent="0.2">
      <c r="B64" s="37" t="s">
        <v>35</v>
      </c>
      <c r="U64" s="37"/>
      <c r="W64" s="6">
        <v>2030</v>
      </c>
      <c r="X64" s="6">
        <v>1936</v>
      </c>
    </row>
    <row r="65" spans="2:35" x14ac:dyDescent="0.2">
      <c r="B65" s="37" t="s">
        <v>107</v>
      </c>
      <c r="U65" s="37"/>
      <c r="W65" s="6">
        <v>1223</v>
      </c>
      <c r="X65" s="6">
        <v>1554</v>
      </c>
    </row>
    <row r="66" spans="2:35" x14ac:dyDescent="0.2">
      <c r="B66" s="37" t="s">
        <v>38</v>
      </c>
      <c r="U66" s="37"/>
      <c r="W66" s="6">
        <f>SUM(W57:W65)</f>
        <v>29779</v>
      </c>
      <c r="X66" s="6">
        <f>SUM(X57:X65)</f>
        <v>29957</v>
      </c>
    </row>
    <row r="67" spans="2:35" x14ac:dyDescent="0.2">
      <c r="AA67" s="14"/>
      <c r="AB67" s="14"/>
      <c r="AC67" s="14"/>
    </row>
    <row r="68" spans="2:35" x14ac:dyDescent="0.2">
      <c r="B68" s="37" t="s">
        <v>4</v>
      </c>
      <c r="W68" s="6">
        <f>5083</f>
        <v>5083</v>
      </c>
      <c r="X68" s="6">
        <f>5679+1499</f>
        <v>7178</v>
      </c>
    </row>
    <row r="69" spans="2:35" x14ac:dyDescent="0.2">
      <c r="B69" s="37" t="s">
        <v>53</v>
      </c>
      <c r="W69" s="6">
        <v>314</v>
      </c>
      <c r="X69" s="6">
        <v>361</v>
      </c>
      <c r="Y69" s="6">
        <f>(Y35/360)*56</f>
        <v>403.82222222222214</v>
      </c>
      <c r="Z69" s="6">
        <f t="shared" ref="Z69:AD69" si="58">(Z35/360)*56</f>
        <v>439.58307555555547</v>
      </c>
      <c r="AA69" s="6">
        <f t="shared" si="58"/>
        <v>428.58421691555549</v>
      </c>
      <c r="AB69" s="6">
        <f t="shared" si="58"/>
        <v>472.29212834906679</v>
      </c>
      <c r="AC69" s="6">
        <f t="shared" si="58"/>
        <v>520.59631593603831</v>
      </c>
      <c r="AD69" s="6">
        <f t="shared" si="58"/>
        <v>573.99756527339287</v>
      </c>
    </row>
    <row r="70" spans="2:35" x14ac:dyDescent="0.2">
      <c r="B70" s="37" t="s">
        <v>108</v>
      </c>
      <c r="W70" s="6">
        <v>1942</v>
      </c>
      <c r="X70" s="6">
        <v>2336</v>
      </c>
      <c r="Y70" s="6">
        <f t="shared" ref="Y70:AD70" si="59">0.3*SUM(Y38:Y39)</f>
        <v>2362.9320000000002</v>
      </c>
      <c r="Z70" s="6">
        <f>0.3*SUM(Z38:Z39)</f>
        <v>2551.9665600000003</v>
      </c>
      <c r="AA70" s="6">
        <f t="shared" si="59"/>
        <v>2756.1238848000007</v>
      </c>
      <c r="AB70" s="6">
        <f t="shared" si="59"/>
        <v>2976.6137955840004</v>
      </c>
      <c r="AC70" s="6">
        <f t="shared" si="59"/>
        <v>3214.7428992307205</v>
      </c>
      <c r="AD70" s="6">
        <f t="shared" si="59"/>
        <v>3471.922331169179</v>
      </c>
    </row>
    <row r="71" spans="2:35" x14ac:dyDescent="0.2">
      <c r="B71" s="37" t="s">
        <v>54</v>
      </c>
      <c r="W71" s="6">
        <v>5837</v>
      </c>
      <c r="X71" s="6">
        <v>6131</v>
      </c>
      <c r="Y71" s="6">
        <f>0.3*Y31</f>
        <v>7080</v>
      </c>
      <c r="Z71" s="6">
        <f t="shared" ref="Z71:AD71" si="60">0.3*Z31</f>
        <v>7706.9759999999987</v>
      </c>
      <c r="AA71" s="6">
        <f t="shared" si="60"/>
        <v>7514.138868</v>
      </c>
      <c r="AB71" s="6">
        <f t="shared" si="60"/>
        <v>8280.4464061200015</v>
      </c>
      <c r="AC71" s="6">
        <f t="shared" si="60"/>
        <v>9127.3380066708014</v>
      </c>
      <c r="AD71" s="6">
        <f t="shared" si="60"/>
        <v>10063.593676871173</v>
      </c>
    </row>
    <row r="72" spans="2:35" x14ac:dyDescent="0.2">
      <c r="B72" s="37" t="s">
        <v>109</v>
      </c>
      <c r="W72" s="6">
        <v>85</v>
      </c>
      <c r="X72" s="6">
        <v>119</v>
      </c>
    </row>
    <row r="73" spans="2:35" x14ac:dyDescent="0.2">
      <c r="B73" s="37" t="s">
        <v>40</v>
      </c>
      <c r="W73" s="6">
        <f>SUM(W68:W72)</f>
        <v>13261</v>
      </c>
      <c r="X73" s="6">
        <f>SUM(X68:X72)</f>
        <v>16125</v>
      </c>
    </row>
    <row r="74" spans="2:35" x14ac:dyDescent="0.2">
      <c r="B74" s="37" t="s">
        <v>39</v>
      </c>
      <c r="W74" s="6">
        <f>W66-W73</f>
        <v>16518</v>
      </c>
      <c r="X74" s="6">
        <f>X66-X73</f>
        <v>13832</v>
      </c>
    </row>
    <row r="75" spans="2:35" x14ac:dyDescent="0.2">
      <c r="B75" s="37" t="s">
        <v>41</v>
      </c>
      <c r="W75" s="6">
        <f>W73+W74</f>
        <v>29779</v>
      </c>
      <c r="X75" s="6">
        <f>X73+X74</f>
        <v>29957</v>
      </c>
    </row>
    <row r="76" spans="2:35" x14ac:dyDescent="0.2">
      <c r="W76" s="14"/>
      <c r="X76" s="14"/>
    </row>
    <row r="77" spans="2:35" x14ac:dyDescent="0.2">
      <c r="B77" s="6" t="s">
        <v>49</v>
      </c>
      <c r="W77" s="6">
        <f>W58/W31*360</f>
        <v>41.250966046679373</v>
      </c>
      <c r="X77" s="6">
        <f>X58/X31*360</f>
        <v>34.68588700302255</v>
      </c>
    </row>
    <row r="78" spans="2:35" x14ac:dyDescent="0.2">
      <c r="B78" s="32" t="s">
        <v>120</v>
      </c>
      <c r="W78" s="6">
        <f>(W69/V35)*360</f>
        <v>52.212471131639724</v>
      </c>
      <c r="X78" s="6">
        <f>(X69/W35)*360</f>
        <v>55.208156329651651</v>
      </c>
      <c r="Y78" s="6">
        <f t="shared" ref="Y78:AD78" si="61">(Y69/X35)*360</f>
        <v>61.652247667514835</v>
      </c>
      <c r="Z78" s="6">
        <f t="shared" si="61"/>
        <v>60.959132203389828</v>
      </c>
      <c r="AA78" s="6">
        <f t="shared" si="61"/>
        <v>54.598817565800125</v>
      </c>
      <c r="AB78" s="6">
        <f t="shared" si="61"/>
        <v>61.710996680866799</v>
      </c>
      <c r="AC78" s="6">
        <f t="shared" si="61"/>
        <v>61.727460490027781</v>
      </c>
      <c r="AD78" s="6">
        <f t="shared" si="61"/>
        <v>61.744316414369848</v>
      </c>
    </row>
    <row r="79" spans="2:35" x14ac:dyDescent="0.2">
      <c r="V79" s="14"/>
      <c r="W79" s="14"/>
      <c r="X79" s="14"/>
      <c r="Y79" s="14"/>
      <c r="Z79" s="14"/>
      <c r="AA79" s="14"/>
      <c r="AB79" s="14"/>
      <c r="AC79" s="14"/>
    </row>
    <row r="80" spans="2:35" s="10" customFormat="1" x14ac:dyDescent="0.2">
      <c r="B80" s="6" t="s">
        <v>50</v>
      </c>
      <c r="V80" s="32">
        <f>V45</f>
        <v>6136</v>
      </c>
      <c r="W80" s="32">
        <f>W45</f>
        <v>6721</v>
      </c>
      <c r="X80" s="32">
        <f>X45</f>
        <v>7789</v>
      </c>
      <c r="Y80" s="32">
        <f>Y45</f>
        <v>8783.458741126482</v>
      </c>
      <c r="Z80" s="32">
        <f>Z45</f>
        <v>7623.1530746916005</v>
      </c>
      <c r="AA80" s="32">
        <f>AA45</f>
        <v>7614.0045000489117</v>
      </c>
      <c r="AB80" s="32">
        <f>AB45</f>
        <v>8548.7635687731145</v>
      </c>
      <c r="AC80" s="32">
        <f>AC45</f>
        <v>9584.9985434392111</v>
      </c>
      <c r="AD80" s="32">
        <f>AD45</f>
        <v>10733.756915323755</v>
      </c>
      <c r="AE80" s="32">
        <f>AE45</f>
        <v>10005.057777890286</v>
      </c>
      <c r="AI80" s="37"/>
    </row>
    <row r="81" spans="2:36" x14ac:dyDescent="0.2">
      <c r="B81" s="6" t="s">
        <v>51</v>
      </c>
      <c r="V81" s="6">
        <v>4756</v>
      </c>
      <c r="W81" s="6">
        <v>5428</v>
      </c>
      <c r="X81" s="6">
        <v>5560</v>
      </c>
      <c r="Y81" s="14"/>
      <c r="AI81" s="37"/>
    </row>
    <row r="82" spans="2:36" x14ac:dyDescent="0.2">
      <c r="B82" s="6" t="s">
        <v>52</v>
      </c>
      <c r="V82" s="6">
        <v>856</v>
      </c>
      <c r="W82" s="6">
        <v>872</v>
      </c>
      <c r="X82" s="6">
        <v>857</v>
      </c>
      <c r="Y82" s="6">
        <f>X82*(1+Y49)</f>
        <v>940.48825854452457</v>
      </c>
      <c r="Z82" s="6">
        <f>0.04*Z31</f>
        <v>1027.5968</v>
      </c>
      <c r="AA82" s="6">
        <f t="shared" ref="AA82:AE82" si="62">0.04*AA31</f>
        <v>1001.8851824000001</v>
      </c>
      <c r="AB82" s="6">
        <f t="shared" si="62"/>
        <v>1104.0595208160003</v>
      </c>
      <c r="AC82" s="6">
        <f t="shared" si="62"/>
        <v>1216.9784008894403</v>
      </c>
      <c r="AD82" s="6">
        <f t="shared" si="62"/>
        <v>1341.8124902494899</v>
      </c>
      <c r="AE82" s="6">
        <f t="shared" si="62"/>
        <v>1355.2306151519847</v>
      </c>
      <c r="AI82" s="37"/>
    </row>
    <row r="83" spans="2:36" x14ac:dyDescent="0.2">
      <c r="B83" s="32" t="s">
        <v>103</v>
      </c>
      <c r="V83" s="6">
        <v>1440</v>
      </c>
      <c r="W83" s="6">
        <v>1718</v>
      </c>
      <c r="X83" s="6">
        <v>1833</v>
      </c>
      <c r="Y83" s="6">
        <f>Y31*0.08</f>
        <v>1888</v>
      </c>
      <c r="AI83" s="37"/>
    </row>
    <row r="84" spans="2:36" x14ac:dyDescent="0.2">
      <c r="B84" s="32" t="s">
        <v>102</v>
      </c>
      <c r="V84" s="6">
        <v>328</v>
      </c>
      <c r="W84" s="6">
        <v>-426</v>
      </c>
      <c r="X84" s="6">
        <v>-468</v>
      </c>
      <c r="Y84" s="6">
        <f>X84*(1+Y49)</f>
        <v>-513.59218786328768</v>
      </c>
      <c r="AI84" s="37"/>
    </row>
    <row r="85" spans="2:36" x14ac:dyDescent="0.2">
      <c r="B85" s="32" t="s">
        <v>92</v>
      </c>
      <c r="V85" s="6">
        <v>29</v>
      </c>
      <c r="W85" s="6">
        <v>-10</v>
      </c>
      <c r="X85" s="6">
        <v>-35</v>
      </c>
      <c r="Y85" s="6">
        <f>X85*(1+Y49)</f>
        <v>-38.409672169262961</v>
      </c>
      <c r="AI85" s="37"/>
      <c r="AJ85" s="18"/>
    </row>
    <row r="86" spans="2:36" x14ac:dyDescent="0.2">
      <c r="B86" s="32" t="s">
        <v>94</v>
      </c>
      <c r="V86" s="6">
        <v>10</v>
      </c>
      <c r="W86" s="6">
        <v>3</v>
      </c>
      <c r="X86" s="6">
        <v>10</v>
      </c>
      <c r="Y86" s="6">
        <f>X86*(1+Y49)</f>
        <v>10.974192048360846</v>
      </c>
      <c r="AI86" s="37"/>
      <c r="AJ86" s="18"/>
    </row>
    <row r="87" spans="2:36" x14ac:dyDescent="0.2">
      <c r="B87" s="32" t="s">
        <v>90</v>
      </c>
      <c r="V87" s="6">
        <f>SUM(V69:V71)</f>
        <v>0</v>
      </c>
      <c r="W87" s="6">
        <f t="shared" ref="W87:AE87" si="63">SUM(W69:W71)</f>
        <v>8093</v>
      </c>
      <c r="X87" s="6">
        <f t="shared" si="63"/>
        <v>8828</v>
      </c>
      <c r="Y87" s="6">
        <f t="shared" si="63"/>
        <v>9846.7542222222219</v>
      </c>
      <c r="Z87" s="6">
        <f t="shared" si="63"/>
        <v>10698.525635555554</v>
      </c>
      <c r="AA87" s="6">
        <f t="shared" si="63"/>
        <v>10698.846969715556</v>
      </c>
      <c r="AB87" s="6">
        <f t="shared" si="63"/>
        <v>11729.352330053069</v>
      </c>
      <c r="AC87" s="6">
        <f t="shared" si="63"/>
        <v>12862.677221837559</v>
      </c>
      <c r="AD87" s="6">
        <f t="shared" si="63"/>
        <v>14109.513573313745</v>
      </c>
      <c r="AE87" s="6">
        <f t="shared" si="63"/>
        <v>0</v>
      </c>
      <c r="AI87" s="37"/>
      <c r="AJ87" s="18"/>
    </row>
    <row r="88" spans="2:36" x14ac:dyDescent="0.2">
      <c r="B88" s="32" t="s">
        <v>25</v>
      </c>
      <c r="V88" s="6">
        <f>SUM(V81:V86)</f>
        <v>7419</v>
      </c>
      <c r="W88" s="6">
        <f t="shared" ref="W88:X88" si="64">SUM(W81:W86)</f>
        <v>7585</v>
      </c>
      <c r="X88" s="6">
        <f t="shared" si="64"/>
        <v>7757</v>
      </c>
      <c r="Y88" s="6">
        <f>SUM(Y80:Y86)</f>
        <v>11070.919331686819</v>
      </c>
      <c r="Z88" s="6">
        <f t="shared" ref="Z88:AE88" si="65">SUM(Z80:Z86)</f>
        <v>8650.7498746916008</v>
      </c>
      <c r="AA88" s="6">
        <f t="shared" si="65"/>
        <v>8615.8896824489111</v>
      </c>
      <c r="AB88" s="6">
        <f t="shared" si="65"/>
        <v>9652.8230895891138</v>
      </c>
      <c r="AC88" s="6">
        <f t="shared" si="65"/>
        <v>10801.976944328651</v>
      </c>
      <c r="AD88" s="6">
        <f t="shared" si="65"/>
        <v>12075.569405573244</v>
      </c>
      <c r="AE88" s="6">
        <f t="shared" si="65"/>
        <v>11360.28839304227</v>
      </c>
      <c r="AJ88" s="18"/>
    </row>
    <row r="89" spans="2:36" x14ac:dyDescent="0.2">
      <c r="B89" s="32" t="s">
        <v>121</v>
      </c>
      <c r="X89" s="6">
        <f>X87-W87</f>
        <v>735</v>
      </c>
      <c r="Y89" s="6">
        <f>Y87-X87</f>
        <v>1018.7542222222219</v>
      </c>
      <c r="Z89" s="6">
        <f t="shared" ref="Z89:AD89" si="66">Z87-Y87</f>
        <v>851.77141333333202</v>
      </c>
      <c r="AA89" s="6">
        <f t="shared" si="66"/>
        <v>0.3213341600021522</v>
      </c>
      <c r="AB89" s="6">
        <f t="shared" si="66"/>
        <v>1030.5053603375127</v>
      </c>
      <c r="AC89" s="6">
        <f t="shared" si="66"/>
        <v>1133.3248917844903</v>
      </c>
      <c r="AD89" s="6">
        <f t="shared" si="66"/>
        <v>1246.8363514761859</v>
      </c>
      <c r="AE89" s="6">
        <v>0</v>
      </c>
      <c r="AJ89" s="18"/>
    </row>
    <row r="90" spans="2:36" x14ac:dyDescent="0.2">
      <c r="V90" s="14"/>
      <c r="W90" s="14"/>
      <c r="X90" s="14"/>
      <c r="Y90" s="14"/>
      <c r="Z90" s="14"/>
      <c r="AJ90" s="18"/>
    </row>
    <row r="91" spans="2:36" x14ac:dyDescent="0.2">
      <c r="B91" s="37" t="s">
        <v>91</v>
      </c>
      <c r="V91" s="6">
        <v>-568</v>
      </c>
      <c r="W91" s="6">
        <v>-360</v>
      </c>
      <c r="X91" s="6">
        <v>-183</v>
      </c>
      <c r="Y91" s="6">
        <v>-300</v>
      </c>
      <c r="Z91" s="32">
        <f>-0.02*Z31</f>
        <v>-513.79840000000002</v>
      </c>
      <c r="AA91" s="32">
        <f>-0.02*AA31</f>
        <v>-500.94259120000004</v>
      </c>
      <c r="AB91" s="32">
        <f>-0.02*AB31</f>
        <v>-552.02976040800013</v>
      </c>
      <c r="AC91" s="32">
        <f>-0.02*AC31</f>
        <v>-608.48920044472015</v>
      </c>
      <c r="AD91" s="32">
        <f>-0.02*AD31</f>
        <v>-670.90624512474494</v>
      </c>
      <c r="AE91" s="32">
        <f>-AE82</f>
        <v>-1355.2306151519847</v>
      </c>
    </row>
    <row r="92" spans="2:36" x14ac:dyDescent="0.2">
      <c r="B92" s="37" t="s">
        <v>92</v>
      </c>
      <c r="V92" s="6">
        <v>-2</v>
      </c>
      <c r="W92" s="6">
        <v>1136</v>
      </c>
      <c r="X92" s="6">
        <v>332</v>
      </c>
    </row>
    <row r="93" spans="2:36" x14ac:dyDescent="0.2">
      <c r="B93" s="37" t="s">
        <v>93</v>
      </c>
    </row>
    <row r="94" spans="2:36" x14ac:dyDescent="0.2">
      <c r="B94" s="37" t="s">
        <v>94</v>
      </c>
    </row>
    <row r="95" spans="2:36" x14ac:dyDescent="0.2">
      <c r="B95" s="37" t="s">
        <v>95</v>
      </c>
      <c r="V95" s="6">
        <f>SUM(V91:V94)</f>
        <v>-570</v>
      </c>
      <c r="W95" s="6">
        <f t="shared" ref="W95:AE95" si="67">SUM(W91:W94)</f>
        <v>776</v>
      </c>
      <c r="X95" s="6">
        <f t="shared" si="67"/>
        <v>149</v>
      </c>
      <c r="Y95" s="6">
        <f t="shared" si="67"/>
        <v>-300</v>
      </c>
      <c r="Z95" s="6">
        <f t="shared" si="67"/>
        <v>-513.79840000000002</v>
      </c>
      <c r="AA95" s="6">
        <f t="shared" si="67"/>
        <v>-500.94259120000004</v>
      </c>
      <c r="AB95" s="6">
        <f t="shared" si="67"/>
        <v>-552.02976040800013</v>
      </c>
      <c r="AC95" s="6">
        <f t="shared" si="67"/>
        <v>-608.48920044472015</v>
      </c>
      <c r="AD95" s="6">
        <f t="shared" si="67"/>
        <v>-670.90624512474494</v>
      </c>
      <c r="AE95" s="6">
        <f t="shared" si="67"/>
        <v>-1355.2306151519847</v>
      </c>
    </row>
    <row r="96" spans="2:36" x14ac:dyDescent="0.2">
      <c r="V96" s="14"/>
      <c r="W96" s="14"/>
      <c r="X96" s="14"/>
      <c r="Y96" s="14"/>
      <c r="Z96" s="14"/>
      <c r="AA96" s="14"/>
      <c r="AB96" s="14"/>
      <c r="AC96" s="14"/>
      <c r="AD96" s="14"/>
      <c r="AE96" s="14"/>
    </row>
    <row r="97" spans="2:131" x14ac:dyDescent="0.2">
      <c r="B97" s="37" t="s">
        <v>96</v>
      </c>
      <c r="V97" s="14"/>
      <c r="W97" s="14"/>
      <c r="X97" s="14"/>
      <c r="Z97" s="9"/>
      <c r="AA97" s="9"/>
      <c r="AB97" s="9"/>
      <c r="AC97" s="9"/>
      <c r="AD97" s="9"/>
      <c r="AE97" s="9"/>
      <c r="AG97" s="6" t="s">
        <v>29</v>
      </c>
      <c r="AH97" s="14">
        <v>0.03</v>
      </c>
      <c r="AI97" s="23"/>
      <c r="AJ97" s="23"/>
      <c r="AK97" s="23"/>
      <c r="AL97" s="23"/>
      <c r="AM97" s="23"/>
      <c r="AN97" s="23"/>
      <c r="AO97" s="23"/>
      <c r="AP97" s="23"/>
      <c r="AQ97" s="23"/>
      <c r="AR97" s="23"/>
      <c r="AS97" s="23"/>
      <c r="AT97" s="23"/>
      <c r="AU97" s="23"/>
      <c r="AV97" s="23"/>
      <c r="AW97" s="23"/>
      <c r="AX97" s="23"/>
      <c r="AY97" s="23"/>
      <c r="AZ97" s="23"/>
      <c r="BA97" s="23"/>
      <c r="BB97" s="23"/>
      <c r="BC97" s="23"/>
      <c r="BD97" s="23"/>
      <c r="BE97" s="23"/>
      <c r="BF97" s="23"/>
      <c r="BG97" s="23"/>
      <c r="BH97" s="23"/>
      <c r="BI97" s="23"/>
      <c r="BJ97" s="23"/>
      <c r="BK97" s="23"/>
      <c r="BL97" s="23"/>
      <c r="BM97" s="23"/>
      <c r="BN97" s="23"/>
      <c r="BO97" s="23"/>
      <c r="BP97" s="23"/>
      <c r="BQ97" s="23"/>
      <c r="BR97" s="23"/>
      <c r="BS97" s="23"/>
      <c r="BT97" s="23"/>
      <c r="BU97" s="23"/>
      <c r="BV97" s="23"/>
      <c r="BW97" s="23"/>
      <c r="BX97" s="23"/>
      <c r="BY97" s="23"/>
      <c r="BZ97" s="23"/>
      <c r="CA97" s="23"/>
      <c r="CB97" s="23"/>
      <c r="CC97" s="23"/>
      <c r="CD97" s="23"/>
      <c r="CE97" s="23"/>
      <c r="CF97" s="23"/>
      <c r="CG97" s="23"/>
      <c r="CH97" s="23"/>
      <c r="CI97" s="23"/>
      <c r="CJ97" s="23"/>
      <c r="CK97" s="23"/>
      <c r="CL97" s="23"/>
      <c r="CM97" s="23"/>
      <c r="CN97" s="23"/>
      <c r="CO97" s="23"/>
      <c r="CP97" s="23"/>
      <c r="CQ97" s="23"/>
      <c r="CR97" s="23"/>
      <c r="CS97" s="23"/>
      <c r="CT97" s="23"/>
      <c r="CU97" s="23"/>
      <c r="CV97" s="23"/>
      <c r="CW97" s="23"/>
      <c r="CX97" s="23"/>
      <c r="CY97" s="23"/>
      <c r="CZ97" s="23"/>
      <c r="DA97" s="23"/>
      <c r="DB97" s="23"/>
      <c r="DC97" s="23"/>
      <c r="DD97" s="23"/>
      <c r="DE97" s="23"/>
      <c r="DF97" s="23"/>
      <c r="DG97" s="23"/>
      <c r="DH97" s="23"/>
      <c r="DI97" s="23"/>
      <c r="DJ97" s="23"/>
      <c r="DK97" s="23"/>
      <c r="DL97" s="23"/>
      <c r="DM97" s="23"/>
      <c r="DN97" s="23"/>
      <c r="DO97" s="23"/>
      <c r="DP97" s="23"/>
      <c r="DQ97" s="23"/>
      <c r="DR97" s="23"/>
      <c r="DS97" s="23"/>
      <c r="DT97" s="23"/>
      <c r="DU97" s="23"/>
      <c r="DV97" s="23"/>
      <c r="DW97" s="23"/>
      <c r="DX97" s="23"/>
      <c r="DY97" s="23"/>
      <c r="DZ97" s="23"/>
      <c r="EA97" s="23"/>
    </row>
    <row r="98" spans="2:131" x14ac:dyDescent="0.2">
      <c r="B98" s="37" t="s">
        <v>97</v>
      </c>
      <c r="AG98" s="6" t="s">
        <v>30</v>
      </c>
      <c r="AH98" s="14">
        <v>0.01</v>
      </c>
    </row>
    <row r="99" spans="2:131" x14ac:dyDescent="0.2">
      <c r="B99" s="37" t="s">
        <v>98</v>
      </c>
      <c r="AG99" s="6" t="s">
        <v>31</v>
      </c>
      <c r="AH99" s="15">
        <v>8.5000000000000006E-2</v>
      </c>
    </row>
    <row r="100" spans="2:131" x14ac:dyDescent="0.2">
      <c r="B100" s="37" t="s">
        <v>94</v>
      </c>
      <c r="AG100" s="6" t="s">
        <v>32</v>
      </c>
      <c r="AH100" s="21">
        <f>NPV(AH99,Z105:DI105)+Main!K5-Main!K6</f>
        <v>120626.04386399603</v>
      </c>
    </row>
    <row r="101" spans="2:131" x14ac:dyDescent="0.2">
      <c r="B101" s="37" t="s">
        <v>99</v>
      </c>
      <c r="V101" s="6">
        <f>SUM(V97:V100)</f>
        <v>0</v>
      </c>
      <c r="W101" s="6">
        <f t="shared" ref="W101:AE101" si="68">SUM(W97:W100)</f>
        <v>0</v>
      </c>
      <c r="X101" s="6">
        <f t="shared" si="68"/>
        <v>0</v>
      </c>
      <c r="Y101" s="6">
        <f t="shared" si="68"/>
        <v>0</v>
      </c>
      <c r="Z101" s="6">
        <f t="shared" si="68"/>
        <v>0</v>
      </c>
      <c r="AA101" s="6">
        <f t="shared" si="68"/>
        <v>0</v>
      </c>
      <c r="AB101" s="6">
        <f t="shared" si="68"/>
        <v>0</v>
      </c>
      <c r="AC101" s="6">
        <f t="shared" si="68"/>
        <v>0</v>
      </c>
      <c r="AD101" s="6">
        <f t="shared" si="68"/>
        <v>0</v>
      </c>
      <c r="AE101" s="6">
        <f t="shared" si="68"/>
        <v>0</v>
      </c>
      <c r="AG101" s="20" t="s">
        <v>61</v>
      </c>
      <c r="AH101" s="9">
        <f>AH100/Main!K3</f>
        <v>293.85150758586121</v>
      </c>
    </row>
    <row r="102" spans="2:131" x14ac:dyDescent="0.2">
      <c r="B102" s="37" t="s">
        <v>100</v>
      </c>
      <c r="AH102" s="14">
        <f>AH101/Main!K2-1</f>
        <v>0.1215706396406917</v>
      </c>
    </row>
    <row r="103" spans="2:131" x14ac:dyDescent="0.2">
      <c r="B103" s="37" t="s">
        <v>101</v>
      </c>
      <c r="V103" s="6">
        <f>V88+V95+V101+V102</f>
        <v>6849</v>
      </c>
      <c r="W103" s="6">
        <f>W88+W95+W101+W102</f>
        <v>8361</v>
      </c>
      <c r="X103" s="6">
        <f>X88+X95+X101+X102</f>
        <v>7906</v>
      </c>
      <c r="Y103" s="6">
        <f>Y88+Y95+Y101+Y102</f>
        <v>10770.919331686819</v>
      </c>
      <c r="Z103" s="6">
        <f>Z88+Z95+Z101+Z102</f>
        <v>8136.9514746916011</v>
      </c>
      <c r="AA103" s="6">
        <f>AA88+AA95+AA101+AA102</f>
        <v>8114.9470912489114</v>
      </c>
      <c r="AB103" s="6">
        <f>AB88+AB95+AB101+AB102</f>
        <v>9100.7933291811132</v>
      </c>
      <c r="AC103" s="6">
        <f>AC88+AC95+AC101+AC102</f>
        <v>10193.487743883932</v>
      </c>
      <c r="AD103" s="6">
        <f>AD88+AD95+AD101+AD102</f>
        <v>11404.663160448499</v>
      </c>
      <c r="AE103" s="6">
        <f>AE88+AE95+AE101+AE102</f>
        <v>10005.057777890286</v>
      </c>
    </row>
    <row r="105" spans="2:131" x14ac:dyDescent="0.2">
      <c r="B105" s="32" t="s">
        <v>26</v>
      </c>
      <c r="V105" s="6">
        <f>V88+V91</f>
        <v>6851</v>
      </c>
      <c r="W105" s="6">
        <f>W88+W91</f>
        <v>7225</v>
      </c>
      <c r="X105" s="6">
        <f>X88+X91</f>
        <v>7574</v>
      </c>
      <c r="Y105" s="6">
        <f>Y88+Y91</f>
        <v>10770.919331686819</v>
      </c>
      <c r="Z105" s="6">
        <f>Z88+Z91-Z89</f>
        <v>7285.1800613582691</v>
      </c>
      <c r="AA105" s="6">
        <f t="shared" ref="AA105:AE105" si="69">AA88+AA91-AA89</f>
        <v>8114.6257570889093</v>
      </c>
      <c r="AB105" s="6">
        <f t="shared" si="69"/>
        <v>8070.2879688436005</v>
      </c>
      <c r="AC105" s="6">
        <f t="shared" si="69"/>
        <v>9060.1628520994418</v>
      </c>
      <c r="AD105" s="6">
        <f t="shared" si="69"/>
        <v>10157.826808972313</v>
      </c>
      <c r="AE105" s="6">
        <f t="shared" si="69"/>
        <v>10005.057777890286</v>
      </c>
      <c r="AF105" s="6">
        <f>AE105*(1+$AH$98)</f>
        <v>10105.108355669188</v>
      </c>
      <c r="AG105" s="6">
        <f>AF105*(1+$AH$98)</f>
        <v>10206.159439225879</v>
      </c>
      <c r="AH105" s="6">
        <f>AG105*(1+$AH$98)</f>
        <v>10308.221033618138</v>
      </c>
      <c r="AI105" s="6">
        <f>AH105*(1+$AH$98)</f>
        <v>10411.303243954319</v>
      </c>
      <c r="AJ105" s="6">
        <f>AI105*(1+$AH$98)</f>
        <v>10515.416276393862</v>
      </c>
      <c r="AK105" s="6">
        <f>AJ105*(1+$AH$98)</f>
        <v>10620.5704391578</v>
      </c>
      <c r="AL105" s="6">
        <f>AK105*(1+$AH$98)</f>
        <v>10726.776143549378</v>
      </c>
      <c r="AM105" s="6">
        <f>AL105*(1+$AH$98)</f>
        <v>10834.043904984872</v>
      </c>
      <c r="AN105" s="6">
        <f>AM105*(1+$AH$98)</f>
        <v>10942.384344034721</v>
      </c>
      <c r="AO105" s="6">
        <f>AN105*(1+$AH$98)</f>
        <v>11051.808187475068</v>
      </c>
      <c r="AP105" s="6">
        <f>AO105*(1+$AH$98)</f>
        <v>11162.326269349818</v>
      </c>
      <c r="AQ105" s="6">
        <f>AP105*(1+$AH$98)</f>
        <v>11273.949532043316</v>
      </c>
      <c r="AR105" s="6">
        <f>AQ105*(1+$AH$98)</f>
        <v>11386.689027363749</v>
      </c>
      <c r="AS105" s="6">
        <f>AR105*(1+$AH$98)</f>
        <v>11500.555917637386</v>
      </c>
      <c r="AT105" s="6">
        <f>AS105*(1+$AH$98)</f>
        <v>11615.56147681376</v>
      </c>
      <c r="AU105" s="6">
        <f>AT105*(1+$AH$98)</f>
        <v>11731.717091581899</v>
      </c>
      <c r="AV105" s="6">
        <f>AU105*(1+$AH$98)</f>
        <v>11849.034262497718</v>
      </c>
      <c r="AW105" s="6">
        <f>AV105*(1+$AH$98)</f>
        <v>11967.524605122695</v>
      </c>
      <c r="AX105" s="6">
        <f>AW105*(1+$AH$98)</f>
        <v>12087.199851173922</v>
      </c>
      <c r="AY105" s="6">
        <f>AX105*(1+$AH$98)</f>
        <v>12208.071849685661</v>
      </c>
      <c r="AZ105" s="6">
        <f>AY105*(1+$AH$98)</f>
        <v>12330.152568182517</v>
      </c>
      <c r="BA105" s="6">
        <f>AZ105*(1+$AH$98)</f>
        <v>12453.454093864342</v>
      </c>
      <c r="BB105" s="6">
        <f>BA105*(1+$AH$98)</f>
        <v>12577.988634802985</v>
      </c>
      <c r="BC105" s="6">
        <f>BB105*(1+$AH$98)</f>
        <v>12703.768521151014</v>
      </c>
      <c r="BD105" s="6">
        <f>BC105*(1+$AH$98)</f>
        <v>12830.806206362524</v>
      </c>
      <c r="BE105" s="6">
        <f>BD105*(1+$AH$98)</f>
        <v>12959.114268426149</v>
      </c>
      <c r="BF105" s="6">
        <f>BE105*(1+$AH$98)</f>
        <v>13088.70541111041</v>
      </c>
      <c r="BG105" s="6">
        <f>BF105*(1+$AH$98)</f>
        <v>13219.592465221514</v>
      </c>
      <c r="BH105" s="6">
        <f>BG105*(1+$AH$98)</f>
        <v>13351.788389873729</v>
      </c>
      <c r="BI105" s="6">
        <f>BH105*(1+$AH$98)</f>
        <v>13485.306273772467</v>
      </c>
      <c r="BJ105" s="6">
        <f>BI105*(1+$AH$98)</f>
        <v>13620.159336510191</v>
      </c>
      <c r="BK105" s="6">
        <f>BJ105*(1+$AH$98)</f>
        <v>13756.360929875293</v>
      </c>
      <c r="BL105" s="6">
        <f>BK105*(1+$AH$98)</f>
        <v>13893.924539174046</v>
      </c>
      <c r="BM105" s="6">
        <f>BL105*(1+$AH$98)</f>
        <v>14032.863784565787</v>
      </c>
      <c r="BN105" s="6">
        <f>BM105*(1+$AH$98)</f>
        <v>14173.192422411445</v>
      </c>
      <c r="BO105" s="6">
        <f>BN105*(1+$AH$98)</f>
        <v>14314.924346635558</v>
      </c>
      <c r="BP105" s="6">
        <f>BO105*(1+$AH$98)</f>
        <v>14458.073590101914</v>
      </c>
      <c r="BQ105" s="6">
        <f>BP105*(1+$AH$98)</f>
        <v>14602.654326002934</v>
      </c>
      <c r="BR105" s="6">
        <f>BQ105*(1+$AH$98)</f>
        <v>14748.680869262964</v>
      </c>
      <c r="BS105" s="6">
        <f>BR105*(1+$AH$98)</f>
        <v>14896.167677955593</v>
      </c>
      <c r="BT105" s="6">
        <f>BS105*(1+$AH$98)</f>
        <v>15045.129354735149</v>
      </c>
      <c r="BU105" s="6">
        <f>BT105*(1+$AH$98)</f>
        <v>15195.580648282501</v>
      </c>
      <c r="BV105" s="6">
        <f>BU105*(1+$AH$98)</f>
        <v>15347.536454765326</v>
      </c>
      <c r="BW105" s="6">
        <f>BV105*(1+$AH$98)</f>
        <v>15501.01181931298</v>
      </c>
      <c r="BX105" s="6">
        <f>BW105*(1+$AH$98)</f>
        <v>15656.02193750611</v>
      </c>
      <c r="BY105" s="6">
        <f>BX105*(1+$AH$98)</f>
        <v>15812.582156881172</v>
      </c>
      <c r="BZ105" s="6">
        <f>BY105*(1+$AH$98)</f>
        <v>15970.707978449984</v>
      </c>
      <c r="CA105" s="6">
        <f>BZ105*(1+$AH$98)</f>
        <v>16130.415058234485</v>
      </c>
      <c r="CB105" s="6">
        <f>CA105*(1+$AH$98)</f>
        <v>16291.71920881683</v>
      </c>
      <c r="CC105" s="6">
        <f>CB105*(1+$AH$98)</f>
        <v>16454.636400904998</v>
      </c>
      <c r="CD105" s="6">
        <f>CC105*(1+$AH$98)</f>
        <v>16619.182764914047</v>
      </c>
      <c r="CE105" s="6">
        <f>CD105*(1+$AH$98)</f>
        <v>16785.374592563188</v>
      </c>
      <c r="CF105" s="6">
        <f>CE105*(1+$AH$98)</f>
        <v>16953.228338488821</v>
      </c>
      <c r="CG105" s="6">
        <f>CF105*(1+$AH$98)</f>
        <v>17122.760621873709</v>
      </c>
      <c r="CH105" s="6">
        <f>CG105*(1+$AH$98)</f>
        <v>17293.988228092447</v>
      </c>
      <c r="CI105" s="6">
        <f>CH105*(1+$AH$98)</f>
        <v>17466.92811037337</v>
      </c>
      <c r="CJ105" s="6">
        <f>CI105*(1+$AH$98)</f>
        <v>17641.597391477106</v>
      </c>
      <c r="CK105" s="6">
        <f>CJ105*(1+$AH$98)</f>
        <v>17818.013365391878</v>
      </c>
      <c r="CL105" s="6">
        <f>CK105*(1+$AH$98)</f>
        <v>17996.193499045796</v>
      </c>
      <c r="CM105" s="6">
        <f>CL105*(1+$AH$98)</f>
        <v>18176.155434036253</v>
      </c>
      <c r="CN105" s="6">
        <f>CM105*(1+$AH$98)</f>
        <v>18357.916988376615</v>
      </c>
      <c r="CO105" s="6">
        <f>CN105*(1+$AH$98)</f>
        <v>18541.496158260383</v>
      </c>
      <c r="CP105" s="6">
        <f>CO105*(1+$AH$98)</f>
        <v>18726.911119842985</v>
      </c>
      <c r="CQ105" s="6">
        <f>CP105*(1+$AH$98)</f>
        <v>18914.180231041417</v>
      </c>
      <c r="CR105" s="6">
        <f>CQ105*(1+$AH$98)</f>
        <v>19103.322033351833</v>
      </c>
      <c r="CS105" s="6">
        <f>CR105*(1+$AH$98)</f>
        <v>19294.355253685353</v>
      </c>
      <c r="CT105" s="6">
        <f>CS105*(1+$AH$98)</f>
        <v>19487.298806222207</v>
      </c>
      <c r="CU105" s="6">
        <f>CT105*(1+$AH$98)</f>
        <v>19682.17179428443</v>
      </c>
      <c r="CV105" s="6">
        <f>CU105*(1+$AH$98)</f>
        <v>19878.993512227273</v>
      </c>
      <c r="CW105" s="6">
        <f>CV105*(1+$AH$98)</f>
        <v>20077.783447349546</v>
      </c>
      <c r="CX105" s="6">
        <f>CW105*(1+$AH$98)</f>
        <v>20278.56128182304</v>
      </c>
      <c r="CY105" s="6">
        <f>CX105*(1+$AH$98)</f>
        <v>20481.346894641272</v>
      </c>
      <c r="CZ105" s="6">
        <f>CY105*(1+$AH$98)</f>
        <v>20686.160363587685</v>
      </c>
      <c r="DA105" s="6">
        <f>CZ105*(1+$AH$98)</f>
        <v>20893.021967223562</v>
      </c>
      <c r="DB105" s="6">
        <f>DA105*(1+$AH$98)</f>
        <v>21101.952186895796</v>
      </c>
      <c r="DC105" s="6">
        <f>DB105*(1+$AH$98)</f>
        <v>21312.971708764755</v>
      </c>
      <c r="DD105" s="6">
        <f>DC105*(1+$AH$98)</f>
        <v>21526.101425852401</v>
      </c>
      <c r="DE105" s="6">
        <f>DD105*(1+$AH$98)</f>
        <v>21741.362440110926</v>
      </c>
      <c r="DF105" s="6">
        <f>DE105*(1+$AH$98)</f>
        <v>21958.776064512036</v>
      </c>
      <c r="DG105" s="6">
        <f>DF105*(1+$AH$98)</f>
        <v>22178.363825157157</v>
      </c>
      <c r="DH105" s="6">
        <f>DG105*(1+$AH$98)</f>
        <v>22400.147463408728</v>
      </c>
      <c r="DI105" s="6">
        <f>DH105*(1+$AH$98)</f>
        <v>22624.148938042814</v>
      </c>
    </row>
    <row r="107" spans="2:131" x14ac:dyDescent="0.2">
      <c r="B107" s="5" t="s">
        <v>185</v>
      </c>
      <c r="AG107" s="14">
        <f>((NPV(AH99,Z105:DI105)+Main!K5-Main!K6)/Main!K3)/Main!K2-1</f>
        <v>0.1215706396406917</v>
      </c>
      <c r="AH107" s="14">
        <v>7.0000000000000007E-2</v>
      </c>
      <c r="AI107" s="14">
        <v>0.08</v>
      </c>
      <c r="AJ107" s="15">
        <v>8.5000000000000006E-2</v>
      </c>
      <c r="AK107" s="14">
        <v>0.09</v>
      </c>
      <c r="AL107" s="14">
        <v>0.1</v>
      </c>
      <c r="AM107" s="14">
        <v>0.11</v>
      </c>
      <c r="AN107" s="32" t="s">
        <v>31</v>
      </c>
    </row>
    <row r="108" spans="2:131" x14ac:dyDescent="0.2">
      <c r="B108" s="5" t="s">
        <v>32</v>
      </c>
      <c r="AG108" s="6">
        <v>40</v>
      </c>
      <c r="AH108" s="14">
        <f t="dataTable" ref="AH108:AM114" dt2D="1" dtr="1" r1="AH99" r2="AA12"/>
        <v>0.26097992479538878</v>
      </c>
      <c r="AI108" s="14">
        <v>8.0123731707326229E-2</v>
      </c>
      <c r="AJ108" s="14">
        <v>6.9663217485091966E-3</v>
      </c>
      <c r="AK108" s="14">
        <v>-5.7321620680062968E-2</v>
      </c>
      <c r="AL108" s="14">
        <v>-0.16487124560265543</v>
      </c>
      <c r="AM108" s="14">
        <v>-0.25112361970896036</v>
      </c>
    </row>
    <row r="109" spans="2:131" x14ac:dyDescent="0.2">
      <c r="AG109" s="6">
        <v>60</v>
      </c>
      <c r="AH109" s="14">
        <v>0.31008316347590203</v>
      </c>
      <c r="AI109" s="14">
        <v>0.12145911622895667</v>
      </c>
      <c r="AJ109" s="14">
        <v>4.5167761045903365E-2</v>
      </c>
      <c r="AK109" s="14">
        <v>-2.1869107240013341E-2</v>
      </c>
      <c r="AL109" s="14">
        <v>-0.13400420915505484</v>
      </c>
      <c r="AM109" s="14">
        <v>-0.22391846361753354</v>
      </c>
    </row>
    <row r="110" spans="2:131" x14ac:dyDescent="0.2">
      <c r="AG110" s="6">
        <v>80</v>
      </c>
      <c r="AH110" s="14">
        <v>0.35918640215641329</v>
      </c>
      <c r="AI110" s="14">
        <v>0.16279450075058954</v>
      </c>
      <c r="AJ110" s="36">
        <v>8.3369200343297978E-2</v>
      </c>
      <c r="AK110" s="14">
        <v>1.3583406200036396E-2</v>
      </c>
      <c r="AL110" s="14">
        <v>-0.10313717270745426</v>
      </c>
      <c r="AM110" s="14">
        <v>-0.19671330752610672</v>
      </c>
    </row>
    <row r="111" spans="2:131" x14ac:dyDescent="0.2">
      <c r="AG111" s="6">
        <v>100</v>
      </c>
      <c r="AH111" s="14">
        <v>0.40828964083692565</v>
      </c>
      <c r="AI111" s="14">
        <v>0.20412988527221931</v>
      </c>
      <c r="AJ111" s="12">
        <v>0.1215706396406917</v>
      </c>
      <c r="AK111" s="14">
        <v>4.9035919640084691E-2</v>
      </c>
      <c r="AL111" s="14">
        <v>-7.2270136259853901E-2</v>
      </c>
      <c r="AM111" s="14">
        <v>-0.16950815143468023</v>
      </c>
    </row>
    <row r="112" spans="2:131" x14ac:dyDescent="0.2">
      <c r="AG112" s="6">
        <v>150</v>
      </c>
      <c r="AH112" s="14">
        <v>0.53104773753820878</v>
      </c>
      <c r="AI112" s="14">
        <v>0.30746834657629907</v>
      </c>
      <c r="AJ112" s="14">
        <v>0.21707423788417923</v>
      </c>
      <c r="AK112" s="14">
        <v>0.1376672032402102</v>
      </c>
      <c r="AL112" s="14">
        <v>4.8974548591482758E-3</v>
      </c>
      <c r="AM112" s="14">
        <v>-0.10149526120611319</v>
      </c>
    </row>
    <row r="113" spans="2:39" x14ac:dyDescent="0.2">
      <c r="AG113" s="6">
        <v>200</v>
      </c>
      <c r="AH113" s="14">
        <v>0.65380583423948879</v>
      </c>
      <c r="AI113" s="14">
        <v>0.41080680788037838</v>
      </c>
      <c r="AJ113" s="14">
        <v>0.31257783612766388</v>
      </c>
      <c r="AK113" s="14">
        <v>0.22629848684033482</v>
      </c>
      <c r="AL113" s="14">
        <v>8.2065045978149342E-2</v>
      </c>
      <c r="AM113" s="14">
        <v>-3.3482370977546139E-2</v>
      </c>
    </row>
    <row r="114" spans="2:39" x14ac:dyDescent="0.2">
      <c r="AG114" s="6">
        <v>300</v>
      </c>
      <c r="AH114" s="14">
        <v>0.89932202764204972</v>
      </c>
      <c r="AI114" s="14">
        <v>0.61748373048853611</v>
      </c>
      <c r="AJ114" s="14">
        <v>0.50358503261463539</v>
      </c>
      <c r="AK114" s="14">
        <v>0.40356105404058296</v>
      </c>
      <c r="AL114" s="14">
        <v>0.23640022821615392</v>
      </c>
      <c r="AM114" s="14">
        <v>0.10254340947958696</v>
      </c>
    </row>
    <row r="115" spans="2:39" x14ac:dyDescent="0.2">
      <c r="AG115" s="32" t="s">
        <v>189</v>
      </c>
    </row>
    <row r="116" spans="2:39" x14ac:dyDescent="0.2">
      <c r="AG116" s="32" t="s">
        <v>190</v>
      </c>
    </row>
    <row r="121" spans="2:39" x14ac:dyDescent="0.2">
      <c r="B121" s="37"/>
    </row>
    <row r="122" spans="2:39" x14ac:dyDescent="0.2">
      <c r="B122" s="37"/>
    </row>
    <row r="123" spans="2:39" x14ac:dyDescent="0.2">
      <c r="B123" s="37"/>
    </row>
    <row r="124" spans="2:39" x14ac:dyDescent="0.2">
      <c r="B124" s="37"/>
    </row>
    <row r="127" spans="2:39" x14ac:dyDescent="0.2">
      <c r="AK127" s="32"/>
    </row>
  </sheetData>
  <conditionalFormatting sqref="AH108:AM114">
    <cfRule type="colorScale" priority="1">
      <colorScale>
        <cfvo type="min"/>
        <cfvo type="percentile" val="50"/>
        <cfvo type="max"/>
        <color rgb="FFF8696B"/>
        <color rgb="FFFFEB84"/>
        <color rgb="FF63BE7B"/>
      </colorScale>
    </cfRule>
  </conditionalFormatting>
  <hyperlinks>
    <hyperlink ref="A1" location="Sheet1!A1" display="Main" xr:uid="{23B09628-C10F-428D-B1F6-3DB7F50BA868}"/>
    <hyperlink ref="B107" location="Model!AG107" display="ARPU Sensitivity Analysis" xr:uid="{CD2E99ED-E0DD-431F-B56B-50C50F7E7545}"/>
    <hyperlink ref="B108" location="Model!AG100" display="NPV" xr:uid="{93D05349-5F75-4F61-B38D-56A8C549A4AD}"/>
  </hyperlinks>
  <pageMargins left="0.7" right="0.7" top="0.75" bottom="0.75" header="0.3" footer="0.3"/>
  <pageSetup orientation="portrait" horizontalDpi="300" verticalDpi="300" r:id="rId1"/>
  <drawing r:id="rId2"/>
  <legacy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314A74-0698-45CB-A077-8AF8B150DA3C}">
  <dimension ref="A1:I41"/>
  <sheetViews>
    <sheetView tabSelected="1" zoomScale="160" zoomScaleNormal="160" workbookViewId="0">
      <selection activeCell="D42" sqref="D42"/>
    </sheetView>
  </sheetViews>
  <sheetFormatPr defaultRowHeight="12.75" x14ac:dyDescent="0.2"/>
  <cols>
    <col min="1" max="1" width="5" style="33" bestFit="1" customWidth="1"/>
    <col min="2" max="2" width="22.5703125" style="33" bestFit="1" customWidth="1"/>
    <col min="3" max="16384" width="9.140625" style="33"/>
  </cols>
  <sheetData>
    <row r="1" spans="1:5" x14ac:dyDescent="0.2">
      <c r="A1" s="40" t="s">
        <v>42</v>
      </c>
      <c r="D1" s="1"/>
    </row>
    <row r="2" spans="1:5" x14ac:dyDescent="0.2">
      <c r="B2" s="34" t="s">
        <v>125</v>
      </c>
      <c r="C2" s="33">
        <v>10638</v>
      </c>
      <c r="E2" s="38" t="s">
        <v>132</v>
      </c>
    </row>
    <row r="3" spans="1:5" x14ac:dyDescent="0.2">
      <c r="B3" s="34" t="s">
        <v>126</v>
      </c>
      <c r="C3" s="33">
        <v>40</v>
      </c>
      <c r="E3" s="34" t="s">
        <v>123</v>
      </c>
    </row>
    <row r="4" spans="1:5" x14ac:dyDescent="0.2">
      <c r="A4" s="33" t="s">
        <v>131</v>
      </c>
      <c r="B4" s="34" t="s">
        <v>127</v>
      </c>
      <c r="C4" s="33">
        <v>15</v>
      </c>
      <c r="E4" s="32" t="s">
        <v>116</v>
      </c>
    </row>
    <row r="5" spans="1:5" x14ac:dyDescent="0.2">
      <c r="A5" s="33" t="s">
        <v>131</v>
      </c>
      <c r="B5" s="34" t="s">
        <v>128</v>
      </c>
      <c r="C5" s="33">
        <v>60</v>
      </c>
      <c r="E5" s="34" t="s">
        <v>117</v>
      </c>
    </row>
    <row r="6" spans="1:5" x14ac:dyDescent="0.2">
      <c r="B6" s="34" t="s">
        <v>129</v>
      </c>
      <c r="C6" s="33">
        <f>(C2-(C4*12*C3))/((C5*12)-(C4*12))</f>
        <v>6.3666666666666663</v>
      </c>
      <c r="E6" s="32" t="s">
        <v>124</v>
      </c>
    </row>
    <row r="7" spans="1:5" x14ac:dyDescent="0.2">
      <c r="B7" s="34" t="s">
        <v>130</v>
      </c>
      <c r="C7" s="33">
        <f>C3-C6</f>
        <v>33.633333333333333</v>
      </c>
    </row>
    <row r="8" spans="1:5" x14ac:dyDescent="0.2">
      <c r="B8" s="8"/>
      <c r="E8" s="33" t="s">
        <v>134</v>
      </c>
    </row>
    <row r="9" spans="1:5" x14ac:dyDescent="0.2">
      <c r="B9" s="8"/>
      <c r="E9" s="33" t="s">
        <v>127</v>
      </c>
    </row>
    <row r="10" spans="1:5" x14ac:dyDescent="0.2">
      <c r="E10" s="33" t="s">
        <v>128</v>
      </c>
    </row>
    <row r="11" spans="1:5" x14ac:dyDescent="0.2">
      <c r="E11" s="39" t="s">
        <v>139</v>
      </c>
    </row>
    <row r="13" spans="1:5" x14ac:dyDescent="0.2">
      <c r="E13" s="33" t="s">
        <v>136</v>
      </c>
    </row>
    <row r="14" spans="1:5" x14ac:dyDescent="0.2">
      <c r="E14" s="33" t="s">
        <v>137</v>
      </c>
    </row>
    <row r="15" spans="1:5" x14ac:dyDescent="0.2">
      <c r="E15" s="33" t="s">
        <v>138</v>
      </c>
    </row>
    <row r="17" spans="3:9" x14ac:dyDescent="0.2">
      <c r="E17" s="33" t="s">
        <v>135</v>
      </c>
    </row>
    <row r="18" spans="3:9" x14ac:dyDescent="0.2">
      <c r="E18" s="33" t="s">
        <v>133</v>
      </c>
    </row>
    <row r="20" spans="3:9" x14ac:dyDescent="0.2">
      <c r="E20" s="33" t="s">
        <v>140</v>
      </c>
    </row>
    <row r="21" spans="3:9" x14ac:dyDescent="0.2">
      <c r="E21" s="33" t="s">
        <v>141</v>
      </c>
    </row>
    <row r="22" spans="3:9" x14ac:dyDescent="0.2">
      <c r="E22" s="33" t="s">
        <v>142</v>
      </c>
    </row>
    <row r="23" spans="3:9" x14ac:dyDescent="0.2">
      <c r="E23" s="33" t="s">
        <v>144</v>
      </c>
    </row>
    <row r="24" spans="3:9" x14ac:dyDescent="0.2">
      <c r="E24" s="33" t="s">
        <v>143</v>
      </c>
    </row>
    <row r="26" spans="3:9" x14ac:dyDescent="0.2">
      <c r="E26" s="38" t="s">
        <v>147</v>
      </c>
    </row>
    <row r="28" spans="3:9" x14ac:dyDescent="0.2">
      <c r="C28" s="33">
        <f>'CC Model'!C6*'CC Model'!C5*12</f>
        <v>4584</v>
      </c>
      <c r="D28" s="33">
        <v>5</v>
      </c>
      <c r="E28" s="33">
        <v>10</v>
      </c>
      <c r="F28" s="33">
        <v>15</v>
      </c>
      <c r="G28" s="33">
        <v>20</v>
      </c>
      <c r="H28" s="33">
        <v>22</v>
      </c>
      <c r="I28" s="33" t="s">
        <v>146</v>
      </c>
    </row>
    <row r="29" spans="3:9" x14ac:dyDescent="0.2">
      <c r="C29" s="33">
        <v>23</v>
      </c>
      <c r="D29" s="33">
        <f t="dataTable" ref="D29:H37" dt2D="1" dtr="1" r1="C4" r2="C5"/>
        <v>10526.333333333332</v>
      </c>
      <c r="E29" s="33">
        <v>10328.76923076923</v>
      </c>
      <c r="F29" s="33">
        <v>9884.25</v>
      </c>
      <c r="G29" s="33">
        <v>7958</v>
      </c>
      <c r="H29" s="33">
        <v>1794</v>
      </c>
    </row>
    <row r="30" spans="3:9" x14ac:dyDescent="0.2">
      <c r="C30" s="33">
        <v>30</v>
      </c>
      <c r="D30" s="33">
        <v>9885.6</v>
      </c>
      <c r="E30" s="33">
        <v>8757</v>
      </c>
      <c r="F30" s="33">
        <v>6876</v>
      </c>
      <c r="G30" s="33">
        <v>3114</v>
      </c>
      <c r="H30" s="33">
        <v>292.5</v>
      </c>
    </row>
    <row r="31" spans="3:9" x14ac:dyDescent="0.2">
      <c r="C31" s="33">
        <v>40</v>
      </c>
      <c r="D31" s="33">
        <v>9414.8571428571431</v>
      </c>
      <c r="E31" s="33">
        <v>7784</v>
      </c>
      <c r="F31" s="33">
        <v>5500.8</v>
      </c>
      <c r="G31" s="33">
        <v>2076</v>
      </c>
      <c r="H31" s="33">
        <v>173.33333333333334</v>
      </c>
    </row>
    <row r="32" spans="3:9" x14ac:dyDescent="0.2">
      <c r="C32" s="33">
        <v>50</v>
      </c>
      <c r="D32" s="33">
        <v>9153.3333333333339</v>
      </c>
      <c r="E32" s="33">
        <v>7297.5</v>
      </c>
      <c r="F32" s="33">
        <v>4911.4285714285716</v>
      </c>
      <c r="G32" s="33">
        <v>1730</v>
      </c>
      <c r="H32" s="33">
        <v>139.28571428571428</v>
      </c>
    </row>
    <row r="33" spans="3:8" x14ac:dyDescent="0.2">
      <c r="C33" s="33">
        <v>60</v>
      </c>
      <c r="D33" s="33">
        <v>8986.9090909090919</v>
      </c>
      <c r="E33" s="33">
        <v>7005.6</v>
      </c>
      <c r="F33" s="1">
        <v>4584</v>
      </c>
      <c r="G33" s="33">
        <v>1557</v>
      </c>
      <c r="H33" s="33">
        <v>123.15789473684211</v>
      </c>
    </row>
    <row r="34" spans="3:8" x14ac:dyDescent="0.2">
      <c r="C34" s="33">
        <v>70</v>
      </c>
      <c r="D34" s="33">
        <v>8871.6923076923067</v>
      </c>
      <c r="E34" s="33">
        <v>6810.9999999999991</v>
      </c>
      <c r="F34" s="33">
        <v>4375.636363636364</v>
      </c>
      <c r="G34" s="33">
        <v>1453.1999999999998</v>
      </c>
      <c r="H34" s="33">
        <v>113.75</v>
      </c>
    </row>
    <row r="35" spans="3:8" x14ac:dyDescent="0.2">
      <c r="C35" s="33">
        <v>80</v>
      </c>
      <c r="D35" s="33">
        <v>8787.2000000000007</v>
      </c>
      <c r="E35" s="33">
        <v>6672</v>
      </c>
      <c r="F35" s="33">
        <v>4231.3846153846152</v>
      </c>
      <c r="G35" s="33">
        <v>1384</v>
      </c>
      <c r="H35" s="33">
        <v>107.58620689655172</v>
      </c>
    </row>
    <row r="36" spans="3:8" x14ac:dyDescent="0.2">
      <c r="C36" s="33">
        <v>90</v>
      </c>
      <c r="D36" s="33">
        <v>8722.5882352941171</v>
      </c>
      <c r="E36" s="33">
        <v>6567.75</v>
      </c>
      <c r="F36" s="33">
        <v>4125.6000000000004</v>
      </c>
      <c r="G36" s="33">
        <v>1334.5714285714287</v>
      </c>
      <c r="H36" s="33">
        <v>103.23529411764704</v>
      </c>
    </row>
    <row r="37" spans="3:8" x14ac:dyDescent="0.2">
      <c r="C37" s="33">
        <v>100</v>
      </c>
      <c r="D37" s="33">
        <v>8671.5789473684217</v>
      </c>
      <c r="E37" s="33">
        <v>6486.6666666666661</v>
      </c>
      <c r="F37" s="33">
        <v>4044.7058823529414</v>
      </c>
      <c r="G37" s="33">
        <v>1297.5</v>
      </c>
      <c r="H37" s="33">
        <v>99.999999999999986</v>
      </c>
    </row>
    <row r="38" spans="3:8" x14ac:dyDescent="0.2">
      <c r="C38" s="33" t="s">
        <v>145</v>
      </c>
    </row>
    <row r="39" spans="3:8" x14ac:dyDescent="0.2">
      <c r="E39" s="33" t="s">
        <v>148</v>
      </c>
    </row>
    <row r="40" spans="3:8" x14ac:dyDescent="0.2">
      <c r="E40" s="33" t="s">
        <v>188</v>
      </c>
    </row>
    <row r="41" spans="3:8" x14ac:dyDescent="0.2">
      <c r="E41" s="33" t="s">
        <v>149</v>
      </c>
    </row>
  </sheetData>
  <conditionalFormatting sqref="D29:H37">
    <cfRule type="colorScale" priority="1">
      <colorScale>
        <cfvo type="min"/>
        <cfvo type="percentile" val="50"/>
        <cfvo type="max"/>
        <color rgb="FFF8696B"/>
        <color rgb="FFFFEB84"/>
        <color rgb="FF63BE7B"/>
      </colorScale>
    </cfRule>
  </conditionalFormatting>
  <hyperlinks>
    <hyperlink ref="A1" location="Main!A1" display="Main" xr:uid="{336E1778-9E7F-42E6-8B87-8FB2BCA5CE05}"/>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C055F-E604-4755-AF20-EEFE8F06FE88}">
  <dimension ref="A1:B7"/>
  <sheetViews>
    <sheetView zoomScale="130" zoomScaleNormal="130" workbookViewId="0">
      <selection activeCell="H15" sqref="H15"/>
    </sheetView>
  </sheetViews>
  <sheetFormatPr defaultRowHeight="12.75" x14ac:dyDescent="0.2"/>
  <cols>
    <col min="1" max="1" width="5" style="19" bestFit="1" customWidth="1"/>
    <col min="2" max="16384" width="9.140625" style="19"/>
  </cols>
  <sheetData>
    <row r="1" spans="1:2" x14ac:dyDescent="0.2">
      <c r="A1" s="40" t="s">
        <v>42</v>
      </c>
      <c r="B1" s="33"/>
    </row>
    <row r="2" spans="1:2" x14ac:dyDescent="0.2">
      <c r="A2" s="33"/>
      <c r="B2" s="40" t="s">
        <v>68</v>
      </c>
    </row>
    <row r="3" spans="1:2" x14ac:dyDescent="0.2">
      <c r="A3" s="33"/>
      <c r="B3" s="33"/>
    </row>
    <row r="4" spans="1:2" x14ac:dyDescent="0.2">
      <c r="B4" s="33"/>
    </row>
    <row r="5" spans="1:2" ht="15" x14ac:dyDescent="0.25">
      <c r="B5" s="35" t="s">
        <v>86</v>
      </c>
    </row>
    <row r="6" spans="1:2" x14ac:dyDescent="0.2">
      <c r="B6" s="33" t="s">
        <v>87</v>
      </c>
    </row>
    <row r="7" spans="1:2" x14ac:dyDescent="0.2">
      <c r="B7" s="33" t="s">
        <v>89</v>
      </c>
    </row>
  </sheetData>
  <hyperlinks>
    <hyperlink ref="A1" location="Main!A1" display="Main" xr:uid="{57CC344B-77FC-4721-A491-E9AD202E5FE1}"/>
    <hyperlink ref="B2" r:id="rId1" xr:uid="{1D9CF85B-3F66-49D9-91E7-9A558C2621C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007B75-744E-4DFC-8BA9-D76EBC1DD8AE}">
  <dimension ref="A1:C10"/>
  <sheetViews>
    <sheetView zoomScale="145" zoomScaleNormal="145" workbookViewId="0">
      <selection activeCell="C11" sqref="C11"/>
    </sheetView>
  </sheetViews>
  <sheetFormatPr defaultRowHeight="12.75" x14ac:dyDescent="0.2"/>
  <cols>
    <col min="1" max="1" width="5" style="33" bestFit="1" customWidth="1"/>
    <col min="2" max="16384" width="9.140625" style="33"/>
  </cols>
  <sheetData>
    <row r="1" spans="1:3" x14ac:dyDescent="0.2">
      <c r="A1" s="40" t="s">
        <v>42</v>
      </c>
    </row>
    <row r="3" spans="1:3" x14ac:dyDescent="0.2">
      <c r="B3" s="33">
        <v>2007</v>
      </c>
      <c r="C3" s="33" t="s">
        <v>160</v>
      </c>
    </row>
    <row r="4" spans="1:3" x14ac:dyDescent="0.2">
      <c r="B4" s="33">
        <v>2012</v>
      </c>
      <c r="C4" s="33" t="s">
        <v>161</v>
      </c>
    </row>
    <row r="5" spans="1:3" x14ac:dyDescent="0.2">
      <c r="B5" s="33">
        <v>2014</v>
      </c>
      <c r="C5" s="33" t="s">
        <v>162</v>
      </c>
    </row>
    <row r="6" spans="1:3" x14ac:dyDescent="0.2">
      <c r="B6" s="33" t="s">
        <v>163</v>
      </c>
      <c r="C6" s="33" t="s">
        <v>164</v>
      </c>
    </row>
    <row r="9" spans="1:3" x14ac:dyDescent="0.2">
      <c r="B9" s="33">
        <v>2024</v>
      </c>
      <c r="C9" s="33" t="s">
        <v>186</v>
      </c>
    </row>
    <row r="10" spans="1:3" x14ac:dyDescent="0.2">
      <c r="B10" s="33">
        <v>2026</v>
      </c>
      <c r="C10" s="33" t="s">
        <v>187</v>
      </c>
    </row>
  </sheetData>
  <hyperlinks>
    <hyperlink ref="A1" location="Main!A1" display="Main" xr:uid="{76F3B995-E50F-4483-9AB5-8E1385A731CD}"/>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Main</vt:lpstr>
      <vt:lpstr>Model</vt:lpstr>
      <vt:lpstr>CC Model</vt:lpstr>
      <vt:lpstr>Literature</vt:lpstr>
      <vt:lpstr>Management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Liam Render Flores</dc:creator>
  <cp:lastModifiedBy>Liam R</cp:lastModifiedBy>
  <dcterms:created xsi:type="dcterms:W3CDTF">2025-04-18T01:52:05Z</dcterms:created>
  <dcterms:modified xsi:type="dcterms:W3CDTF">2026-03-02T09:47:14Z</dcterms:modified>
</cp:coreProperties>
</file>