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7sher\Downloads\"/>
    </mc:Choice>
  </mc:AlternateContent>
  <xr:revisionPtr revIDLastSave="0" documentId="13_ncr:1_{34F176C6-F046-4FCC-9FDA-AB79F3139A2F}" xr6:coauthVersionLast="47" xr6:coauthVersionMax="47" xr10:uidLastSave="{00000000-0000-0000-0000-000000000000}"/>
  <bookViews>
    <workbookView xWindow="2055" yWindow="555" windowWidth="17715" windowHeight="12930" xr2:uid="{B5255683-9904-4B96-B116-504FB2085B5B}"/>
  </bookViews>
  <sheets>
    <sheet name="Main" sheetId="1" r:id="rId1"/>
    <sheet name="Model" sheetId="2" r:id="rId2"/>
    <sheet name="CC Model" sheetId="4" r:id="rId3"/>
    <sheet name="Literature" sheetId="3" r:id="rId4"/>
    <sheet name="Management" sheetId="6" r:id="rId5"/>
    <sheet name="Q&amp;A" sheetId="7" r:id="rId6"/>
    <sheet name="Monte Carlo Simulation" sheetId="8"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2" l="1"/>
  <c r="Y4" i="2"/>
  <c r="C1010" i="8"/>
  <c r="C1007" i="8"/>
  <c r="C1008" i="8"/>
  <c r="C1009" i="8"/>
  <c r="C997" i="8"/>
  <c r="C998" i="8"/>
  <c r="C999" i="8"/>
  <c r="C1000" i="8"/>
  <c r="C1001" i="8"/>
  <c r="C1002" i="8"/>
  <c r="C1003" i="8"/>
  <c r="C1004" i="8"/>
  <c r="C1005" i="8"/>
  <c r="C1006"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11" i="8"/>
  <c r="E11" i="8"/>
  <c r="A12" i="8"/>
  <c r="A13" i="8" s="1"/>
  <c r="A14" i="8" s="1"/>
  <c r="A15" i="8" s="1"/>
  <c r="A16" i="8" s="1"/>
  <c r="A17" i="8" s="1"/>
  <c r="A18" i="8" s="1"/>
  <c r="A19" i="8" s="1"/>
  <c r="A20" i="8" s="1"/>
  <c r="A21" i="8" s="1"/>
  <c r="A22" i="8" s="1"/>
  <c r="A23" i="8" s="1"/>
  <c r="A24" i="8" s="1"/>
  <c r="A25" i="8" s="1"/>
  <c r="A26" i="8" s="1"/>
  <c r="A27" i="8" s="1"/>
  <c r="A28" i="8" s="1"/>
  <c r="A29" i="8" s="1"/>
  <c r="A30" i="8" s="1"/>
  <c r="A31" i="8" s="1"/>
  <c r="A32" i="8" s="1"/>
  <c r="A33" i="8" s="1"/>
  <c r="A34" i="8" s="1"/>
  <c r="A35" i="8" s="1"/>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67" i="8" s="1"/>
  <c r="A68" i="8" s="1"/>
  <c r="A69" i="8" s="1"/>
  <c r="A70" i="8" s="1"/>
  <c r="A71" i="8" s="1"/>
  <c r="A72" i="8" s="1"/>
  <c r="A73" i="8" s="1"/>
  <c r="A74" i="8" s="1"/>
  <c r="A75" i="8" s="1"/>
  <c r="A76" i="8" s="1"/>
  <c r="A77" i="8" s="1"/>
  <c r="A78" i="8" s="1"/>
  <c r="A79" i="8" s="1"/>
  <c r="A80" i="8" s="1"/>
  <c r="A81" i="8" s="1"/>
  <c r="A82" i="8" s="1"/>
  <c r="A83" i="8" s="1"/>
  <c r="A84" i="8" s="1"/>
  <c r="A85" i="8" s="1"/>
  <c r="A86" i="8" s="1"/>
  <c r="A87" i="8" s="1"/>
  <c r="A88" i="8" s="1"/>
  <c r="A89" i="8" s="1"/>
  <c r="A90" i="8" s="1"/>
  <c r="A91" i="8" s="1"/>
  <c r="A92" i="8" s="1"/>
  <c r="A93" i="8" s="1"/>
  <c r="A94" i="8" s="1"/>
  <c r="A95" i="8" s="1"/>
  <c r="A96" i="8" s="1"/>
  <c r="A97" i="8" s="1"/>
  <c r="A98" i="8" s="1"/>
  <c r="A99" i="8" s="1"/>
  <c r="A100" i="8" s="1"/>
  <c r="A101" i="8" s="1"/>
  <c r="A102" i="8" s="1"/>
  <c r="A103" i="8" s="1"/>
  <c r="A104" i="8" s="1"/>
  <c r="A105" i="8" s="1"/>
  <c r="A106" i="8" s="1"/>
  <c r="A107" i="8" s="1"/>
  <c r="A108" i="8" s="1"/>
  <c r="A109" i="8" s="1"/>
  <c r="A110" i="8" s="1"/>
  <c r="A111" i="8" s="1"/>
  <c r="A112" i="8" s="1"/>
  <c r="A113" i="8" s="1"/>
  <c r="A114" i="8" s="1"/>
  <c r="A115" i="8" s="1"/>
  <c r="A116" i="8" s="1"/>
  <c r="A117" i="8" s="1"/>
  <c r="A118" i="8" s="1"/>
  <c r="A119" i="8" s="1"/>
  <c r="A120" i="8" s="1"/>
  <c r="A121" i="8" s="1"/>
  <c r="A122" i="8" s="1"/>
  <c r="A123" i="8" s="1"/>
  <c r="A124" i="8" s="1"/>
  <c r="A125" i="8" s="1"/>
  <c r="A126" i="8" s="1"/>
  <c r="A127" i="8" s="1"/>
  <c r="A128" i="8" s="1"/>
  <c r="A129" i="8" s="1"/>
  <c r="A130" i="8" s="1"/>
  <c r="A131" i="8" s="1"/>
  <c r="A132" i="8" s="1"/>
  <c r="A133" i="8" s="1"/>
  <c r="A134" i="8" s="1"/>
  <c r="A135" i="8" s="1"/>
  <c r="A136" i="8" s="1"/>
  <c r="A137" i="8" s="1"/>
  <c r="A138" i="8" s="1"/>
  <c r="A139" i="8" s="1"/>
  <c r="A140" i="8" s="1"/>
  <c r="A141" i="8" s="1"/>
  <c r="A142" i="8" s="1"/>
  <c r="A143" i="8" s="1"/>
  <c r="A144" i="8" s="1"/>
  <c r="A145" i="8" s="1"/>
  <c r="A146" i="8" s="1"/>
  <c r="A147" i="8" s="1"/>
  <c r="A148" i="8" s="1"/>
  <c r="A149" i="8" s="1"/>
  <c r="A150" i="8" s="1"/>
  <c r="A151" i="8" s="1"/>
  <c r="A152" i="8" s="1"/>
  <c r="A153" i="8" s="1"/>
  <c r="A154" i="8" s="1"/>
  <c r="A155" i="8" s="1"/>
  <c r="A156" i="8" s="1"/>
  <c r="A157" i="8" s="1"/>
  <c r="A158" i="8" s="1"/>
  <c r="A159" i="8" s="1"/>
  <c r="A160" i="8" s="1"/>
  <c r="A161" i="8" s="1"/>
  <c r="A162" i="8" s="1"/>
  <c r="A163" i="8" s="1"/>
  <c r="A164" i="8" s="1"/>
  <c r="A165" i="8" s="1"/>
  <c r="A166" i="8" s="1"/>
  <c r="A167" i="8" s="1"/>
  <c r="A168" i="8" s="1"/>
  <c r="A169" i="8" s="1"/>
  <c r="A170" i="8" s="1"/>
  <c r="A171" i="8" s="1"/>
  <c r="A172" i="8" s="1"/>
  <c r="A173" i="8" s="1"/>
  <c r="A174" i="8" s="1"/>
  <c r="A175" i="8" s="1"/>
  <c r="A176" i="8" s="1"/>
  <c r="A177" i="8" s="1"/>
  <c r="A178" i="8" s="1"/>
  <c r="A179" i="8" s="1"/>
  <c r="A180" i="8" s="1"/>
  <c r="A181" i="8" s="1"/>
  <c r="A182" i="8" s="1"/>
  <c r="A183" i="8" s="1"/>
  <c r="A184" i="8" s="1"/>
  <c r="A185" i="8" s="1"/>
  <c r="A186" i="8" s="1"/>
  <c r="A187" i="8" s="1"/>
  <c r="A188" i="8" s="1"/>
  <c r="A189" i="8" s="1"/>
  <c r="A190" i="8" s="1"/>
  <c r="A191" i="8" s="1"/>
  <c r="A192" i="8" s="1"/>
  <c r="A193" i="8" s="1"/>
  <c r="A194" i="8" s="1"/>
  <c r="A195" i="8" s="1"/>
  <c r="A196" i="8" s="1"/>
  <c r="A197" i="8" s="1"/>
  <c r="A198" i="8" s="1"/>
  <c r="A199" i="8" s="1"/>
  <c r="A200" i="8" s="1"/>
  <c r="A201" i="8" s="1"/>
  <c r="A202" i="8" s="1"/>
  <c r="A203" i="8" s="1"/>
  <c r="A204" i="8" s="1"/>
  <c r="A205" i="8" s="1"/>
  <c r="A206" i="8" s="1"/>
  <c r="A207" i="8" s="1"/>
  <c r="A208" i="8" s="1"/>
  <c r="A209" i="8" s="1"/>
  <c r="A210" i="8" s="1"/>
  <c r="A211" i="8" s="1"/>
  <c r="A212" i="8" s="1"/>
  <c r="A213" i="8" s="1"/>
  <c r="A214" i="8" s="1"/>
  <c r="A215" i="8" s="1"/>
  <c r="A216" i="8" s="1"/>
  <c r="A217" i="8" s="1"/>
  <c r="A218" i="8" s="1"/>
  <c r="A219" i="8" s="1"/>
  <c r="A220" i="8" s="1"/>
  <c r="A221" i="8" s="1"/>
  <c r="A222" i="8" s="1"/>
  <c r="A223" i="8" s="1"/>
  <c r="A224" i="8" s="1"/>
  <c r="A225" i="8" s="1"/>
  <c r="A226" i="8" s="1"/>
  <c r="A227" i="8" s="1"/>
  <c r="A228" i="8" s="1"/>
  <c r="A229" i="8" s="1"/>
  <c r="A230" i="8" s="1"/>
  <c r="A231" i="8" s="1"/>
  <c r="A232" i="8" s="1"/>
  <c r="A233" i="8" s="1"/>
  <c r="A234" i="8" s="1"/>
  <c r="A235" i="8" s="1"/>
  <c r="A236" i="8" s="1"/>
  <c r="A237" i="8" s="1"/>
  <c r="A238" i="8" s="1"/>
  <c r="A239" i="8" s="1"/>
  <c r="A240" i="8" s="1"/>
  <c r="A241" i="8" s="1"/>
  <c r="A242" i="8" s="1"/>
  <c r="A243" i="8" s="1"/>
  <c r="A244" i="8" s="1"/>
  <c r="A245" i="8" s="1"/>
  <c r="A246" i="8" s="1"/>
  <c r="A247" i="8" s="1"/>
  <c r="A248" i="8" s="1"/>
  <c r="A249" i="8" s="1"/>
  <c r="A250" i="8" s="1"/>
  <c r="A251" i="8" s="1"/>
  <c r="A252" i="8" s="1"/>
  <c r="A253" i="8" s="1"/>
  <c r="A254" i="8" s="1"/>
  <c r="A255" i="8" s="1"/>
  <c r="A256" i="8" s="1"/>
  <c r="A257" i="8" s="1"/>
  <c r="A258" i="8" s="1"/>
  <c r="A259" i="8" s="1"/>
  <c r="A260" i="8" s="1"/>
  <c r="A261" i="8" s="1"/>
  <c r="A262" i="8" s="1"/>
  <c r="A263" i="8" s="1"/>
  <c r="A264" i="8" s="1"/>
  <c r="A265" i="8" s="1"/>
  <c r="A266" i="8" s="1"/>
  <c r="A267" i="8" s="1"/>
  <c r="A268" i="8" s="1"/>
  <c r="A269" i="8" s="1"/>
  <c r="A270" i="8" s="1"/>
  <c r="A271" i="8" s="1"/>
  <c r="A272" i="8" s="1"/>
  <c r="A273" i="8" s="1"/>
  <c r="A274" i="8" s="1"/>
  <c r="A275" i="8" s="1"/>
  <c r="A276" i="8" s="1"/>
  <c r="A277" i="8" s="1"/>
  <c r="A278" i="8" s="1"/>
  <c r="A279" i="8" s="1"/>
  <c r="A280" i="8" s="1"/>
  <c r="A281" i="8" s="1"/>
  <c r="A282" i="8" s="1"/>
  <c r="A283" i="8" s="1"/>
  <c r="A284" i="8" s="1"/>
  <c r="A285" i="8" s="1"/>
  <c r="A286" i="8" s="1"/>
  <c r="A287" i="8" s="1"/>
  <c r="A288" i="8" s="1"/>
  <c r="A289" i="8" s="1"/>
  <c r="A290" i="8" s="1"/>
  <c r="A291" i="8" s="1"/>
  <c r="A292" i="8" s="1"/>
  <c r="A293" i="8" s="1"/>
  <c r="A294" i="8" s="1"/>
  <c r="A295" i="8" s="1"/>
  <c r="A296" i="8" s="1"/>
  <c r="A297" i="8" s="1"/>
  <c r="A298" i="8" s="1"/>
  <c r="A299" i="8" s="1"/>
  <c r="A300" i="8" s="1"/>
  <c r="A301" i="8" s="1"/>
  <c r="A302" i="8" s="1"/>
  <c r="A303" i="8" s="1"/>
  <c r="A304" i="8" s="1"/>
  <c r="A305" i="8" s="1"/>
  <c r="A306" i="8" s="1"/>
  <c r="A307" i="8" s="1"/>
  <c r="A308" i="8" s="1"/>
  <c r="A309" i="8" s="1"/>
  <c r="A310" i="8" s="1"/>
  <c r="A311" i="8" s="1"/>
  <c r="A312" i="8" s="1"/>
  <c r="A313" i="8" s="1"/>
  <c r="A314" i="8" s="1"/>
  <c r="A315" i="8" s="1"/>
  <c r="A316" i="8" s="1"/>
  <c r="A317" i="8" s="1"/>
  <c r="A318" i="8" s="1"/>
  <c r="A319" i="8" s="1"/>
  <c r="A320" i="8" s="1"/>
  <c r="A321" i="8" s="1"/>
  <c r="A322" i="8" s="1"/>
  <c r="A323" i="8" s="1"/>
  <c r="A324" i="8" s="1"/>
  <c r="A325" i="8" s="1"/>
  <c r="A326" i="8" s="1"/>
  <c r="A327" i="8" s="1"/>
  <c r="A328" i="8" s="1"/>
  <c r="A329" i="8" s="1"/>
  <c r="A330" i="8" s="1"/>
  <c r="A331" i="8" s="1"/>
  <c r="A332" i="8" s="1"/>
  <c r="A333" i="8" s="1"/>
  <c r="A334" i="8" s="1"/>
  <c r="A335" i="8" s="1"/>
  <c r="A336" i="8" s="1"/>
  <c r="A337" i="8" s="1"/>
  <c r="A338" i="8" s="1"/>
  <c r="A339" i="8" s="1"/>
  <c r="A340" i="8" s="1"/>
  <c r="A341" i="8" s="1"/>
  <c r="A342" i="8" s="1"/>
  <c r="A343" i="8" s="1"/>
  <c r="A344" i="8" s="1"/>
  <c r="A345" i="8" s="1"/>
  <c r="A346" i="8" s="1"/>
  <c r="A347" i="8" s="1"/>
  <c r="A348" i="8" s="1"/>
  <c r="A349" i="8" s="1"/>
  <c r="A350" i="8" s="1"/>
  <c r="A351" i="8" s="1"/>
  <c r="A352" i="8" s="1"/>
  <c r="A353" i="8" s="1"/>
  <c r="A354" i="8" s="1"/>
  <c r="A355" i="8" s="1"/>
  <c r="A356" i="8" s="1"/>
  <c r="A357" i="8" s="1"/>
  <c r="A358" i="8" s="1"/>
  <c r="A359" i="8" s="1"/>
  <c r="A360" i="8" s="1"/>
  <c r="A361" i="8" s="1"/>
  <c r="A362" i="8" s="1"/>
  <c r="A363" i="8" s="1"/>
  <c r="A364" i="8" s="1"/>
  <c r="A365" i="8" s="1"/>
  <c r="A366" i="8" s="1"/>
  <c r="A367" i="8" s="1"/>
  <c r="A368" i="8" s="1"/>
  <c r="A369" i="8" s="1"/>
  <c r="A370" i="8" s="1"/>
  <c r="A371" i="8" s="1"/>
  <c r="A372" i="8" s="1"/>
  <c r="A373" i="8" s="1"/>
  <c r="A374" i="8" s="1"/>
  <c r="A375" i="8" s="1"/>
  <c r="A376" i="8" s="1"/>
  <c r="A377" i="8" s="1"/>
  <c r="A378" i="8" s="1"/>
  <c r="A379" i="8" s="1"/>
  <c r="A380" i="8" s="1"/>
  <c r="A381" i="8" s="1"/>
  <c r="A382" i="8" s="1"/>
  <c r="A383" i="8" s="1"/>
  <c r="A384" i="8" s="1"/>
  <c r="A385" i="8" s="1"/>
  <c r="A386" i="8" s="1"/>
  <c r="A387" i="8" s="1"/>
  <c r="A388" i="8" s="1"/>
  <c r="A389" i="8" s="1"/>
  <c r="A390" i="8" s="1"/>
  <c r="A391" i="8" s="1"/>
  <c r="A392" i="8" s="1"/>
  <c r="A393" i="8" s="1"/>
  <c r="A394" i="8" s="1"/>
  <c r="A395" i="8" s="1"/>
  <c r="A396" i="8" s="1"/>
  <c r="A397" i="8" s="1"/>
  <c r="A398" i="8" s="1"/>
  <c r="A399" i="8" s="1"/>
  <c r="A400" i="8" s="1"/>
  <c r="A401" i="8" s="1"/>
  <c r="A402" i="8" s="1"/>
  <c r="A403" i="8" s="1"/>
  <c r="A404" i="8" s="1"/>
  <c r="A405" i="8" s="1"/>
  <c r="A406" i="8" s="1"/>
  <c r="A407" i="8" s="1"/>
  <c r="A408" i="8" s="1"/>
  <c r="A409" i="8" s="1"/>
  <c r="A410" i="8" s="1"/>
  <c r="A411" i="8" s="1"/>
  <c r="A412" i="8" s="1"/>
  <c r="A413" i="8" s="1"/>
  <c r="A414" i="8" s="1"/>
  <c r="A415" i="8" s="1"/>
  <c r="A416" i="8" s="1"/>
  <c r="A417" i="8" s="1"/>
  <c r="A418" i="8" s="1"/>
  <c r="A419" i="8" s="1"/>
  <c r="A420" i="8" s="1"/>
  <c r="A421" i="8" s="1"/>
  <c r="A422" i="8" s="1"/>
  <c r="A423" i="8" s="1"/>
  <c r="A424" i="8" s="1"/>
  <c r="A425" i="8" s="1"/>
  <c r="A426" i="8" s="1"/>
  <c r="A427" i="8" s="1"/>
  <c r="A428" i="8" s="1"/>
  <c r="A429" i="8" s="1"/>
  <c r="A430" i="8" s="1"/>
  <c r="A431" i="8" s="1"/>
  <c r="A432" i="8" s="1"/>
  <c r="A433" i="8" s="1"/>
  <c r="A434" i="8" s="1"/>
  <c r="A435" i="8" s="1"/>
  <c r="A436" i="8" s="1"/>
  <c r="A437" i="8" s="1"/>
  <c r="A438" i="8" s="1"/>
  <c r="A439" i="8" s="1"/>
  <c r="A440" i="8" s="1"/>
  <c r="A441" i="8" s="1"/>
  <c r="A442" i="8" s="1"/>
  <c r="A443" i="8" s="1"/>
  <c r="A444" i="8" s="1"/>
  <c r="A445" i="8" s="1"/>
  <c r="A446" i="8" s="1"/>
  <c r="A447" i="8" s="1"/>
  <c r="A448" i="8" s="1"/>
  <c r="A449" i="8" s="1"/>
  <c r="A450" i="8" s="1"/>
  <c r="A451" i="8" s="1"/>
  <c r="A452" i="8" s="1"/>
  <c r="A453" i="8" s="1"/>
  <c r="A454" i="8" s="1"/>
  <c r="A455" i="8" s="1"/>
  <c r="A456" i="8" s="1"/>
  <c r="A457" i="8" s="1"/>
  <c r="A458" i="8" s="1"/>
  <c r="A459" i="8" s="1"/>
  <c r="A460" i="8" s="1"/>
  <c r="A461" i="8" s="1"/>
  <c r="A462" i="8" s="1"/>
  <c r="A463" i="8" s="1"/>
  <c r="A464" i="8" s="1"/>
  <c r="A465" i="8" s="1"/>
  <c r="A466" i="8" s="1"/>
  <c r="A467" i="8" s="1"/>
  <c r="A468" i="8" s="1"/>
  <c r="A469" i="8" s="1"/>
  <c r="A470" i="8" s="1"/>
  <c r="A471" i="8" s="1"/>
  <c r="A472" i="8" s="1"/>
  <c r="A473" i="8" s="1"/>
  <c r="A474" i="8" s="1"/>
  <c r="A475" i="8" s="1"/>
  <c r="A476" i="8" s="1"/>
  <c r="A477" i="8" s="1"/>
  <c r="A478" i="8" s="1"/>
  <c r="A479" i="8" s="1"/>
  <c r="A480" i="8" s="1"/>
  <c r="A481" i="8" s="1"/>
  <c r="A482" i="8" s="1"/>
  <c r="A483" i="8" s="1"/>
  <c r="A484" i="8" s="1"/>
  <c r="A485" i="8" s="1"/>
  <c r="A486" i="8" s="1"/>
  <c r="A487" i="8" s="1"/>
  <c r="A488" i="8" s="1"/>
  <c r="A489" i="8" s="1"/>
  <c r="A490" i="8" s="1"/>
  <c r="A491" i="8" s="1"/>
  <c r="A492" i="8" s="1"/>
  <c r="A493" i="8" s="1"/>
  <c r="A494" i="8" s="1"/>
  <c r="A495" i="8" s="1"/>
  <c r="A496" i="8" s="1"/>
  <c r="A497" i="8" s="1"/>
  <c r="A498" i="8" s="1"/>
  <c r="A499" i="8" s="1"/>
  <c r="A500" i="8" s="1"/>
  <c r="A501" i="8" s="1"/>
  <c r="A502" i="8" s="1"/>
  <c r="A503" i="8" s="1"/>
  <c r="A504" i="8" s="1"/>
  <c r="A505" i="8" s="1"/>
  <c r="A506" i="8" s="1"/>
  <c r="A507" i="8" s="1"/>
  <c r="A508" i="8" s="1"/>
  <c r="A509" i="8" s="1"/>
  <c r="A510" i="8" s="1"/>
  <c r="A511" i="8" s="1"/>
  <c r="A512" i="8" s="1"/>
  <c r="A513" i="8" s="1"/>
  <c r="A514" i="8" s="1"/>
  <c r="A515" i="8" s="1"/>
  <c r="A516" i="8" s="1"/>
  <c r="A517" i="8" s="1"/>
  <c r="A518" i="8" s="1"/>
  <c r="A519" i="8" s="1"/>
  <c r="A520" i="8" s="1"/>
  <c r="A521" i="8" s="1"/>
  <c r="A522" i="8" s="1"/>
  <c r="A523" i="8" s="1"/>
  <c r="A524" i="8" s="1"/>
  <c r="A525" i="8" s="1"/>
  <c r="A526" i="8" s="1"/>
  <c r="A527" i="8" s="1"/>
  <c r="A528" i="8" s="1"/>
  <c r="A529" i="8" s="1"/>
  <c r="A530" i="8" s="1"/>
  <c r="A531" i="8" s="1"/>
  <c r="A532" i="8" s="1"/>
  <c r="A533" i="8" s="1"/>
  <c r="A534" i="8" s="1"/>
  <c r="A535" i="8" s="1"/>
  <c r="A536" i="8" s="1"/>
  <c r="A537" i="8" s="1"/>
  <c r="A538" i="8" s="1"/>
  <c r="A539" i="8" s="1"/>
  <c r="A540" i="8" s="1"/>
  <c r="A541" i="8" s="1"/>
  <c r="A542" i="8" s="1"/>
  <c r="A543" i="8" s="1"/>
  <c r="A544" i="8" s="1"/>
  <c r="A545" i="8" s="1"/>
  <c r="A546" i="8" s="1"/>
  <c r="A547" i="8" s="1"/>
  <c r="A548" i="8" s="1"/>
  <c r="A549" i="8" s="1"/>
  <c r="A550" i="8" s="1"/>
  <c r="A551" i="8" s="1"/>
  <c r="A552" i="8" s="1"/>
  <c r="A553" i="8" s="1"/>
  <c r="A554" i="8" s="1"/>
  <c r="A555" i="8" s="1"/>
  <c r="A556" i="8" s="1"/>
  <c r="A557" i="8" s="1"/>
  <c r="A558" i="8" s="1"/>
  <c r="A559" i="8" s="1"/>
  <c r="A560" i="8" s="1"/>
  <c r="A561" i="8" s="1"/>
  <c r="A562" i="8" s="1"/>
  <c r="A563" i="8" s="1"/>
  <c r="A564" i="8" s="1"/>
  <c r="A565" i="8" s="1"/>
  <c r="A566" i="8" s="1"/>
  <c r="A567" i="8" s="1"/>
  <c r="A568" i="8" s="1"/>
  <c r="A569" i="8" s="1"/>
  <c r="A570" i="8" s="1"/>
  <c r="A571" i="8" s="1"/>
  <c r="A572" i="8" s="1"/>
  <c r="A573" i="8" s="1"/>
  <c r="A574" i="8" s="1"/>
  <c r="A575" i="8" s="1"/>
  <c r="A576" i="8" s="1"/>
  <c r="A577" i="8" s="1"/>
  <c r="A578" i="8" s="1"/>
  <c r="A579" i="8" s="1"/>
  <c r="A580" i="8" s="1"/>
  <c r="A581" i="8" s="1"/>
  <c r="A582" i="8" s="1"/>
  <c r="A583" i="8" s="1"/>
  <c r="A584" i="8" s="1"/>
  <c r="A585" i="8" s="1"/>
  <c r="A586" i="8" s="1"/>
  <c r="A587" i="8" s="1"/>
  <c r="A588" i="8" s="1"/>
  <c r="A589" i="8" s="1"/>
  <c r="A590" i="8" s="1"/>
  <c r="A591" i="8" s="1"/>
  <c r="A592" i="8" s="1"/>
  <c r="A593" i="8" s="1"/>
  <c r="A594" i="8" s="1"/>
  <c r="A595" i="8" s="1"/>
  <c r="A596" i="8" s="1"/>
  <c r="A597" i="8" s="1"/>
  <c r="A598" i="8" s="1"/>
  <c r="A599" i="8" s="1"/>
  <c r="A600" i="8" s="1"/>
  <c r="A601" i="8" s="1"/>
  <c r="A602" i="8" s="1"/>
  <c r="A603" i="8" s="1"/>
  <c r="A604" i="8" s="1"/>
  <c r="A605" i="8" s="1"/>
  <c r="A606" i="8" s="1"/>
  <c r="A607" i="8" s="1"/>
  <c r="A608" i="8" s="1"/>
  <c r="A609" i="8" s="1"/>
  <c r="A610" i="8" s="1"/>
  <c r="A611" i="8" s="1"/>
  <c r="A612" i="8" s="1"/>
  <c r="A613" i="8" s="1"/>
  <c r="A614" i="8" s="1"/>
  <c r="A615" i="8" s="1"/>
  <c r="A616" i="8" s="1"/>
  <c r="A617" i="8" s="1"/>
  <c r="A618" i="8" s="1"/>
  <c r="A619" i="8" s="1"/>
  <c r="A620" i="8" s="1"/>
  <c r="A621" i="8" s="1"/>
  <c r="A622" i="8" s="1"/>
  <c r="A623" i="8" s="1"/>
  <c r="A624" i="8" s="1"/>
  <c r="A625" i="8" s="1"/>
  <c r="A626" i="8" s="1"/>
  <c r="A627" i="8" s="1"/>
  <c r="A628" i="8" s="1"/>
  <c r="A629" i="8" s="1"/>
  <c r="A630" i="8" s="1"/>
  <c r="A631" i="8" s="1"/>
  <c r="A632" i="8" s="1"/>
  <c r="A633" i="8" s="1"/>
  <c r="A634" i="8" s="1"/>
  <c r="A635" i="8" s="1"/>
  <c r="A636" i="8" s="1"/>
  <c r="A637" i="8" s="1"/>
  <c r="A638" i="8" s="1"/>
  <c r="A639" i="8" s="1"/>
  <c r="A640" i="8" s="1"/>
  <c r="A641" i="8" s="1"/>
  <c r="A642" i="8" s="1"/>
  <c r="A643" i="8" s="1"/>
  <c r="A644" i="8" s="1"/>
  <c r="A645" i="8" s="1"/>
  <c r="A646" i="8" s="1"/>
  <c r="A647" i="8" s="1"/>
  <c r="A648" i="8" s="1"/>
  <c r="A649" i="8" s="1"/>
  <c r="A650" i="8" s="1"/>
  <c r="A651" i="8" s="1"/>
  <c r="A652" i="8" s="1"/>
  <c r="A653" i="8" s="1"/>
  <c r="A654" i="8" s="1"/>
  <c r="A655" i="8" s="1"/>
  <c r="A656" i="8" s="1"/>
  <c r="A657" i="8" s="1"/>
  <c r="A658" i="8" s="1"/>
  <c r="A659" i="8" s="1"/>
  <c r="A660" i="8" s="1"/>
  <c r="A661" i="8" s="1"/>
  <c r="A662" i="8" s="1"/>
  <c r="A663" i="8" s="1"/>
  <c r="A664" i="8" s="1"/>
  <c r="A665" i="8" s="1"/>
  <c r="A666" i="8" s="1"/>
  <c r="A667" i="8" s="1"/>
  <c r="A668" i="8" s="1"/>
  <c r="A669" i="8" s="1"/>
  <c r="A670" i="8" s="1"/>
  <c r="A671" i="8" s="1"/>
  <c r="A672" i="8" s="1"/>
  <c r="A673" i="8" s="1"/>
  <c r="A674" i="8" s="1"/>
  <c r="A675" i="8" s="1"/>
  <c r="A676" i="8" s="1"/>
  <c r="A677" i="8" s="1"/>
  <c r="A678" i="8" s="1"/>
  <c r="A679" i="8" s="1"/>
  <c r="A680" i="8" s="1"/>
  <c r="A681" i="8" s="1"/>
  <c r="A682" i="8" s="1"/>
  <c r="A683" i="8" s="1"/>
  <c r="A684" i="8" s="1"/>
  <c r="A685" i="8" s="1"/>
  <c r="A686" i="8" s="1"/>
  <c r="A687" i="8" s="1"/>
  <c r="A688" i="8" s="1"/>
  <c r="A689" i="8" s="1"/>
  <c r="A690" i="8" s="1"/>
  <c r="A691" i="8" s="1"/>
  <c r="A692" i="8" s="1"/>
  <c r="A693" i="8" s="1"/>
  <c r="A694" i="8" s="1"/>
  <c r="A695" i="8" s="1"/>
  <c r="A696" i="8" s="1"/>
  <c r="A697" i="8" s="1"/>
  <c r="A698" i="8" s="1"/>
  <c r="A699" i="8" s="1"/>
  <c r="A700" i="8" s="1"/>
  <c r="A701" i="8" s="1"/>
  <c r="A702" i="8" s="1"/>
  <c r="A703" i="8" s="1"/>
  <c r="A704" i="8" s="1"/>
  <c r="A705" i="8" s="1"/>
  <c r="A706" i="8" s="1"/>
  <c r="A707" i="8" s="1"/>
  <c r="A708" i="8" s="1"/>
  <c r="A709" i="8" s="1"/>
  <c r="A710" i="8" s="1"/>
  <c r="A711" i="8" s="1"/>
  <c r="A712" i="8" s="1"/>
  <c r="A713" i="8" s="1"/>
  <c r="A714" i="8" s="1"/>
  <c r="A715" i="8" s="1"/>
  <c r="A716" i="8" s="1"/>
  <c r="A717" i="8" s="1"/>
  <c r="A718" i="8" s="1"/>
  <c r="A719" i="8" s="1"/>
  <c r="A720" i="8" s="1"/>
  <c r="A721" i="8" s="1"/>
  <c r="A722" i="8" s="1"/>
  <c r="A723" i="8" s="1"/>
  <c r="A724" i="8" s="1"/>
  <c r="A725" i="8" s="1"/>
  <c r="A726" i="8" s="1"/>
  <c r="A727" i="8" s="1"/>
  <c r="A728" i="8" s="1"/>
  <c r="A729" i="8" s="1"/>
  <c r="A730" i="8" s="1"/>
  <c r="A731" i="8" s="1"/>
  <c r="A732" i="8" s="1"/>
  <c r="A733" i="8" s="1"/>
  <c r="A734" i="8" s="1"/>
  <c r="A735" i="8" s="1"/>
  <c r="A736" i="8" s="1"/>
  <c r="A737" i="8" s="1"/>
  <c r="A738" i="8" s="1"/>
  <c r="A739" i="8" s="1"/>
  <c r="A740" i="8" s="1"/>
  <c r="A741" i="8" s="1"/>
  <c r="A742" i="8" s="1"/>
  <c r="A743" i="8" s="1"/>
  <c r="A744" i="8" s="1"/>
  <c r="A745" i="8" s="1"/>
  <c r="A746" i="8" s="1"/>
  <c r="A747" i="8" s="1"/>
  <c r="A748" i="8" s="1"/>
  <c r="A749" i="8" s="1"/>
  <c r="A750" i="8" s="1"/>
  <c r="A751" i="8" s="1"/>
  <c r="A752" i="8" s="1"/>
  <c r="A753" i="8" s="1"/>
  <c r="A754" i="8" s="1"/>
  <c r="A755" i="8" s="1"/>
  <c r="A756" i="8" s="1"/>
  <c r="A757" i="8" s="1"/>
  <c r="A758" i="8" s="1"/>
  <c r="A759" i="8" s="1"/>
  <c r="A760" i="8" s="1"/>
  <c r="A761" i="8" s="1"/>
  <c r="A762" i="8" s="1"/>
  <c r="A763" i="8" s="1"/>
  <c r="A764" i="8" s="1"/>
  <c r="A765" i="8" s="1"/>
  <c r="A766" i="8" s="1"/>
  <c r="A767" i="8" s="1"/>
  <c r="A768" i="8" s="1"/>
  <c r="A769" i="8" s="1"/>
  <c r="A770" i="8" s="1"/>
  <c r="A771" i="8" s="1"/>
  <c r="A772" i="8" s="1"/>
  <c r="A773" i="8" s="1"/>
  <c r="A774" i="8" s="1"/>
  <c r="A775" i="8" s="1"/>
  <c r="A776" i="8" s="1"/>
  <c r="A777" i="8" s="1"/>
  <c r="A778" i="8" s="1"/>
  <c r="A779" i="8" s="1"/>
  <c r="A780" i="8" s="1"/>
  <c r="A781" i="8" s="1"/>
  <c r="A782" i="8" s="1"/>
  <c r="A783" i="8" s="1"/>
  <c r="A784" i="8" s="1"/>
  <c r="A785" i="8" s="1"/>
  <c r="A786" i="8" s="1"/>
  <c r="A787" i="8" s="1"/>
  <c r="A788" i="8" s="1"/>
  <c r="A789" i="8" s="1"/>
  <c r="A790" i="8" s="1"/>
  <c r="A791" i="8" s="1"/>
  <c r="A792" i="8" s="1"/>
  <c r="A793" i="8" s="1"/>
  <c r="A794" i="8" s="1"/>
  <c r="A795" i="8" s="1"/>
  <c r="A796" i="8" s="1"/>
  <c r="A797" i="8" s="1"/>
  <c r="A798" i="8" s="1"/>
  <c r="A799" i="8" s="1"/>
  <c r="A800" i="8" s="1"/>
  <c r="A801" i="8" s="1"/>
  <c r="A802" i="8" s="1"/>
  <c r="A803" i="8" s="1"/>
  <c r="A804" i="8" s="1"/>
  <c r="A805" i="8" s="1"/>
  <c r="A806" i="8" s="1"/>
  <c r="A807" i="8" s="1"/>
  <c r="A808" i="8" s="1"/>
  <c r="A809" i="8" s="1"/>
  <c r="A810" i="8" s="1"/>
  <c r="A811" i="8" s="1"/>
  <c r="A812" i="8" s="1"/>
  <c r="A813" i="8" s="1"/>
  <c r="A814" i="8" s="1"/>
  <c r="A815" i="8" s="1"/>
  <c r="A816" i="8" s="1"/>
  <c r="A817" i="8" s="1"/>
  <c r="A818" i="8" s="1"/>
  <c r="A819" i="8" s="1"/>
  <c r="A820" i="8" s="1"/>
  <c r="A821" i="8" s="1"/>
  <c r="A822" i="8" s="1"/>
  <c r="A823" i="8" s="1"/>
  <c r="A824" i="8" s="1"/>
  <c r="A825" i="8" s="1"/>
  <c r="A826" i="8" s="1"/>
  <c r="A827" i="8" s="1"/>
  <c r="A828" i="8" s="1"/>
  <c r="A829" i="8" s="1"/>
  <c r="A830" i="8" s="1"/>
  <c r="A831" i="8" s="1"/>
  <c r="A832" i="8" s="1"/>
  <c r="A833" i="8" s="1"/>
  <c r="A834" i="8" s="1"/>
  <c r="A835" i="8" s="1"/>
  <c r="A836" i="8" s="1"/>
  <c r="A837" i="8" s="1"/>
  <c r="A838" i="8" s="1"/>
  <c r="A839" i="8" s="1"/>
  <c r="A840" i="8" s="1"/>
  <c r="A841" i="8" s="1"/>
  <c r="A842" i="8" s="1"/>
  <c r="A843" i="8" s="1"/>
  <c r="A844" i="8" s="1"/>
  <c r="A845" i="8" s="1"/>
  <c r="A846" i="8" s="1"/>
  <c r="A847" i="8" s="1"/>
  <c r="A848" i="8" s="1"/>
  <c r="A849" i="8" s="1"/>
  <c r="A850" i="8" s="1"/>
  <c r="A851" i="8" s="1"/>
  <c r="A852" i="8" s="1"/>
  <c r="A853" i="8" s="1"/>
  <c r="A854" i="8" s="1"/>
  <c r="A855" i="8" s="1"/>
  <c r="A856" i="8" s="1"/>
  <c r="A857" i="8" s="1"/>
  <c r="A858" i="8" s="1"/>
  <c r="A859" i="8" s="1"/>
  <c r="A860" i="8" s="1"/>
  <c r="A861" i="8" s="1"/>
  <c r="A862" i="8" s="1"/>
  <c r="A863" i="8" s="1"/>
  <c r="A864" i="8" s="1"/>
  <c r="A865" i="8" s="1"/>
  <c r="A866" i="8" s="1"/>
  <c r="A867" i="8" s="1"/>
  <c r="A868" i="8" s="1"/>
  <c r="A869" i="8" s="1"/>
  <c r="A870" i="8" s="1"/>
  <c r="A871" i="8" s="1"/>
  <c r="A872" i="8" s="1"/>
  <c r="A873" i="8" s="1"/>
  <c r="A874" i="8" s="1"/>
  <c r="A875" i="8" s="1"/>
  <c r="A876" i="8" s="1"/>
  <c r="A877" i="8" s="1"/>
  <c r="A878" i="8" s="1"/>
  <c r="A879" i="8" s="1"/>
  <c r="A880" i="8" s="1"/>
  <c r="A881" i="8" s="1"/>
  <c r="A882" i="8" s="1"/>
  <c r="A883" i="8" s="1"/>
  <c r="A884" i="8" s="1"/>
  <c r="A885" i="8" s="1"/>
  <c r="A886" i="8" s="1"/>
  <c r="A887" i="8" s="1"/>
  <c r="A888" i="8" s="1"/>
  <c r="A889" i="8" s="1"/>
  <c r="A890" i="8" s="1"/>
  <c r="A891" i="8" s="1"/>
  <c r="A892" i="8" s="1"/>
  <c r="A893" i="8" s="1"/>
  <c r="A894" i="8" s="1"/>
  <c r="A895" i="8" s="1"/>
  <c r="A896" i="8" s="1"/>
  <c r="A897" i="8" s="1"/>
  <c r="A898" i="8" s="1"/>
  <c r="A899" i="8" s="1"/>
  <c r="A900" i="8" s="1"/>
  <c r="A901" i="8" s="1"/>
  <c r="A902" i="8" s="1"/>
  <c r="A903" i="8" s="1"/>
  <c r="A904" i="8" s="1"/>
  <c r="A905" i="8" s="1"/>
  <c r="A906" i="8" s="1"/>
  <c r="A907" i="8" s="1"/>
  <c r="A908" i="8" s="1"/>
  <c r="A909" i="8" s="1"/>
  <c r="A910" i="8" s="1"/>
  <c r="A911" i="8" s="1"/>
  <c r="A912" i="8" s="1"/>
  <c r="A913" i="8" s="1"/>
  <c r="A914" i="8" s="1"/>
  <c r="A915" i="8" s="1"/>
  <c r="A916" i="8" s="1"/>
  <c r="A917" i="8" s="1"/>
  <c r="A918" i="8" s="1"/>
  <c r="A919" i="8" s="1"/>
  <c r="A920" i="8" s="1"/>
  <c r="A921" i="8" s="1"/>
  <c r="A922" i="8" s="1"/>
  <c r="A923" i="8" s="1"/>
  <c r="A924" i="8" s="1"/>
  <c r="A925" i="8" s="1"/>
  <c r="A926" i="8" s="1"/>
  <c r="A927" i="8" s="1"/>
  <c r="A928" i="8" s="1"/>
  <c r="A929" i="8" s="1"/>
  <c r="A930" i="8" s="1"/>
  <c r="A931" i="8" s="1"/>
  <c r="A932" i="8" s="1"/>
  <c r="A933" i="8" s="1"/>
  <c r="A934" i="8" s="1"/>
  <c r="A935" i="8" s="1"/>
  <c r="A936" i="8" s="1"/>
  <c r="A937" i="8" s="1"/>
  <c r="A938" i="8" s="1"/>
  <c r="A939" i="8" s="1"/>
  <c r="A940" i="8" s="1"/>
  <c r="A941" i="8" s="1"/>
  <c r="A942" i="8" s="1"/>
  <c r="A943" i="8" s="1"/>
  <c r="A944" i="8" s="1"/>
  <c r="A945" i="8" s="1"/>
  <c r="A946" i="8" s="1"/>
  <c r="A947" i="8" s="1"/>
  <c r="A948" i="8" s="1"/>
  <c r="A949" i="8" s="1"/>
  <c r="A950" i="8" s="1"/>
  <c r="A951" i="8" s="1"/>
  <c r="A952" i="8" s="1"/>
  <c r="A953" i="8" s="1"/>
  <c r="A954" i="8" s="1"/>
  <c r="A955" i="8" s="1"/>
  <c r="A956" i="8" s="1"/>
  <c r="A957" i="8" s="1"/>
  <c r="A958" i="8" s="1"/>
  <c r="A959" i="8" s="1"/>
  <c r="A960" i="8" s="1"/>
  <c r="A961" i="8" s="1"/>
  <c r="A962" i="8" s="1"/>
  <c r="A963" i="8" s="1"/>
  <c r="A964" i="8" s="1"/>
  <c r="A965" i="8" s="1"/>
  <c r="A966" i="8" s="1"/>
  <c r="A967" i="8" s="1"/>
  <c r="A968" i="8" s="1"/>
  <c r="A969" i="8" s="1"/>
  <c r="A970" i="8" s="1"/>
  <c r="A971" i="8" s="1"/>
  <c r="A972" i="8" s="1"/>
  <c r="A973" i="8" s="1"/>
  <c r="A974" i="8" s="1"/>
  <c r="A975" i="8" s="1"/>
  <c r="A976" i="8" s="1"/>
  <c r="A977" i="8" s="1"/>
  <c r="A978" i="8" s="1"/>
  <c r="A979" i="8" s="1"/>
  <c r="A980" i="8" s="1"/>
  <c r="A981" i="8" s="1"/>
  <c r="A982" i="8" s="1"/>
  <c r="A983" i="8" s="1"/>
  <c r="A984" i="8" s="1"/>
  <c r="A985" i="8" s="1"/>
  <c r="A986" i="8" s="1"/>
  <c r="A987" i="8" s="1"/>
  <c r="A988" i="8" s="1"/>
  <c r="A989" i="8" s="1"/>
  <c r="A990" i="8" s="1"/>
  <c r="A991" i="8" s="1"/>
  <c r="A992" i="8" s="1"/>
  <c r="A993" i="8" s="1"/>
  <c r="A994" i="8" s="1"/>
  <c r="A995" i="8" s="1"/>
  <c r="A996" i="8" s="1"/>
  <c r="A997" i="8" s="1"/>
  <c r="A998" i="8" s="1"/>
  <c r="A999" i="8" s="1"/>
  <c r="A1000" i="8" s="1"/>
  <c r="A1001" i="8" s="1"/>
  <c r="A1002" i="8" s="1"/>
  <c r="A1003" i="8" s="1"/>
  <c r="A1004" i="8" s="1"/>
  <c r="A1005" i="8" s="1"/>
  <c r="A1006" i="8" s="1"/>
  <c r="A1007" i="8" s="1"/>
  <c r="A1008" i="8" s="1"/>
  <c r="A1009" i="8" s="1"/>
  <c r="A1010" i="8" s="1"/>
  <c r="E6" i="8"/>
  <c r="E4" i="8"/>
  <c r="E2" i="8"/>
  <c r="AE91" i="2"/>
  <c r="AK121" i="2"/>
  <c r="AB18" i="2"/>
  <c r="AC18" i="2" s="1"/>
  <c r="AD18" i="2" s="1"/>
  <c r="Y16" i="2"/>
  <c r="Y18" i="2"/>
  <c r="C6" i="4"/>
  <c r="C7" i="4" s="1"/>
  <c r="AE105" i="2"/>
  <c r="Y75" i="2"/>
  <c r="W92" i="2"/>
  <c r="X92" i="2"/>
  <c r="X109" i="2" s="1"/>
  <c r="V92" i="2"/>
  <c r="F30" i="8" l="1"/>
  <c r="F27" i="8"/>
  <c r="F28" i="8" s="1"/>
  <c r="E17" i="8"/>
  <c r="F31" i="8"/>
  <c r="E19" i="8"/>
  <c r="E15" i="8"/>
  <c r="E8" i="8"/>
  <c r="B10" i="8" s="1"/>
  <c r="C28" i="4"/>
  <c r="Y17" i="2"/>
  <c r="Y15" i="2" s="1"/>
  <c r="W91" i="2"/>
  <c r="X91" i="2"/>
  <c r="V91" i="2"/>
  <c r="W105" i="2"/>
  <c r="X105" i="2"/>
  <c r="Y105" i="2"/>
  <c r="Z105" i="2"/>
  <c r="AA105" i="2"/>
  <c r="AB105" i="2"/>
  <c r="AC105" i="2"/>
  <c r="AD105" i="2"/>
  <c r="V105" i="2"/>
  <c r="W99" i="2"/>
  <c r="X99" i="2"/>
  <c r="Y99" i="2"/>
  <c r="V99" i="2"/>
  <c r="X93" i="2" l="1"/>
  <c r="F32" i="8"/>
  <c r="X72" i="2"/>
  <c r="W72" i="2"/>
  <c r="W77" i="2" s="1"/>
  <c r="X70" i="2"/>
  <c r="W61" i="2"/>
  <c r="Y24" i="2"/>
  <c r="Z24" i="2" s="1"/>
  <c r="Y87" i="2"/>
  <c r="F34" i="8" l="1"/>
  <c r="F35" i="8" s="1"/>
  <c r="W70" i="2"/>
  <c r="W78" i="2" s="1"/>
  <c r="W60" i="2"/>
  <c r="X77" i="2"/>
  <c r="X60" i="2"/>
  <c r="X107" i="2"/>
  <c r="V107" i="2"/>
  <c r="V109" i="2"/>
  <c r="W107" i="2"/>
  <c r="W109" i="2"/>
  <c r="X78" i="2"/>
  <c r="W79" i="2"/>
  <c r="X79" i="2"/>
  <c r="Z15" i="2"/>
  <c r="AA15" i="2" s="1"/>
  <c r="AA24" i="2" s="1"/>
  <c r="U29" i="2"/>
  <c r="V29" i="2" s="1"/>
  <c r="R29" i="2"/>
  <c r="L22" i="2"/>
  <c r="M22" i="2" s="1"/>
  <c r="N22" i="2" s="1"/>
  <c r="O22" i="2" s="1"/>
  <c r="P22" i="2" s="1"/>
  <c r="Q22" i="2" s="1"/>
  <c r="R22" i="2" s="1"/>
  <c r="S22" i="2" s="1"/>
  <c r="T22" i="2" s="1"/>
  <c r="U22" i="2" s="1"/>
  <c r="V22" i="2" s="1"/>
  <c r="W22" i="2" s="1"/>
  <c r="X22" i="2" s="1"/>
  <c r="M2" i="2"/>
  <c r="N2" i="2" s="1"/>
  <c r="O2" i="2" s="1"/>
  <c r="P2" i="2" s="1"/>
  <c r="Q2" i="2" s="1"/>
  <c r="R2" i="2" s="1"/>
  <c r="Y20" i="2"/>
  <c r="Y21" i="2"/>
  <c r="Y25" i="2"/>
  <c r="Z25" i="2" s="1"/>
  <c r="K6" i="1"/>
  <c r="K5" i="1"/>
  <c r="Y42" i="2"/>
  <c r="Y43" i="2"/>
  <c r="Z43" i="2" s="1"/>
  <c r="AA43" i="2" s="1"/>
  <c r="AB43" i="2" s="1"/>
  <c r="AC43" i="2" s="1"/>
  <c r="AD43" i="2" s="1"/>
  <c r="T55" i="2"/>
  <c r="U55" i="2"/>
  <c r="V55" i="2"/>
  <c r="S44" i="2"/>
  <c r="S45" i="2" s="1"/>
  <c r="S47" i="2" s="1"/>
  <c r="S49" i="2" s="1"/>
  <c r="S51" i="2" s="1"/>
  <c r="T44" i="2"/>
  <c r="T45" i="2" s="1"/>
  <c r="T47" i="2" s="1"/>
  <c r="T49" i="2" s="1"/>
  <c r="T51" i="2" s="1"/>
  <c r="U44" i="2"/>
  <c r="U45" i="2" s="1"/>
  <c r="U47" i="2" s="1"/>
  <c r="U49" i="2" s="1"/>
  <c r="U51" i="2" s="1"/>
  <c r="S39" i="2"/>
  <c r="T39" i="2"/>
  <c r="U39" i="2"/>
  <c r="S35" i="2"/>
  <c r="T35" i="2"/>
  <c r="U35" i="2"/>
  <c r="I43" i="2"/>
  <c r="J43" i="2" s="1"/>
  <c r="I42" i="2"/>
  <c r="J42" i="2" s="1"/>
  <c r="I41" i="2"/>
  <c r="J41" i="2" s="1"/>
  <c r="I50" i="2"/>
  <c r="J50" i="2" s="1"/>
  <c r="D44" i="2"/>
  <c r="E44" i="2"/>
  <c r="F44" i="2"/>
  <c r="G44" i="2"/>
  <c r="H44" i="2"/>
  <c r="C44" i="2"/>
  <c r="H62" i="2"/>
  <c r="H61" i="2"/>
  <c r="C60" i="2"/>
  <c r="D60" i="2"/>
  <c r="E60" i="2"/>
  <c r="F60" i="2"/>
  <c r="E39" i="2"/>
  <c r="F39" i="2"/>
  <c r="G39" i="2"/>
  <c r="G40" i="2" s="1"/>
  <c r="G57" i="2" s="1"/>
  <c r="H39" i="2"/>
  <c r="C39" i="2"/>
  <c r="D39" i="2"/>
  <c r="H35" i="2"/>
  <c r="H54" i="2" s="1"/>
  <c r="F35" i="2"/>
  <c r="E35" i="2"/>
  <c r="C35" i="2"/>
  <c r="G53" i="2" s="1"/>
  <c r="D35" i="2"/>
  <c r="W35" i="2"/>
  <c r="X35" i="2" s="1"/>
  <c r="X55" i="2"/>
  <c r="W55" i="2"/>
  <c r="X46" i="2"/>
  <c r="W46" i="2"/>
  <c r="V46" i="2"/>
  <c r="W44" i="2"/>
  <c r="X44" i="2"/>
  <c r="V44" i="2"/>
  <c r="W39" i="2"/>
  <c r="X82" i="2" s="1"/>
  <c r="X39" i="2"/>
  <c r="V39" i="2"/>
  <c r="W82" i="2" s="1"/>
  <c r="V35" i="2"/>
  <c r="G62" i="2"/>
  <c r="G61" i="2"/>
  <c r="U2" i="2"/>
  <c r="V2" i="2" s="1"/>
  <c r="W2" i="2" s="1"/>
  <c r="X2" i="2" s="1"/>
  <c r="Y2" i="2" s="1"/>
  <c r="Z2" i="2" s="1"/>
  <c r="AA2" i="2" s="1"/>
  <c r="AB2" i="2" s="1"/>
  <c r="AC2" i="2" s="1"/>
  <c r="AD2" i="2" s="1"/>
  <c r="K4" i="1"/>
  <c r="Y74" i="2" l="1"/>
  <c r="Z42" i="2"/>
  <c r="Z74" i="2" s="1"/>
  <c r="AB15" i="2"/>
  <c r="AB24" i="2" s="1"/>
  <c r="Z17" i="2"/>
  <c r="Z23" i="2" s="1"/>
  <c r="Y23" i="2"/>
  <c r="Z22" i="2" s="1"/>
  <c r="U53" i="2"/>
  <c r="Z20" i="2"/>
  <c r="AA20" i="2" s="1"/>
  <c r="Y26" i="2"/>
  <c r="Y27" i="2" s="1"/>
  <c r="T53" i="2"/>
  <c r="V53" i="2"/>
  <c r="K7" i="1"/>
  <c r="F54" i="2"/>
  <c r="C40" i="2"/>
  <c r="C57" i="2" s="1"/>
  <c r="G54" i="2"/>
  <c r="J35" i="2"/>
  <c r="J53" i="2" s="1"/>
  <c r="H53" i="2"/>
  <c r="H60" i="2"/>
  <c r="I46" i="2" s="1"/>
  <c r="I44" i="2"/>
  <c r="J44" i="2"/>
  <c r="I54" i="2"/>
  <c r="I39" i="2"/>
  <c r="I40" i="2" s="1"/>
  <c r="G45" i="2"/>
  <c r="E54" i="2"/>
  <c r="H40" i="2"/>
  <c r="F40" i="2"/>
  <c r="D54" i="2"/>
  <c r="E40" i="2"/>
  <c r="D40" i="2"/>
  <c r="I53" i="2"/>
  <c r="Y55" i="2"/>
  <c r="X81" i="2"/>
  <c r="W81" i="2"/>
  <c r="V40" i="2"/>
  <c r="V57" i="2" s="1"/>
  <c r="G60" i="2"/>
  <c r="X53" i="2"/>
  <c r="W53" i="2"/>
  <c r="Y53" i="2"/>
  <c r="Y39" i="2"/>
  <c r="X40" i="2"/>
  <c r="X57" i="2" s="1"/>
  <c r="W40" i="2"/>
  <c r="W57" i="2" s="1"/>
  <c r="AA42" i="2" l="1"/>
  <c r="Y40" i="2"/>
  <c r="Y73" i="2"/>
  <c r="AB20" i="2"/>
  <c r="AC20" i="2" s="1"/>
  <c r="AD20" i="2" s="1"/>
  <c r="AA17" i="2"/>
  <c r="Z13" i="2"/>
  <c r="AC15" i="2"/>
  <c r="AC24" i="2" s="1"/>
  <c r="Z26" i="2"/>
  <c r="Z27" i="2" s="1"/>
  <c r="AA27" i="2" s="1"/>
  <c r="AB27" i="2" s="1"/>
  <c r="AC27" i="2" s="1"/>
  <c r="AD27" i="2" s="1"/>
  <c r="Y22" i="2"/>
  <c r="Y14" i="2" s="1"/>
  <c r="Z30" i="2"/>
  <c r="J54" i="2"/>
  <c r="C45" i="2"/>
  <c r="C47" i="2" s="1"/>
  <c r="C49" i="2" s="1"/>
  <c r="C51" i="2" s="1"/>
  <c r="I45" i="2"/>
  <c r="I47" i="2" s="1"/>
  <c r="I48" i="2" s="1"/>
  <c r="I49" i="2" s="1"/>
  <c r="I60" i="2" s="1"/>
  <c r="J39" i="2"/>
  <c r="J40" i="2" s="1"/>
  <c r="J45" i="2" s="1"/>
  <c r="J58" i="2" s="1"/>
  <c r="E57" i="2"/>
  <c r="E45" i="2"/>
  <c r="D57" i="2"/>
  <c r="D45" i="2"/>
  <c r="F57" i="2"/>
  <c r="F45" i="2"/>
  <c r="G58" i="2"/>
  <c r="G47" i="2"/>
  <c r="G49" i="2" s="1"/>
  <c r="G51" i="2" s="1"/>
  <c r="K8" i="1" s="1"/>
  <c r="H57" i="2"/>
  <c r="H45" i="2"/>
  <c r="V45" i="2"/>
  <c r="V47" i="2" s="1"/>
  <c r="Y41" i="2"/>
  <c r="Y44" i="2" s="1"/>
  <c r="Y89" i="2"/>
  <c r="Y88" i="2"/>
  <c r="Y86" i="2"/>
  <c r="Y90" i="2"/>
  <c r="W45" i="2"/>
  <c r="X45" i="2"/>
  <c r="AB17" i="2" l="1"/>
  <c r="AC17" i="2" s="1"/>
  <c r="AD17" i="2" s="1"/>
  <c r="AD23" i="2" s="1"/>
  <c r="E12" i="8" s="1"/>
  <c r="AA10" i="2"/>
  <c r="Z14" i="2"/>
  <c r="Y82" i="2"/>
  <c r="Y91" i="2"/>
  <c r="Y93" i="2" s="1"/>
  <c r="AA74" i="2"/>
  <c r="AB42" i="2"/>
  <c r="Z35" i="2"/>
  <c r="Z86" i="2" s="1"/>
  <c r="AD15" i="2"/>
  <c r="AD24" i="2" s="1"/>
  <c r="C58" i="2"/>
  <c r="AA23" i="2"/>
  <c r="AA13" i="2"/>
  <c r="I58" i="2"/>
  <c r="Z39" i="2"/>
  <c r="Z53" i="2"/>
  <c r="H58" i="2"/>
  <c r="H47" i="2"/>
  <c r="H49" i="2" s="1"/>
  <c r="H51" i="2" s="1"/>
  <c r="F47" i="2"/>
  <c r="F49" i="2" s="1"/>
  <c r="F51" i="2" s="1"/>
  <c r="F58" i="2"/>
  <c r="D47" i="2"/>
  <c r="D49" i="2" s="1"/>
  <c r="D51" i="2" s="1"/>
  <c r="D58" i="2"/>
  <c r="E47" i="2"/>
  <c r="E49" i="2" s="1"/>
  <c r="E51" i="2" s="1"/>
  <c r="E58" i="2"/>
  <c r="I51" i="2"/>
  <c r="J46" i="2"/>
  <c r="V58" i="2"/>
  <c r="W47" i="2"/>
  <c r="W49" i="2" s="1"/>
  <c r="W58" i="2"/>
  <c r="V49" i="2"/>
  <c r="X47" i="2"/>
  <c r="X58" i="2"/>
  <c r="Z40" i="2" l="1"/>
  <c r="Z44" i="2" s="1"/>
  <c r="Z73" i="2"/>
  <c r="Z82" i="2" s="1"/>
  <c r="AC42" i="2"/>
  <c r="AB74" i="2"/>
  <c r="Z95" i="2"/>
  <c r="Z99" i="2" s="1"/>
  <c r="Z75" i="2"/>
  <c r="Z91" i="2" s="1"/>
  <c r="AB23" i="2"/>
  <c r="AB22" i="2" s="1"/>
  <c r="AB13" i="2"/>
  <c r="AA22" i="2"/>
  <c r="J47" i="2"/>
  <c r="J48" i="2" s="1"/>
  <c r="J49" i="2" s="1"/>
  <c r="Y46" i="2"/>
  <c r="X49" i="2"/>
  <c r="X51" i="2" s="1"/>
  <c r="V51" i="2"/>
  <c r="V84" i="2"/>
  <c r="W51" i="2"/>
  <c r="W84" i="2"/>
  <c r="Z45" i="2"/>
  <c r="Z58" i="2" s="1"/>
  <c r="Z93" i="2" l="1"/>
  <c r="AD42" i="2"/>
  <c r="AD74" i="2" s="1"/>
  <c r="AC74" i="2"/>
  <c r="AC23" i="2"/>
  <c r="AC13" i="2"/>
  <c r="AB35" i="2"/>
  <c r="AB86" i="2" s="1"/>
  <c r="AB14" i="2"/>
  <c r="AA35" i="2"/>
  <c r="AA86" i="2" s="1"/>
  <c r="AA14" i="2"/>
  <c r="AC22" i="2"/>
  <c r="AC14" i="2" s="1"/>
  <c r="X84" i="2"/>
  <c r="J51" i="2"/>
  <c r="J60" i="2"/>
  <c r="Y60" i="2" s="1"/>
  <c r="AB39" i="2" l="1"/>
  <c r="AB40" i="2" s="1"/>
  <c r="AB44" i="2" s="1"/>
  <c r="AB53" i="2"/>
  <c r="AA75" i="2"/>
  <c r="AB95" i="2"/>
  <c r="AB99" i="2" s="1"/>
  <c r="AB75" i="2"/>
  <c r="AD22" i="2"/>
  <c r="AD13" i="2"/>
  <c r="AC35" i="2"/>
  <c r="AC53" i="2" s="1"/>
  <c r="AA53" i="2"/>
  <c r="AA95" i="2"/>
  <c r="AA99" i="2" s="1"/>
  <c r="AA39" i="2"/>
  <c r="Z46" i="2"/>
  <c r="Z47" i="2" s="1"/>
  <c r="Z48" i="2" s="1"/>
  <c r="AB73" i="2" l="1"/>
  <c r="AB91" i="2" s="1"/>
  <c r="AC39" i="2"/>
  <c r="AC95" i="2"/>
  <c r="AC99" i="2" s="1"/>
  <c r="AC75" i="2"/>
  <c r="AC86" i="2"/>
  <c r="AA40" i="2"/>
  <c r="AA44" i="2" s="1"/>
  <c r="AA45" i="2" s="1"/>
  <c r="AA58" i="2" s="1"/>
  <c r="AA73" i="2"/>
  <c r="AA82" i="2" s="1"/>
  <c r="AC40" i="2"/>
  <c r="AC44" i="2" s="1"/>
  <c r="AC73" i="2"/>
  <c r="AC82" i="2" s="1"/>
  <c r="AD14" i="2"/>
  <c r="AD35" i="2"/>
  <c r="Z49" i="2"/>
  <c r="Z84" i="2" s="1"/>
  <c r="Z92" i="2" s="1"/>
  <c r="Z109" i="2" s="1"/>
  <c r="AB45" i="2"/>
  <c r="AB58" i="2" s="1"/>
  <c r="AB82" i="2" l="1"/>
  <c r="AA91" i="2"/>
  <c r="AA93" i="2" s="1"/>
  <c r="AC45" i="2"/>
  <c r="AC58" i="2" s="1"/>
  <c r="AC91" i="2"/>
  <c r="AC93" i="2" s="1"/>
  <c r="AD75" i="2"/>
  <c r="AE35" i="2"/>
  <c r="AE86" i="2" s="1"/>
  <c r="AE95" i="2" s="1"/>
  <c r="AE99" i="2" s="1"/>
  <c r="AD86" i="2"/>
  <c r="AD95" i="2"/>
  <c r="AD39" i="2"/>
  <c r="AD53" i="2"/>
  <c r="Z60" i="2"/>
  <c r="AA46" i="2" s="1"/>
  <c r="AA47" i="2" s="1"/>
  <c r="AA48" i="2" s="1"/>
  <c r="Z51" i="2"/>
  <c r="AB93" i="2" l="1"/>
  <c r="AD99" i="2"/>
  <c r="AD40" i="2"/>
  <c r="AD73" i="2"/>
  <c r="Z107" i="2"/>
  <c r="AA49" i="2"/>
  <c r="AA84" i="2" s="1"/>
  <c r="AA92" i="2" s="1"/>
  <c r="AA109" i="2" s="1"/>
  <c r="AA107" i="2" l="1"/>
  <c r="AD82" i="2"/>
  <c r="AD91" i="2"/>
  <c r="AD93" i="2" s="1"/>
  <c r="AD44" i="2"/>
  <c r="AD45" i="2" s="1"/>
  <c r="AA60" i="2"/>
  <c r="AB46" i="2" s="1"/>
  <c r="AB47" i="2" s="1"/>
  <c r="AB48" i="2" s="1"/>
  <c r="AA51" i="2"/>
  <c r="AD58" i="2" l="1"/>
  <c r="AE45" i="2"/>
  <c r="AE47" i="2" s="1"/>
  <c r="AE48" i="2" s="1"/>
  <c r="AE49" i="2" s="1"/>
  <c r="AE84" i="2" s="1"/>
  <c r="AE92" i="2" s="1"/>
  <c r="AB49" i="2"/>
  <c r="AE109" i="2" l="1"/>
  <c r="AF109" i="2" s="1"/>
  <c r="AE107" i="2"/>
  <c r="AB84" i="2"/>
  <c r="AB92" i="2" s="1"/>
  <c r="AB109" i="2" s="1"/>
  <c r="AB60" i="2"/>
  <c r="AC46" i="2" s="1"/>
  <c r="AC47" i="2" s="1"/>
  <c r="AC48" i="2" s="1"/>
  <c r="AB51" i="2"/>
  <c r="AC49" i="2" l="1"/>
  <c r="AB107" i="2" l="1"/>
  <c r="AC84" i="2"/>
  <c r="AC92" i="2" s="1"/>
  <c r="AC109" i="2" s="1"/>
  <c r="AC51" i="2"/>
  <c r="AC60" i="2"/>
  <c r="AD46" i="2" l="1"/>
  <c r="AD47" i="2" s="1"/>
  <c r="AD48" i="2" s="1"/>
  <c r="AC107" i="2" l="1"/>
  <c r="AD49" i="2"/>
  <c r="AD84" i="2" l="1"/>
  <c r="AD92" i="2" s="1"/>
  <c r="AD109" i="2" s="1"/>
  <c r="AD51" i="2"/>
  <c r="AD60" i="2"/>
  <c r="AG109" i="2" l="1"/>
  <c r="AH109" i="2" s="1"/>
  <c r="AI109" i="2" s="1"/>
  <c r="AJ109" i="2" s="1"/>
  <c r="AK109" i="2" s="1"/>
  <c r="AL109" i="2" s="1"/>
  <c r="AM109" i="2" s="1"/>
  <c r="AN109" i="2" s="1"/>
  <c r="AO109" i="2" s="1"/>
  <c r="AP109" i="2" s="1"/>
  <c r="AQ109" i="2" s="1"/>
  <c r="AR109" i="2" s="1"/>
  <c r="AS109" i="2" s="1"/>
  <c r="AT109" i="2" s="1"/>
  <c r="AU109" i="2" s="1"/>
  <c r="AV109" i="2" s="1"/>
  <c r="AW109" i="2" s="1"/>
  <c r="AX109" i="2" s="1"/>
  <c r="AY109" i="2" s="1"/>
  <c r="AZ109" i="2" s="1"/>
  <c r="BA109" i="2" s="1"/>
  <c r="BB109" i="2" s="1"/>
  <c r="BC109" i="2" s="1"/>
  <c r="BD109" i="2" s="1"/>
  <c r="BE109" i="2" s="1"/>
  <c r="BF109" i="2" s="1"/>
  <c r="BG109" i="2" s="1"/>
  <c r="BH109" i="2" s="1"/>
  <c r="BI109" i="2" s="1"/>
  <c r="BJ109" i="2" s="1"/>
  <c r="BK109" i="2" s="1"/>
  <c r="BL109" i="2" s="1"/>
  <c r="BM109" i="2" s="1"/>
  <c r="BN109" i="2" s="1"/>
  <c r="BO109" i="2" s="1"/>
  <c r="BP109" i="2" s="1"/>
  <c r="BQ109" i="2" s="1"/>
  <c r="BR109" i="2" s="1"/>
  <c r="BS109" i="2" s="1"/>
  <c r="BT109" i="2" s="1"/>
  <c r="BU109" i="2" s="1"/>
  <c r="BV109" i="2" s="1"/>
  <c r="BW109" i="2" s="1"/>
  <c r="BX109" i="2" s="1"/>
  <c r="BY109" i="2" s="1"/>
  <c r="BZ109" i="2" s="1"/>
  <c r="CA109" i="2" s="1"/>
  <c r="CB109" i="2" s="1"/>
  <c r="CC109" i="2" s="1"/>
  <c r="CD109" i="2" s="1"/>
  <c r="CE109" i="2" s="1"/>
  <c r="CF109" i="2" s="1"/>
  <c r="CG109" i="2" s="1"/>
  <c r="CH109" i="2" s="1"/>
  <c r="CI109" i="2" s="1"/>
  <c r="CJ109" i="2" s="1"/>
  <c r="CK109" i="2" s="1"/>
  <c r="CL109" i="2" s="1"/>
  <c r="CM109" i="2" s="1"/>
  <c r="CN109" i="2" s="1"/>
  <c r="CO109" i="2" s="1"/>
  <c r="CP109" i="2" s="1"/>
  <c r="CQ109" i="2" s="1"/>
  <c r="CR109" i="2" s="1"/>
  <c r="CS109" i="2" s="1"/>
  <c r="CT109" i="2" s="1"/>
  <c r="CU109" i="2" s="1"/>
  <c r="CV109" i="2" s="1"/>
  <c r="CW109" i="2" s="1"/>
  <c r="CX109" i="2" s="1"/>
  <c r="CY109" i="2" s="1"/>
  <c r="CZ109" i="2" s="1"/>
  <c r="DA109" i="2" s="1"/>
  <c r="DB109" i="2" s="1"/>
  <c r="DC109" i="2" s="1"/>
  <c r="DD109" i="2" s="1"/>
  <c r="DE109" i="2" s="1"/>
  <c r="DF109" i="2" s="1"/>
  <c r="DG109" i="2" s="1"/>
  <c r="DH109" i="2" s="1"/>
  <c r="DI109" i="2" s="1"/>
  <c r="AD107" i="2"/>
  <c r="Y45" i="2"/>
  <c r="Y58" i="2" s="1"/>
  <c r="AG111" i="2" l="1"/>
  <c r="AH104" i="2"/>
  <c r="Y47" i="2"/>
  <c r="Y49" i="2" s="1"/>
  <c r="Y51" i="2" s="1"/>
  <c r="Y84" i="2" l="1"/>
  <c r="Y92" i="2" s="1"/>
  <c r="Y109" i="2" s="1"/>
  <c r="AH105" i="2"/>
  <c r="Y107" i="2" l="1"/>
  <c r="AH106" i="2"/>
  <c r="E18" i="8"/>
  <c r="E16" i="8"/>
  <c r="E20"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tc={B6688284-DA35-4372-A780-A5694C758617}</author>
    <author>tc={930402CF-3C62-4243-A4C1-01A5F2FB1BBD}</author>
    <author>tc={706AA5D0-3B68-4316-9AB5-E7BDFD5EF801}</author>
    <author>tc={3BD375D7-0B10-42FC-9699-90B801AF29CC}</author>
    <author>tc={0C61AB74-6410-4899-92DB-71CC8802C6FA}</author>
    <author>tc={9110625B-A20F-4814-80C6-6F1F6BAF5A5E}</author>
    <author>tc={E13E47F7-F728-4330-AB6F-377167A8CC30}</author>
    <author>tc={47EEF720-4C0B-45BB-8636-3C393FD966F1}</author>
    <author>tc={A1AC085D-6825-4B37-8D01-4B2B2237006B}</author>
    <author>tc={94532EAC-8F13-4889-AAA0-70FC0C11077E}</author>
    <author>tc={579D2475-8567-4E48-BB9B-9F5FA93F9BAE}</author>
    <author>tc={0C8D69BF-FC7E-49A8-9710-5453D28F245F}</author>
    <author>tc={039CF15E-A2F2-4AB9-BED3-79C4EA0446D8}</author>
    <author>tc={8DBC8CD6-1AF2-4E50-B99B-EDC1B76D28A6}</author>
    <author>tc={F007FFDD-AFCC-4115-9860-68DC6499D0AF}</author>
  </authors>
  <commentList>
    <comment ref="AA2" authorId="0" shapeId="0" xr:uid="{B6688284-DA35-4372-A780-A5694C758617}">
      <text>
        <t>[Threaded comment]
Your version of Excel allows you to read this threaded comment; however, any edits to it will get removed if the file is opened in a newer version of Excel. Learn more: https://go.microsoft.com/fwlink/?linkid=870924
Comment:
    Assumed year of complete transition of enterprise clients to ai tools/reduction in seats. AI tools will increase enterprise ARPU, decrease seats, ultimated lead to less revenue for enterprise clients (CC enterprise, marketing). However, Jevon’s paradox (as tools in an industry get more productive, more users will use the software) so I assume a normal growth rate afterwards to be conservative.</t>
      </text>
    </comment>
    <comment ref="B15" authorId="1" shapeId="0" xr:uid="{930402CF-3C62-4243-A4C1-01A5F2FB1BBD}">
      <text>
        <t>[Threaded comment]
Your version of Excel allows you to read this threaded comment; however, any edits to it will get removed if the file is opened in a newer version of Excel. Learn more: https://go.microsoft.com/fwlink/?linkid=870924
Comment:
    Millions; calculated through assuming the ARPU for enterprise and non-enterprise based on subscription pricing with the creative cloud revenue numbers and the total creative cloud seats to find x and y (enterprise seats and non-enterprise seats)</t>
      </text>
    </comment>
    <comment ref="AA15" authorId="2" shapeId="0" xr:uid="{706AA5D0-3B68-4316-9AB5-E7BDFD5EF801}">
      <text>
        <t>[Threaded comment]
Your version of Excel allows you to read this threaded comment; however, any edits to it will get removed if the file is opened in a newer version of Excel. Learn more: https://go.microsoft.com/fwlink/?linkid=870924
Comment:
    Non-enterprise is likely mostly more tied to the art industry/highly elastic many reasons why seats wouldn’t decrease for non-enterprise clients</t>
      </text>
    </comment>
    <comment ref="AA16" authorId="3" shapeId="0" xr:uid="{3BD375D7-0B10-42FC-9699-90B801AF29CC}">
      <text>
        <t>[Threaded comment]
Your version of Excel allows you to read this threaded comment; however, any edits to it will get removed if the file is opened in a newer version of Excel. Learn more: https://go.microsoft.com/fwlink/?linkid=870924
Comment:
    Likely small increase in ARPU due to user gen tokens</t>
      </text>
    </comment>
    <comment ref="B17" authorId="4" shapeId="0" xr:uid="{0C61AB74-6410-4899-92DB-71CC8802C6FA}">
      <text>
        <t>[Threaded comment]
Your version of Excel allows you to read this threaded comment; however, any edits to it will get removed if the file is opened in a newer version of Excel. Learn more: https://go.microsoft.com/fwlink/?linkid=870924
Comment:
    millions</t>
      </text>
    </comment>
    <comment ref="AA17" authorId="5" shapeId="0" xr:uid="{9110625B-A20F-4814-80C6-6F1F6BAF5A5E}">
      <text>
        <t>[Threaded comment]
Your version of Excel allows you to read this threaded comment; however, any edits to it will get removed if the file is opened in a newer version of Excel. Learn more: https://go.microsoft.com/fwlink/?linkid=870924
Comment:
    50% decrease in seats as companies transition to ai -&gt; 100% increased productivity</t>
      </text>
    </comment>
    <comment ref="AA18" authorId="6" shapeId="0" xr:uid="{E13E47F7-F728-4330-AB6F-377167A8CC30}">
      <text>
        <t>[Threaded comment]
Your version of Excel allows you to read this threaded comment; however, any edits to it will get removed if the file is opened in a newer version of Excel. Learn more: https://go.microsoft.com/fwlink/?linkid=870924
Comment:
    Assumed, yet to be conclusively calcuated with research. Assuming a 100% price increase for generative ai tokens. This 100% price increase is justified in the model through an assumed 100% increase in productivity which would let companies reduce seats by 50% which the cost of a human assumed to be ~60k/year vs previous 480/year software license will easily let adobe charge a lot more. The highest firefly tier is currently 200/month for 50k tokens, not everyone is likely to use this much and to be conservative I use a lot less ARPU for enterprise deals and etc.</t>
      </text>
    </comment>
    <comment ref="AA20" authorId="7" shapeId="0" xr:uid="{47EEF720-4C0B-45BB-8636-3C393FD966F1}">
      <text>
        <t>[Threaded comment]
Your version of Excel allows you to read this threaded comment; however, any edits to it will get removed if the file is opened in a newer version of Excel. Learn more: https://go.microsoft.com/fwlink/?linkid=870924
Comment:
    Not assumed a 50% drop as the others, currently 25% drop due to the nature of the software -&gt; more ai compute being used, more storage and use of enterprise systems. Even though still less due to less people.</t>
      </text>
    </comment>
    <comment ref="X21" authorId="8" shapeId="0" xr:uid="{A1AC085D-6825-4B37-8D01-4B2B2237006B}">
      <text>
        <t>[Threaded comment]
Your version of Excel allows you to read this threaded comment; however, any edits to it will get removed if the file is opened in a newer version of Excel. Learn more: https://go.microsoft.com/fwlink/?linkid=870924
Comment:
    From Q424 end of year segments</t>
      </text>
    </comment>
    <comment ref="Y22" authorId="9" shapeId="0" xr:uid="{94532EAC-8F13-4889-AAA0-70FC0C11077E}">
      <text>
        <t>[Threaded comment]
Your version of Excel allows you to read this threaded comment; however, any edits to it will get removed if the file is opened in a newer version of Excel. Learn more: https://go.microsoft.com/fwlink/?linkid=870924
Comment:
    Seperated out from creative&amp;marketing using previous q424 segements to estimate current creative cloud only vs marketing only</t>
      </text>
    </comment>
    <comment ref="Z35" authorId="10" shapeId="0" xr:uid="{579D2475-8567-4E48-BB9B-9F5FA93F9BAE}">
      <text>
        <t>[Threaded comment]
Your version of Excel allows you to read this threaded comment; however, any edits to it will get removed if the file is opened in a newer version of Excel. Learn more: https://go.microsoft.com/fwlink/?linkid=870924
Comment:
    26,000 guidance</t>
      </text>
    </comment>
    <comment ref="Z44" authorId="11" shapeId="0" xr:uid="{0C8D69BF-FC7E-49A8-9710-5453D28F245F}">
      <text>
        <t>[Threaded comment]
Your version of Excel allows you to read this threaded comment; however, any edits to it will get removed if the file is opened in a newer version of Excel. Learn more: https://go.microsoft.com/fwlink/?linkid=870924
Comment:
    Operating margin stable</t>
      </text>
    </comment>
    <comment ref="Z73" authorId="12" shapeId="0" xr:uid="{039CF15E-A2F2-4AB9-BED3-79C4EA0446D8}">
      <text>
        <t>[Threaded comment]
Your version of Excel allows you to read this threaded comment; however, any edits to it will get removed if the file is opened in a newer version of Excel. Learn more: https://go.microsoft.com/fwlink/?linkid=870924
Comment:
    Dpo from cogs</t>
      </text>
    </comment>
    <comment ref="Z74" authorId="13" shapeId="0" xr:uid="{8DBC8CD6-1AF2-4E50-B99B-EDC1B76D28A6}">
      <text>
        <t>[Threaded comment]
Your version of Excel allows you to read this threaded comment; however, any edits to it will get removed if the file is opened in a newer version of Excel. Learn more: https://go.microsoft.com/fwlink/?linkid=870924
Comment:
    Percent of sg&amp;a</t>
      </text>
    </comment>
    <comment ref="Z75" authorId="14" shapeId="0" xr:uid="{F007FFDD-AFCC-4115-9860-68DC6499D0AF}">
      <text>
        <t>[Threaded comment]
Your version of Excel allows you to read this threaded comment; however, any edits to it will get removed if the file is opened in a newer version of Excel. Learn more: https://go.microsoft.com/fwlink/?linkid=870924
Comment:
    Percent of rev</t>
      </text>
    </comment>
  </commentList>
</comments>
</file>

<file path=xl/sharedStrings.xml><?xml version="1.0" encoding="utf-8"?>
<sst xmlns="http://schemas.openxmlformats.org/spreadsheetml/2006/main" count="285" uniqueCount="257">
  <si>
    <t>Price</t>
  </si>
  <si>
    <t>Shares</t>
  </si>
  <si>
    <t>MC</t>
  </si>
  <si>
    <t>Cash</t>
  </si>
  <si>
    <t>Debt</t>
  </si>
  <si>
    <t>EV</t>
  </si>
  <si>
    <t>Subscription</t>
  </si>
  <si>
    <t>Product</t>
  </si>
  <si>
    <t>Services</t>
  </si>
  <si>
    <t>Revenue</t>
  </si>
  <si>
    <t>Subscription COGS</t>
  </si>
  <si>
    <t>Product COGS</t>
  </si>
  <si>
    <t>Services COGS</t>
  </si>
  <si>
    <t>COGS</t>
  </si>
  <si>
    <t>Gross Profit</t>
  </si>
  <si>
    <t>R&amp;D</t>
  </si>
  <si>
    <t>S&amp;M</t>
  </si>
  <si>
    <t>G&amp;A</t>
  </si>
  <si>
    <t>OPEX</t>
  </si>
  <si>
    <t>Operating Income</t>
  </si>
  <si>
    <t>Pretax Income</t>
  </si>
  <si>
    <t>Tax</t>
  </si>
  <si>
    <t>Net Income</t>
  </si>
  <si>
    <t>EPS</t>
  </si>
  <si>
    <t>Gross Margin</t>
  </si>
  <si>
    <t>CFFO</t>
  </si>
  <si>
    <t>FCF</t>
  </si>
  <si>
    <t>Net Cash</t>
  </si>
  <si>
    <t>Q125</t>
  </si>
  <si>
    <t>ROIC</t>
  </si>
  <si>
    <t>Maturity</t>
  </si>
  <si>
    <t>Discount</t>
  </si>
  <si>
    <t>NPV</t>
  </si>
  <si>
    <t>Revenue y/y</t>
  </si>
  <si>
    <t>Operating Margin</t>
  </si>
  <si>
    <t>PP&amp;E</t>
  </si>
  <si>
    <t>GW</t>
  </si>
  <si>
    <t>Other Intangibles</t>
  </si>
  <si>
    <t>Assets</t>
  </si>
  <si>
    <t>SE</t>
  </si>
  <si>
    <t>Liabilities</t>
  </si>
  <si>
    <t>L+SE</t>
  </si>
  <si>
    <t>Main</t>
  </si>
  <si>
    <t>Q124</t>
  </si>
  <si>
    <t>Q224</t>
  </si>
  <si>
    <t>Q324</t>
  </si>
  <si>
    <t>Q425</t>
  </si>
  <si>
    <t>Q225</t>
  </si>
  <si>
    <t>Q325</t>
  </si>
  <si>
    <t>DSO</t>
  </si>
  <si>
    <t>Model NI</t>
  </si>
  <si>
    <t>Reported NI</t>
  </si>
  <si>
    <t>D&amp;A</t>
  </si>
  <si>
    <t>AP</t>
  </si>
  <si>
    <t>DR</t>
  </si>
  <si>
    <t>Digital Media</t>
  </si>
  <si>
    <t>Digital Experience</t>
  </si>
  <si>
    <t>SG&amp;A y/y</t>
  </si>
  <si>
    <t>Revenue q/q</t>
  </si>
  <si>
    <t>Interest Income</t>
  </si>
  <si>
    <t>CEO: Shantanu Narayen</t>
  </si>
  <si>
    <t>Share</t>
  </si>
  <si>
    <t>Industry: High growth rate</t>
  </si>
  <si>
    <t>Management Quality:</t>
  </si>
  <si>
    <t>Innovation:</t>
  </si>
  <si>
    <t>Art/visual media is highly elastic meaning more producivity will in the long run lead to a higher consumption/ growth rate.</t>
  </si>
  <si>
    <t>Jevon's Paradox</t>
  </si>
  <si>
    <t>https://doi.org/10.1093/pnasnexus/pgae052</t>
  </si>
  <si>
    <t>Creative &amp; Marketing</t>
  </si>
  <si>
    <t>Business &amp; Consumers</t>
  </si>
  <si>
    <t>Marketing (AEP, AEM)</t>
  </si>
  <si>
    <t>Creators &amp; Creative (Creative Cloud)</t>
  </si>
  <si>
    <t>Business &amp; Consumers (Acrobat, Express)</t>
  </si>
  <si>
    <t>Creative Cloud</t>
  </si>
  <si>
    <t>Acrobat</t>
  </si>
  <si>
    <t>Consumer Creative</t>
  </si>
  <si>
    <t>Acrobat+Consumer</t>
  </si>
  <si>
    <t>Consumer</t>
  </si>
  <si>
    <t>They need the juniors to train for the next generation of lead artists</t>
  </si>
  <si>
    <t>They also need to execute the concept well and add their own ideas to help refine the concept</t>
  </si>
  <si>
    <t>Creative Cloud non-Enterprise</t>
  </si>
  <si>
    <t>Image/Video Editing and Graphic Design 9% CAGR</t>
  </si>
  <si>
    <t>DAM Software 14% CAGR</t>
  </si>
  <si>
    <t>Creative Cloud Enterprise</t>
  </si>
  <si>
    <t>e-signature and digital document 10% cagr</t>
  </si>
  <si>
    <t>WC</t>
  </si>
  <si>
    <t>CapEx</t>
  </si>
  <si>
    <t>Investments</t>
  </si>
  <si>
    <t>Acquisitions/IPRD</t>
  </si>
  <si>
    <t>Other</t>
  </si>
  <si>
    <t>CFFI</t>
  </si>
  <si>
    <t>Dividends</t>
  </si>
  <si>
    <t>Borrowing</t>
  </si>
  <si>
    <t>Buyback</t>
  </si>
  <si>
    <t>CFFF</t>
  </si>
  <si>
    <t>FX</t>
  </si>
  <si>
    <t>CIC</t>
  </si>
  <si>
    <t>DT</t>
  </si>
  <si>
    <t>SBC</t>
  </si>
  <si>
    <t>A/R</t>
  </si>
  <si>
    <t>Prepaids</t>
  </si>
  <si>
    <t>OCA</t>
  </si>
  <si>
    <t>ONCA</t>
  </si>
  <si>
    <t>Compensation</t>
  </si>
  <si>
    <t>Taxes</t>
  </si>
  <si>
    <t>CC Enterprise Seats</t>
  </si>
  <si>
    <t>CC Enterprise ARPU/month</t>
  </si>
  <si>
    <t>CC ARPU/month</t>
  </si>
  <si>
    <t>CC Seats</t>
  </si>
  <si>
    <t>CC Non-Enterprise ARPU/month</t>
  </si>
  <si>
    <t>CC Non-Enterprise Seats</t>
  </si>
  <si>
    <t>x+y=40</t>
  </si>
  <si>
    <t>y=40-x</t>
  </si>
  <si>
    <t>DPO</t>
  </si>
  <si>
    <t>CIWC</t>
  </si>
  <si>
    <t>T</t>
  </si>
  <si>
    <t>180x+720y=10638</t>
  </si>
  <si>
    <t>180x+720(40-x)=10638</t>
  </si>
  <si>
    <t>Total CC Revenue</t>
  </si>
  <si>
    <t>Total CC Seats</t>
  </si>
  <si>
    <t>Non-Enterprise ARPU/mo</t>
  </si>
  <si>
    <t>Enterprise ARPU/mo</t>
  </si>
  <si>
    <t>Enterprise Seats</t>
  </si>
  <si>
    <t>Non-Enterprise Seats</t>
  </si>
  <si>
    <t>v</t>
  </si>
  <si>
    <t>Logic:</t>
  </si>
  <si>
    <t>x=Enterprise Seats; y=Non-Enterprise Seats</t>
  </si>
  <si>
    <t>Variables:</t>
  </si>
  <si>
    <t>Unknowns:</t>
  </si>
  <si>
    <t>Knowns:</t>
  </si>
  <si>
    <t>CC Revenue/year</t>
  </si>
  <si>
    <t>CC Seats/year</t>
  </si>
  <si>
    <t>Adjusted for yearly by multiplying by 12</t>
  </si>
  <si>
    <t>Limits:</t>
  </si>
  <si>
    <t>as Enterprise Seats -&gt; 0; Non-Ent ARPU -&gt; 22.1625⁻</t>
  </si>
  <si>
    <t>as Non-Ent Seats -&gt; 0; Ent ARPU -&gt; 22.1625⁺</t>
  </si>
  <si>
    <t>Ent-ARPU cannot be less than 22.1625</t>
  </si>
  <si>
    <t>Non-Ent ARPU cannot be greater than 22.1625</t>
  </si>
  <si>
    <t>Ent ARPU</t>
  </si>
  <si>
    <t>NonENT ARPU</t>
  </si>
  <si>
    <t>Sensitivity Analysis; End Value = ENT Revenue</t>
  </si>
  <si>
    <t>Takeaways:</t>
  </si>
  <si>
    <t>25% of rev</t>
  </si>
  <si>
    <t>46% of rev</t>
  </si>
  <si>
    <t>15% of rev</t>
  </si>
  <si>
    <t>14% of rev</t>
  </si>
  <si>
    <t xml:space="preserve"> CC Enterprise</t>
  </si>
  <si>
    <t xml:space="preserve"> CC NonEnt</t>
  </si>
  <si>
    <t>43% of CC</t>
  </si>
  <si>
    <t>57% of CC</t>
  </si>
  <si>
    <t>Enterprise Software/ Marketing</t>
  </si>
  <si>
    <t>Random Notes:</t>
  </si>
  <si>
    <t>Current CEO takes over, was COO since 2005</t>
  </si>
  <si>
    <t>Adobe stagnates as its business model is outdated and not innovating</t>
  </si>
  <si>
    <t>Adobe transitions to a monthly subscription model and starts focusing on enterprise deals and software</t>
  </si>
  <si>
    <t>Post 2014</t>
  </si>
  <si>
    <t>The new direction of the company which marks the current model of Adobe is very successful</t>
  </si>
  <si>
    <t>Notes:</t>
  </si>
  <si>
    <t>Current Opinion:</t>
  </si>
  <si>
    <t>Adobe's future is highly dependent on the mangement's execution and if Jevon's Paradox will accelerate growth after seat diminishment</t>
  </si>
  <si>
    <t>Firefly: Adobe's AI Suite</t>
  </si>
  <si>
    <t>Creative Cloud: Digital Art, Visual Media, Digital Editing, etc. Suite of tools package</t>
  </si>
  <si>
    <t>AEP, AEM: Adobe's Enterprise Software</t>
  </si>
  <si>
    <t>Firefly trained on images Adobe had the legal right to train on; Most AI models are trained on data skimmed from the internet</t>
  </si>
  <si>
    <t>The key drivers are: Enterprise Firefly adoption, AI generated content legality, Jevon's Paradox increasing industry adoption of tools, and Firefly/Adobe's GenAI ability to raise ARPU through increased use of gen tokens.</t>
  </si>
  <si>
    <t>Acrobat: Industry Standard Document Tool</t>
  </si>
  <si>
    <t>Explainations of The Main Assumptions:</t>
  </si>
  <si>
    <t>CC Enterprise Revenue drops 50% due to 50% seat reduction from a 100% increase in productivity from AI tools.</t>
  </si>
  <si>
    <t>CC Non-Enterprise Revenue &amp; ARPU is basically unchanged due to the elasticity of Digital Art/Visual Media jobs in non-corporate settings. This assumption is very conservative as GenAI and producitvity could lead to a lot higher adoption rate.</t>
  </si>
  <si>
    <t>AEP, AEM Revenue drops 25% to be conservative for less enterprise software seats even though more generated content could provide somewhat of a protection for these contracts.</t>
  </si>
  <si>
    <t>Acrobat Revenue grows at a normal rate, industry standard tool not likely to be changed.</t>
  </si>
  <si>
    <t>CC Enterprise and Non-Enterprise was reconstructed through some logic explained in the CC Model and sensitivity tested where the max limit in both directions would only result in a &lt;30% difference in calculated share price</t>
  </si>
  <si>
    <t>CC Enterprise ARPU grows 65% due to GenAI tokens and its ability to replace employees. This could be a key driver if GenAI legality becomes more questionable. 65% is also very conservative if you take into account that I am modeling this tool replaceing half of workers, Adobe could easily justify 200% or more depending on execution and market dynamics. This is also not sensitive at all and only really changes the share price drastically at a very large increase in ARPU.</t>
  </si>
  <si>
    <t>Base Case: Firefly gets some adoption in enterprise clients and enterprise seats get drastically cut. The stock remains relatively unchanged around 300</t>
  </si>
  <si>
    <t>Bear Case: Jevon's Paradox never kicks in, enterprise clients don’t adopt firefly, and even non enterprise seats are cut. Drop to around the low 200s</t>
  </si>
  <si>
    <t>ARPU Sensitivity Analysis</t>
  </si>
  <si>
    <t>Firefly?</t>
  </si>
  <si>
    <t>Adobe GenAI seat reduction fears stock collapses ~40%</t>
  </si>
  <si>
    <t>ENT ARPU</t>
  </si>
  <si>
    <t>Percent Change In Share Price NPV as Discount Rate and Enterprise ARPU Exit Rate Change</t>
  </si>
  <si>
    <t>Todo:</t>
  </si>
  <si>
    <t xml:space="preserve"> Channel Checks &amp; Literature Review for</t>
  </si>
  <si>
    <t xml:space="preserve"> better/verified number assumptions</t>
  </si>
  <si>
    <t xml:space="preserve"> Management Research &amp; Company History</t>
  </si>
  <si>
    <t xml:space="preserve"> Conference Calls &amp; Q&amp;A Indepth</t>
  </si>
  <si>
    <t>Adobe Firefly Enterprise: 200/mo without special pricing</t>
  </si>
  <si>
    <t>Creative Cloud Enterprise: 100/mo without special pricing</t>
  </si>
  <si>
    <t>Creative Cloud: 70/mo without special pricing, individual apps ~20/mo, schools 35/mo</t>
  </si>
  <si>
    <t>Bull Case: Adobe's management executes Firefly well and GenAI legality increases Firefly adoption among enterprise clients and allows them to drastically raise ARPU through the cost savings of increased productivity and less seats and Jevon's Paradox helps regain some seats. Depending on market dynamics it could raise the price from 350-400+</t>
  </si>
  <si>
    <t xml:space="preserve"> Questions for Mangement</t>
  </si>
  <si>
    <t>If it was very likely that due to GenAI regulations most models like OpenAI cant be used for commerical GenAI due to their training</t>
  </si>
  <si>
    <t>If enterprises start getting a lot of firefly licenses or firefly use rockets</t>
  </si>
  <si>
    <t>If companies don’t replace as many jobs/licenses because AI isnt as effective as it seems</t>
  </si>
  <si>
    <t>Things that would make the stock bullish:</t>
  </si>
  <si>
    <t>If Jevon's Paradox increases adoption heavily</t>
  </si>
  <si>
    <t xml:space="preserve"> GenAI current legality and future</t>
  </si>
  <si>
    <t xml:space="preserve"> Jevon's Paradox AI research/figures</t>
  </si>
  <si>
    <t>GenAI:</t>
  </si>
  <si>
    <t>Jevon's Paradox:</t>
  </si>
  <si>
    <t>SaaSpocalyse:</t>
  </si>
  <si>
    <t>For Creative Cloud companies cannot replace junior artists and let the lead/concept artists work their ideas (non enterprise)</t>
  </si>
  <si>
    <t>Moat: Barrier to entry -&gt; complex software refined industry standard many functions and large suite providing the best bargain for a lot of tools; User switching cost -&gt; takes time to learn the tools and long standing company provides updates and longevity users want to not want to learn new tools;</t>
  </si>
  <si>
    <t>Adobe is slightly undervalued with conservative values. Not undervalued enough to be a buy. Potential to grow back to previous highs if mangement executes firefly really well and jevon's paradox accelerates growth.</t>
  </si>
  <si>
    <t>If NonENT  ARPU avg is &lt;= 10 then ADBE is worth slightly more</t>
  </si>
  <si>
    <t>If NonENT ARPU avg is &gt;=20 ADBE is worth slightly less</t>
  </si>
  <si>
    <t>Mean ARPU</t>
  </si>
  <si>
    <t>SD ARPU</t>
  </si>
  <si>
    <t>Mean Growth</t>
  </si>
  <si>
    <t>SD Growth</t>
  </si>
  <si>
    <t>Mean ENT Seats</t>
  </si>
  <si>
    <t>SD ENT Seats</t>
  </si>
  <si>
    <t>a</t>
  </si>
  <si>
    <t>nonEnt Rev</t>
  </si>
  <si>
    <t>Share Price</t>
  </si>
  <si>
    <t>1000 iterations average</t>
  </si>
  <si>
    <t>Multiple</t>
  </si>
  <si>
    <t>ENT Revenue</t>
  </si>
  <si>
    <t>Bottom 25% Price</t>
  </si>
  <si>
    <t>Top 25% Price</t>
  </si>
  <si>
    <t>Diff</t>
  </si>
  <si>
    <t>Add covariance to show correlation between ARPU and Seats instead of complete randomness</t>
  </si>
  <si>
    <t>Add limits to remove numbers that cannot occur such as negative seats</t>
  </si>
  <si>
    <t>Optimal Portfolio Allocation</t>
  </si>
  <si>
    <t>WinRate</t>
  </si>
  <si>
    <t>LossRate</t>
  </si>
  <si>
    <t>W/L Ratio</t>
  </si>
  <si>
    <t xml:space="preserve">Avg Win </t>
  </si>
  <si>
    <t xml:space="preserve">Avg Loss </t>
  </si>
  <si>
    <t>Optimal Kelly Allocation</t>
  </si>
  <si>
    <t>Half-Kelly</t>
  </si>
  <si>
    <t>DOI</t>
  </si>
  <si>
    <t>Title</t>
  </si>
  <si>
    <t>Description</t>
  </si>
  <si>
    <t>Question</t>
  </si>
  <si>
    <t>Answer</t>
  </si>
  <si>
    <t>Date</t>
  </si>
  <si>
    <t>Interviewee</t>
  </si>
  <si>
    <t>&lt;- including 30% MoS to be a win</t>
  </si>
  <si>
    <t>not a good long @262, was a long &lt;=245 allocating 5%</t>
  </si>
  <si>
    <t>Think over and rework Mean and SD values and variables used</t>
  </si>
  <si>
    <t>Most Important:</t>
  </si>
  <si>
    <t>Less Important:</t>
  </si>
  <si>
    <t>Consenses:</t>
  </si>
  <si>
    <t xml:space="preserve"> for numbers used.</t>
  </si>
  <si>
    <t xml:space="preserve"> Current no.1 issue is lack of validification</t>
  </si>
  <si>
    <t>Catalyst: Seat churn / metrics and Firefly adoption over the next 12-24 months will determine what happens next to the stock</t>
  </si>
  <si>
    <t xml:space="preserve"> tracking Firefly and seat churn</t>
  </si>
  <si>
    <t xml:space="preserve"> Map out quarters and start</t>
  </si>
  <si>
    <t xml:space="preserve"> What KPIs can I track to validate theories</t>
  </si>
  <si>
    <t xml:space="preserve"> such as Jevon's paradox</t>
  </si>
  <si>
    <t>KPIs: CC Seats (seperated Enterprise &amp; Non Enterprise), Firefly ARR, Enterprise ARPU, GenAI Tokens</t>
  </si>
  <si>
    <t>KPIs</t>
  </si>
  <si>
    <t xml:space="preserve"> ARR</t>
  </si>
  <si>
    <t xml:space="preserve"> Firefly ARR</t>
  </si>
  <si>
    <t xml:space="preserve"> CC Enterprise Seat Churn</t>
  </si>
  <si>
    <t xml:space="preserve"> GenAI Tokens</t>
  </si>
  <si>
    <t xml:space="preserve"> CC Non Enterprise Seat Churn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</si>
</sst>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164" formatCode="0.0%"/>
    <numFmt numFmtId="169" formatCode="m/d;@"/>
  </numFmts>
  <fonts count="23" x14ac:knownFonts="1">
    <font>
      <sz val="11"/>
      <color theme="1"/>
      <name val="Aptos Narrow"/>
      <family val="2"/>
      <scheme val="minor"/>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u/>
      <sz val="11"/>
      <color theme="10"/>
      <name val="Aptos Narrow"/>
      <family val="2"/>
      <scheme val="minor"/>
    </font>
    <font>
      <b/>
      <sz val="10"/>
      <color theme="1"/>
      <name val="Arial"/>
      <family val="2"/>
    </font>
    <font>
      <u/>
      <sz val="10"/>
      <color theme="10"/>
      <name val="Arial"/>
      <family val="2"/>
    </font>
    <font>
      <u/>
      <sz val="10"/>
      <color theme="1"/>
      <name val="Arial"/>
      <family val="2"/>
    </font>
    <font>
      <i/>
      <sz val="10"/>
      <color theme="1"/>
      <name val="Arial"/>
      <family val="2"/>
    </font>
  </fonts>
  <fills count="2">
    <fill>
      <patternFill patternType="none"/>
    </fill>
    <fill>
      <patternFill patternType="gray125"/>
    </fill>
  </fills>
  <borders count="1">
    <border>
      <left/>
      <right/>
      <top/>
      <bottom/>
      <diagonal/>
    </border>
  </borders>
  <cellStyleXfs count="4">
    <xf numFmtId="0" fontId="0" fillId="0" borderId="0"/>
    <xf numFmtId="0" fontId="18" fillId="0" borderId="0" applyNumberFormat="0" applyFill="0" applyBorder="0" applyAlignment="0" applyProtection="0"/>
    <xf numFmtId="0" fontId="5" fillId="0" borderId="0"/>
    <xf numFmtId="0" fontId="20" fillId="0" borderId="0" applyNumberFormat="0" applyFill="0" applyBorder="0" applyAlignment="0" applyProtection="0"/>
  </cellStyleXfs>
  <cellXfs count="47">
    <xf numFmtId="0" fontId="0" fillId="0" borderId="0" xfId="0"/>
    <xf numFmtId="0" fontId="19" fillId="0" borderId="0" xfId="0" applyFont="1"/>
    <xf numFmtId="0" fontId="17" fillId="0" borderId="0" xfId="0" applyFont="1"/>
    <xf numFmtId="4" fontId="17" fillId="0" borderId="0" xfId="0" applyNumberFormat="1" applyFont="1"/>
    <xf numFmtId="3" fontId="17" fillId="0" borderId="0" xfId="0" applyNumberFormat="1" applyFont="1"/>
    <xf numFmtId="3" fontId="20" fillId="0" borderId="0" xfId="1" applyNumberFormat="1" applyFont="1"/>
    <xf numFmtId="3" fontId="16" fillId="0" borderId="0" xfId="0" applyNumberFormat="1" applyFont="1"/>
    <xf numFmtId="0" fontId="16" fillId="0" borderId="0" xfId="0" applyFont="1"/>
    <xf numFmtId="1" fontId="16" fillId="0" borderId="0" xfId="0" applyNumberFormat="1" applyFont="1"/>
    <xf numFmtId="4" fontId="16" fillId="0" borderId="0" xfId="0" applyNumberFormat="1" applyFont="1"/>
    <xf numFmtId="3" fontId="19" fillId="0" borderId="0" xfId="0" applyNumberFormat="1" applyFont="1"/>
    <xf numFmtId="10" fontId="16" fillId="0" borderId="0" xfId="0" applyNumberFormat="1" applyFont="1"/>
    <xf numFmtId="9" fontId="19" fillId="0" borderId="0" xfId="0" applyNumberFormat="1" applyFont="1"/>
    <xf numFmtId="164" fontId="19" fillId="0" borderId="0" xfId="0" applyNumberFormat="1" applyFont="1"/>
    <xf numFmtId="9" fontId="16" fillId="0" borderId="0" xfId="0" applyNumberFormat="1" applyFont="1"/>
    <xf numFmtId="164" fontId="16" fillId="0" borderId="0" xfId="0" applyNumberFormat="1" applyFont="1"/>
    <xf numFmtId="3" fontId="15" fillId="0" borderId="0" xfId="0" applyNumberFormat="1" applyFont="1"/>
    <xf numFmtId="0" fontId="14" fillId="0" borderId="0" xfId="0" applyFont="1"/>
    <xf numFmtId="3" fontId="14" fillId="0" borderId="0" xfId="0" applyNumberFormat="1" applyFont="1"/>
    <xf numFmtId="3" fontId="13" fillId="0" borderId="0" xfId="0" applyNumberFormat="1" applyFont="1"/>
    <xf numFmtId="3" fontId="12" fillId="0" borderId="0" xfId="0" applyNumberFormat="1" applyFont="1"/>
    <xf numFmtId="0" fontId="11" fillId="0" borderId="0" xfId="0" applyFont="1"/>
    <xf numFmtId="3" fontId="11" fillId="0" borderId="0" xfId="0" applyNumberFormat="1" applyFont="1"/>
    <xf numFmtId="0" fontId="10" fillId="0" borderId="0" xfId="0" applyFont="1"/>
    <xf numFmtId="0" fontId="9" fillId="0" borderId="0" xfId="0" applyFont="1"/>
    <xf numFmtId="0" fontId="8" fillId="0" borderId="0" xfId="0" applyFont="1"/>
    <xf numFmtId="3" fontId="7" fillId="0" borderId="0" xfId="0" applyNumberFormat="1" applyFont="1"/>
    <xf numFmtId="0" fontId="7" fillId="0" borderId="0" xfId="0" applyFont="1"/>
    <xf numFmtId="1" fontId="19" fillId="0" borderId="0" xfId="0" applyNumberFormat="1" applyFont="1"/>
    <xf numFmtId="0" fontId="6" fillId="0" borderId="0" xfId="0" applyFont="1"/>
    <xf numFmtId="8" fontId="16" fillId="0" borderId="0" xfId="0" applyNumberFormat="1" applyFont="1"/>
    <xf numFmtId="3" fontId="5" fillId="0" borderId="0" xfId="0" applyNumberFormat="1" applyFont="1"/>
    <xf numFmtId="0" fontId="5" fillId="0" borderId="0" xfId="0" applyFont="1"/>
    <xf numFmtId="1" fontId="5" fillId="0" borderId="0" xfId="0" applyNumberFormat="1" applyFont="1"/>
    <xf numFmtId="9" fontId="5" fillId="0" borderId="0" xfId="0" applyNumberFormat="1" applyFont="1"/>
    <xf numFmtId="3" fontId="5" fillId="0" borderId="0" xfId="2" applyNumberFormat="1"/>
    <xf numFmtId="0" fontId="21" fillId="0" borderId="0" xfId="0" applyFont="1"/>
    <xf numFmtId="0" fontId="22" fillId="0" borderId="0" xfId="0" applyFont="1"/>
    <xf numFmtId="0" fontId="20" fillId="0" borderId="0" xfId="1" applyFont="1"/>
    <xf numFmtId="0" fontId="4" fillId="0" borderId="0" xfId="0" applyFont="1"/>
    <xf numFmtId="0" fontId="3" fillId="0" borderId="0" xfId="0" applyFont="1"/>
    <xf numFmtId="0" fontId="2" fillId="0" borderId="0" xfId="0" applyFont="1"/>
    <xf numFmtId="3" fontId="1" fillId="0" borderId="0" xfId="0" applyNumberFormat="1" applyFont="1"/>
    <xf numFmtId="0" fontId="1" fillId="0" borderId="0" xfId="0" applyFont="1"/>
    <xf numFmtId="9" fontId="1" fillId="0" borderId="0" xfId="0" applyNumberFormat="1" applyFont="1"/>
    <xf numFmtId="4" fontId="1" fillId="0" borderId="0" xfId="0" applyNumberFormat="1" applyFont="1"/>
    <xf numFmtId="169" fontId="1" fillId="0" borderId="0" xfId="0" applyNumberFormat="1" applyFont="1"/>
  </cellXfs>
  <cellStyles count="4">
    <cellStyle name="Hyperlink" xfId="1" builtinId="8"/>
    <cellStyle name="Hyperlink 2" xfId="3" xr:uid="{8167C2B3-41E3-49A0-85D6-3E655CEE2A2F}"/>
    <cellStyle name="Normal" xfId="0" builtinId="0"/>
    <cellStyle name="Normal 2" xfId="2" xr:uid="{B0BB5EB7-AD62-4847-82AD-78D8E6650A1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25</xdr:col>
      <xdr:colOff>2198</xdr:colOff>
      <xdr:row>1</xdr:row>
      <xdr:rowOff>57883</xdr:rowOff>
    </xdr:from>
    <xdr:to>
      <xdr:col>25</xdr:col>
      <xdr:colOff>7327</xdr:colOff>
      <xdr:row>114</xdr:row>
      <xdr:rowOff>7327</xdr:rowOff>
    </xdr:to>
    <xdr:cxnSp macro="">
      <xdr:nvCxnSpPr>
        <xdr:cNvPr id="3" name="Straight Connector 2">
          <a:extLst>
            <a:ext uri="{FF2B5EF4-FFF2-40B4-BE49-F238E27FC236}">
              <a16:creationId xmlns:a16="http://schemas.microsoft.com/office/drawing/2014/main" id="{D27E734B-78F6-25CF-AF3A-9164F515D047}"/>
            </a:ext>
          </a:extLst>
        </xdr:cNvPr>
        <xdr:cNvCxnSpPr/>
      </xdr:nvCxnSpPr>
      <xdr:spPr>
        <a:xfrm>
          <a:off x="16245986" y="219075"/>
          <a:ext cx="5129" cy="1719702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632313</xdr:colOff>
      <xdr:row>1</xdr:row>
      <xdr:rowOff>0</xdr:rowOff>
    </xdr:from>
    <xdr:to>
      <xdr:col>8</xdr:col>
      <xdr:colOff>4396</xdr:colOff>
      <xdr:row>86</xdr:row>
      <xdr:rowOff>66675</xdr:rowOff>
    </xdr:to>
    <xdr:cxnSp macro="">
      <xdr:nvCxnSpPr>
        <xdr:cNvPr id="4" name="Straight Connector 3">
          <a:extLst>
            <a:ext uri="{FF2B5EF4-FFF2-40B4-BE49-F238E27FC236}">
              <a16:creationId xmlns:a16="http://schemas.microsoft.com/office/drawing/2014/main" id="{81F5E25C-17F0-4F8D-1774-386610D8C3FE}"/>
            </a:ext>
          </a:extLst>
        </xdr:cNvPr>
        <xdr:cNvCxnSpPr/>
      </xdr:nvCxnSpPr>
      <xdr:spPr>
        <a:xfrm flipH="1">
          <a:off x="5871063" y="0"/>
          <a:ext cx="9525" cy="11350137"/>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person displayName="Liam R" id="{CD58ED4A-AE3D-49F0-854E-D35C7D332244}" userId="be0b8782fa6c70c8"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6-03-02T03:18:09.99" personId="{CD58ED4A-AE3D-49F0-854E-D35C7D332244}" id="{B6688284-DA35-4372-A780-A5694C758617}">
    <text>Assumed year of complete transition of enterprise clients to ai tools/reduction in seats. AI tools will increase enterprise ARPU, decrease seats, ultimated lead to less revenue for enterprise clients (CC enterprise, marketing). However, Jevon’s paradox (as tools in an industry get more productive, more users will use the software) so I assume a normal growth rate afterwards to be conservative.</text>
  </threadedComment>
  <threadedComment ref="B15" dT="2026-03-02T03:05:41.51" personId="{CD58ED4A-AE3D-49F0-854E-D35C7D332244}" id="{930402CF-3C62-4243-A4C1-01A5F2FB1BBD}">
    <text>Millions; calculated through assuming the ARPU for enterprise and non-enterprise based on subscription pricing with the creative cloud revenue numbers and the total creative cloud seats to find x and y (enterprise seats and non-enterprise seats)</text>
  </threadedComment>
  <threadedComment ref="AA15" dT="2026-03-02T03:14:55.31" personId="{CD58ED4A-AE3D-49F0-854E-D35C7D332244}" id="{706AA5D0-3B68-4316-9AB5-E7BDFD5EF801}">
    <text>Non-enterprise is likely mostly more tied to the art industry/highly elastic many reasons why seats wouldn’t decrease for non-enterprise clients</text>
  </threadedComment>
  <threadedComment ref="AA16" dT="2026-03-02T03:12:15.85" personId="{CD58ED4A-AE3D-49F0-854E-D35C7D332244}" id="{3BD375D7-0B10-42FC-9699-90B801AF29CC}">
    <text>Likely small increase in ARPU due to user gen tokens</text>
  </threadedComment>
  <threadedComment ref="B17" dT="2026-03-02T02:49:18.15" personId="{CD58ED4A-AE3D-49F0-854E-D35C7D332244}" id="{0C61AB74-6410-4899-92DB-71CC8802C6FA}">
    <text>millions</text>
  </threadedComment>
  <threadedComment ref="AA17" dT="2026-03-02T03:13:44.29" personId="{CD58ED4A-AE3D-49F0-854E-D35C7D332244}" id="{9110625B-A20F-4814-80C6-6F1F6BAF5A5E}">
    <text>50% decrease in seats as companies transition to ai -&gt; 100% increased productivity</text>
  </threadedComment>
  <threadedComment ref="AA18" dT="2026-03-02T03:11:40.77" personId="{CD58ED4A-AE3D-49F0-854E-D35C7D332244}" id="{E13E47F7-F728-4330-AB6F-377167A8CC30}">
    <text>Assumed, yet to be conclusively calcuated with research. Assuming a 100% price increase for generative ai tokens. This 100% price increase is justified in the model through an assumed 100% increase in productivity which would let companies reduce seats by 50% which the cost of a human assumed to be ~60k/year vs previous 480/year software license will easily let adobe charge a lot more. The highest firefly tier is currently 200/month for 50k tokens, not everyone is likely to use this much and to be conservative I use a lot less ARPU for enterprise deals and etc.</text>
  </threadedComment>
  <threadedComment ref="AA20" dT="2026-03-02T03:32:55.66" personId="{CD58ED4A-AE3D-49F0-854E-D35C7D332244}" id="{47EEF720-4C0B-45BB-8636-3C393FD966F1}">
    <text>Not assumed a 50% drop as the others, currently 25% drop due to the nature of the software -&gt; more ai compute being used, more storage and use of enterprise systems. Even though still less due to less people.</text>
  </threadedComment>
  <threadedComment ref="X21" dT="2026-02-28T07:47:32.23" personId="{CD58ED4A-AE3D-49F0-854E-D35C7D332244}" id="{A1AC085D-6825-4B37-8D01-4B2B2237006B}">
    <text>From Q424 end of year segments</text>
  </threadedComment>
  <threadedComment ref="Y22" dT="2026-02-28T07:48:38.19" personId="{CD58ED4A-AE3D-49F0-854E-D35C7D332244}" id="{94532EAC-8F13-4889-AAA0-70FC0C11077E}">
    <text>Seperated out from creative&amp;marketing using previous q424 segements to estimate current creative cloud only vs marketing only</text>
  </threadedComment>
  <threadedComment ref="Z35" dT="2026-02-28T07:54:37.47" personId="{CD58ED4A-AE3D-49F0-854E-D35C7D332244}" id="{579D2475-8567-4E48-BB9B-9F5FA93F9BAE}">
    <text>26,000 guidance</text>
  </threadedComment>
  <threadedComment ref="Z44" dT="2026-03-02T04:38:57.44" personId="{CD58ED4A-AE3D-49F0-854E-D35C7D332244}" id="{0C8D69BF-FC7E-49A8-9710-5453D28F245F}">
    <text>Operating margin stable</text>
  </threadedComment>
  <threadedComment ref="Z73" dT="2026-03-02T04:37:17.19" personId="{CD58ED4A-AE3D-49F0-854E-D35C7D332244}" id="{039CF15E-A2F2-4AB9-BED3-79C4EA0446D8}">
    <text>Dpo from cogs</text>
  </threadedComment>
  <threadedComment ref="Z74" dT="2026-03-02T04:36:57.79" personId="{CD58ED4A-AE3D-49F0-854E-D35C7D332244}" id="{8DBC8CD6-1AF2-4E50-B99B-EDC1B76D28A6}">
    <text>Percent of sg&amp;a</text>
  </threadedComment>
  <threadedComment ref="Z75" dT="2026-03-02T04:37:24.16" personId="{CD58ED4A-AE3D-49F0-854E-D35C7D332244}" id="{F007FFDD-AFCC-4115-9860-68DC6499D0AF}">
    <text>Percent of rev</text>
  </threadedComment>
</ThreadedComment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doi.org/10.1093/pnasnexus/pgae0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5A162-EAE9-4CC5-AE4B-8B686CFC5399}">
  <dimension ref="A1:L75"/>
  <sheetViews>
    <sheetView tabSelected="1" zoomScale="115" zoomScaleNormal="115" workbookViewId="0">
      <selection activeCell="D9" sqref="D9"/>
    </sheetView>
  </sheetViews>
  <sheetFormatPr defaultRowHeight="12.75" x14ac:dyDescent="0.2"/>
  <cols>
    <col min="1" max="1" width="3" style="2" customWidth="1"/>
    <col min="2" max="16384" width="9.140625" style="2"/>
  </cols>
  <sheetData>
    <row r="1" spans="1:12" x14ac:dyDescent="0.2">
      <c r="A1" s="1"/>
    </row>
    <row r="2" spans="1:12" x14ac:dyDescent="0.2">
      <c r="J2" s="2" t="s">
        <v>0</v>
      </c>
      <c r="K2" s="3">
        <v>260</v>
      </c>
    </row>
    <row r="3" spans="1:12" x14ac:dyDescent="0.2">
      <c r="A3" s="24"/>
      <c r="B3" s="32" t="s">
        <v>160</v>
      </c>
      <c r="F3" s="1" t="s">
        <v>150</v>
      </c>
      <c r="G3" s="1" t="s">
        <v>142</v>
      </c>
      <c r="J3" s="2" t="s">
        <v>1</v>
      </c>
      <c r="K3" s="4">
        <v>410.5</v>
      </c>
      <c r="L3" s="23" t="s">
        <v>46</v>
      </c>
    </row>
    <row r="4" spans="1:12" x14ac:dyDescent="0.2">
      <c r="B4" s="32" t="s">
        <v>161</v>
      </c>
      <c r="F4" s="12" t="s">
        <v>73</v>
      </c>
      <c r="G4" s="1" t="s">
        <v>143</v>
      </c>
      <c r="J4" s="2" t="s">
        <v>2</v>
      </c>
      <c r="K4" s="4">
        <f>K3*K2</f>
        <v>106730</v>
      </c>
      <c r="L4" s="23"/>
    </row>
    <row r="5" spans="1:12" x14ac:dyDescent="0.2">
      <c r="B5" s="32" t="s">
        <v>162</v>
      </c>
      <c r="F5" s="34" t="s">
        <v>146</v>
      </c>
      <c r="G5" s="32" t="s">
        <v>148</v>
      </c>
      <c r="J5" s="2" t="s">
        <v>3</v>
      </c>
      <c r="K5" s="4">
        <f>5431+1164</f>
        <v>6595</v>
      </c>
      <c r="L5" s="23" t="s">
        <v>46</v>
      </c>
    </row>
    <row r="6" spans="1:12" x14ac:dyDescent="0.2">
      <c r="B6" s="32" t="s">
        <v>165</v>
      </c>
      <c r="F6" s="34" t="s">
        <v>147</v>
      </c>
      <c r="G6" s="32" t="s">
        <v>149</v>
      </c>
      <c r="J6" s="2" t="s">
        <v>4</v>
      </c>
      <c r="K6" s="4">
        <f>6210+469+125+361+508</f>
        <v>7673</v>
      </c>
      <c r="L6" s="23" t="s">
        <v>46</v>
      </c>
    </row>
    <row r="7" spans="1:12" x14ac:dyDescent="0.2">
      <c r="F7" s="12" t="s">
        <v>74</v>
      </c>
      <c r="G7" s="1" t="s">
        <v>144</v>
      </c>
      <c r="J7" s="2" t="s">
        <v>5</v>
      </c>
      <c r="K7" s="4">
        <f>K4+K6-K5</f>
        <v>107808</v>
      </c>
    </row>
    <row r="8" spans="1:12" x14ac:dyDescent="0.2">
      <c r="F8" s="1" t="s">
        <v>77</v>
      </c>
      <c r="G8" s="1" t="s">
        <v>145</v>
      </c>
      <c r="K8" s="3" t="e">
        <f>K2/(1.1*4*Model!G51)</f>
        <v>#DIV/0!</v>
      </c>
    </row>
    <row r="9" spans="1:12" x14ac:dyDescent="0.2">
      <c r="J9" s="32" t="s">
        <v>60</v>
      </c>
    </row>
    <row r="10" spans="1:12" x14ac:dyDescent="0.2">
      <c r="B10" s="32" t="s">
        <v>180</v>
      </c>
      <c r="F10" s="32" t="s">
        <v>158</v>
      </c>
      <c r="J10" s="17"/>
    </row>
    <row r="11" spans="1:12" x14ac:dyDescent="0.2">
      <c r="A11" s="24"/>
      <c r="B11" s="43" t="s">
        <v>244</v>
      </c>
      <c r="F11" s="41" t="s">
        <v>202</v>
      </c>
    </row>
    <row r="12" spans="1:12" x14ac:dyDescent="0.2">
      <c r="B12" s="43" t="s">
        <v>243</v>
      </c>
      <c r="F12" s="32" t="s">
        <v>159</v>
      </c>
    </row>
    <row r="13" spans="1:12" x14ac:dyDescent="0.2">
      <c r="F13" s="32" t="s">
        <v>164</v>
      </c>
    </row>
    <row r="14" spans="1:12" x14ac:dyDescent="0.2">
      <c r="B14" s="32" t="s">
        <v>181</v>
      </c>
    </row>
    <row r="15" spans="1:12" x14ac:dyDescent="0.2">
      <c r="B15" s="32" t="s">
        <v>182</v>
      </c>
      <c r="F15" s="32" t="s">
        <v>166</v>
      </c>
    </row>
    <row r="16" spans="1:12" x14ac:dyDescent="0.2">
      <c r="F16" s="32" t="s">
        <v>167</v>
      </c>
    </row>
    <row r="17" spans="2:6" x14ac:dyDescent="0.2">
      <c r="B17" s="32" t="s">
        <v>183</v>
      </c>
      <c r="F17" s="32" t="s">
        <v>172</v>
      </c>
    </row>
    <row r="18" spans="2:6" x14ac:dyDescent="0.2">
      <c r="F18" s="32" t="s">
        <v>168</v>
      </c>
    </row>
    <row r="19" spans="2:6" x14ac:dyDescent="0.2">
      <c r="B19" s="32" t="s">
        <v>184</v>
      </c>
      <c r="F19" s="32" t="s">
        <v>169</v>
      </c>
    </row>
    <row r="20" spans="2:6" x14ac:dyDescent="0.2">
      <c r="F20" s="32" t="s">
        <v>170</v>
      </c>
    </row>
    <row r="21" spans="2:6" x14ac:dyDescent="0.2">
      <c r="B21" s="39" t="s">
        <v>189</v>
      </c>
      <c r="F21" s="32" t="s">
        <v>171</v>
      </c>
    </row>
    <row r="22" spans="2:6" x14ac:dyDescent="0.2">
      <c r="F22" s="32"/>
    </row>
    <row r="23" spans="2:6" x14ac:dyDescent="0.2">
      <c r="B23" s="40" t="s">
        <v>195</v>
      </c>
      <c r="F23" s="43" t="s">
        <v>245</v>
      </c>
    </row>
    <row r="25" spans="2:6" x14ac:dyDescent="0.2">
      <c r="B25" s="40" t="s">
        <v>196</v>
      </c>
      <c r="F25" s="43" t="s">
        <v>242</v>
      </c>
    </row>
    <row r="26" spans="2:6" x14ac:dyDescent="0.2">
      <c r="F26" s="32"/>
    </row>
    <row r="27" spans="2:6" x14ac:dyDescent="0.2">
      <c r="B27" s="43" t="s">
        <v>247</v>
      </c>
      <c r="F27" s="41" t="s">
        <v>188</v>
      </c>
    </row>
    <row r="28" spans="2:6" x14ac:dyDescent="0.2">
      <c r="B28" s="43" t="s">
        <v>246</v>
      </c>
      <c r="F28" s="32" t="s">
        <v>173</v>
      </c>
    </row>
    <row r="29" spans="2:6" x14ac:dyDescent="0.2">
      <c r="F29" s="32" t="s">
        <v>174</v>
      </c>
    </row>
    <row r="30" spans="2:6" x14ac:dyDescent="0.2">
      <c r="B30" s="43" t="s">
        <v>248</v>
      </c>
      <c r="F30" s="32"/>
    </row>
    <row r="31" spans="2:6" x14ac:dyDescent="0.2">
      <c r="B31" s="43" t="s">
        <v>249</v>
      </c>
      <c r="F31" s="32" t="s">
        <v>157</v>
      </c>
    </row>
    <row r="32" spans="2:6" x14ac:dyDescent="0.2">
      <c r="F32" s="24" t="s">
        <v>66</v>
      </c>
    </row>
    <row r="33" spans="2:6" x14ac:dyDescent="0.2">
      <c r="F33" s="24" t="s">
        <v>65</v>
      </c>
    </row>
    <row r="34" spans="2:6" x14ac:dyDescent="0.2">
      <c r="F34" s="32" t="s">
        <v>163</v>
      </c>
    </row>
    <row r="36" spans="2:6" ht="12" customHeight="1" x14ac:dyDescent="0.2">
      <c r="F36" s="41" t="s">
        <v>201</v>
      </c>
    </row>
    <row r="37" spans="2:6" x14ac:dyDescent="0.2">
      <c r="F37" s="21" t="s">
        <v>63</v>
      </c>
    </row>
    <row r="38" spans="2:6" x14ac:dyDescent="0.2">
      <c r="F38" s="21" t="s">
        <v>64</v>
      </c>
    </row>
    <row r="39" spans="2:6" x14ac:dyDescent="0.2">
      <c r="F39" s="21" t="s">
        <v>62</v>
      </c>
    </row>
    <row r="40" spans="2:6" x14ac:dyDescent="0.2">
      <c r="F40" s="43" t="s">
        <v>250</v>
      </c>
    </row>
    <row r="41" spans="2:6" x14ac:dyDescent="0.2">
      <c r="F41" s="21"/>
    </row>
    <row r="42" spans="2:6" x14ac:dyDescent="0.2">
      <c r="F42" s="32" t="s">
        <v>151</v>
      </c>
    </row>
    <row r="43" spans="2:6" x14ac:dyDescent="0.2">
      <c r="F43" s="41" t="s">
        <v>200</v>
      </c>
    </row>
    <row r="44" spans="2:6" x14ac:dyDescent="0.2">
      <c r="B44" s="24"/>
      <c r="F44" s="29" t="s">
        <v>78</v>
      </c>
    </row>
    <row r="45" spans="2:6" x14ac:dyDescent="0.2">
      <c r="C45" s="24"/>
      <c r="F45" s="29" t="s">
        <v>79</v>
      </c>
    </row>
    <row r="46" spans="2:6" x14ac:dyDescent="0.2">
      <c r="C46" s="24"/>
    </row>
    <row r="47" spans="2:6" x14ac:dyDescent="0.2">
      <c r="C47" s="24"/>
      <c r="F47" s="40" t="s">
        <v>193</v>
      </c>
    </row>
    <row r="48" spans="2:6" x14ac:dyDescent="0.2">
      <c r="B48" s="24"/>
      <c r="F48" s="40" t="s">
        <v>190</v>
      </c>
    </row>
    <row r="49" spans="1:6" x14ac:dyDescent="0.2">
      <c r="C49" s="24"/>
      <c r="F49" s="40" t="s">
        <v>191</v>
      </c>
    </row>
    <row r="50" spans="1:6" x14ac:dyDescent="0.2">
      <c r="C50" s="24"/>
      <c r="F50" s="40" t="s">
        <v>192</v>
      </c>
    </row>
    <row r="51" spans="1:6" x14ac:dyDescent="0.2">
      <c r="F51" s="40" t="s">
        <v>194</v>
      </c>
    </row>
    <row r="52" spans="1:6" x14ac:dyDescent="0.2">
      <c r="C52" s="27"/>
    </row>
    <row r="53" spans="1:6" x14ac:dyDescent="0.2">
      <c r="C53" s="27"/>
      <c r="E53" s="25"/>
    </row>
    <row r="54" spans="1:6" x14ac:dyDescent="0.2">
      <c r="C54" s="27"/>
      <c r="E54" s="25"/>
    </row>
    <row r="55" spans="1:6" x14ac:dyDescent="0.2">
      <c r="C55" s="26"/>
    </row>
    <row r="56" spans="1:6" x14ac:dyDescent="0.2">
      <c r="C56" s="26"/>
    </row>
    <row r="57" spans="1:6" x14ac:dyDescent="0.2">
      <c r="B57" s="27"/>
      <c r="C57" s="26"/>
    </row>
    <row r="58" spans="1:6" x14ac:dyDescent="0.2">
      <c r="C58" s="26"/>
    </row>
    <row r="59" spans="1:6" x14ac:dyDescent="0.2">
      <c r="C59" s="27"/>
    </row>
    <row r="60" spans="1:6" x14ac:dyDescent="0.2">
      <c r="C60" s="27"/>
    </row>
    <row r="61" spans="1:6" x14ac:dyDescent="0.2">
      <c r="C61" s="27"/>
      <c r="D61" s="27"/>
    </row>
    <row r="62" spans="1:6" x14ac:dyDescent="0.2">
      <c r="C62" s="27"/>
      <c r="D62" s="27"/>
    </row>
    <row r="63" spans="1:6" x14ac:dyDescent="0.2">
      <c r="A63" s="27"/>
      <c r="C63" s="27"/>
      <c r="D63" s="27"/>
    </row>
    <row r="64" spans="1:6" x14ac:dyDescent="0.2">
      <c r="C64" s="27"/>
      <c r="D64" s="27"/>
    </row>
    <row r="65" spans="3:5" x14ac:dyDescent="0.2">
      <c r="C65" s="27"/>
    </row>
    <row r="66" spans="3:5" x14ac:dyDescent="0.2">
      <c r="C66" s="27"/>
    </row>
    <row r="67" spans="3:5" x14ac:dyDescent="0.2">
      <c r="C67" s="27"/>
    </row>
    <row r="68" spans="3:5" x14ac:dyDescent="0.2">
      <c r="C68" s="27"/>
      <c r="D68" s="4"/>
      <c r="E68" s="26"/>
    </row>
    <row r="69" spans="3:5" x14ac:dyDescent="0.2">
      <c r="C69" s="27"/>
      <c r="D69" s="4"/>
      <c r="E69" s="27"/>
    </row>
    <row r="70" spans="3:5" x14ac:dyDescent="0.2">
      <c r="C70" s="27"/>
      <c r="D70" s="4"/>
      <c r="E70" s="27"/>
    </row>
    <row r="71" spans="3:5" x14ac:dyDescent="0.2">
      <c r="C71" s="27"/>
      <c r="D71" s="4"/>
      <c r="E71" s="27"/>
    </row>
    <row r="72" spans="3:5" x14ac:dyDescent="0.2">
      <c r="C72" s="27"/>
      <c r="D72" s="4"/>
    </row>
    <row r="73" spans="3:5" x14ac:dyDescent="0.2">
      <c r="C73" s="27"/>
    </row>
    <row r="74" spans="3:5" x14ac:dyDescent="0.2">
      <c r="C74" s="27"/>
    </row>
    <row r="75" spans="3:5" x14ac:dyDescent="0.2">
      <c r="C75" s="2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1F5702-5366-4A93-A101-38C235480BE9}">
  <dimension ref="A1:EA131"/>
  <sheetViews>
    <sheetView zoomScale="130" zoomScaleNormal="130" workbookViewId="0">
      <pane xSplit="2" ySplit="2" topLeftCell="AF102" activePane="bottomRight" state="frozen"/>
      <selection pane="topRight" activeCell="B1" sqref="B1"/>
      <selection pane="bottomLeft" activeCell="A2" sqref="A2"/>
      <selection pane="bottomRight" activeCell="AH121" sqref="AH121"/>
    </sheetView>
  </sheetViews>
  <sheetFormatPr defaultRowHeight="12.75" x14ac:dyDescent="0.2"/>
  <cols>
    <col min="1" max="1" width="5" style="6" customWidth="1"/>
    <col min="2" max="2" width="27.85546875" style="6" customWidth="1"/>
    <col min="3" max="6" width="9.140625" style="7"/>
    <col min="7" max="7" width="9.140625" style="6"/>
    <col min="8" max="8" width="9.5703125" style="7" bestFit="1" customWidth="1"/>
    <col min="9" max="18" width="9.140625" style="7"/>
    <col min="19" max="24" width="9.140625" style="6"/>
    <col min="25" max="25" width="9.5703125" style="6" bestFit="1" customWidth="1"/>
    <col min="26" max="32" width="9.140625" style="6"/>
    <col min="33" max="33" width="10.7109375" style="6" bestFit="1" customWidth="1"/>
    <col min="34" max="16384" width="9.140625" style="6"/>
  </cols>
  <sheetData>
    <row r="1" spans="1:34" x14ac:dyDescent="0.2">
      <c r="A1" s="5" t="s">
        <v>42</v>
      </c>
    </row>
    <row r="2" spans="1:34" x14ac:dyDescent="0.2">
      <c r="C2" s="7" t="s">
        <v>43</v>
      </c>
      <c r="D2" s="7" t="s">
        <v>44</v>
      </c>
      <c r="E2" s="7" t="s">
        <v>45</v>
      </c>
      <c r="F2" s="7" t="s">
        <v>46</v>
      </c>
      <c r="G2" s="6" t="s">
        <v>28</v>
      </c>
      <c r="H2" s="7" t="s">
        <v>47</v>
      </c>
      <c r="I2" s="7" t="s">
        <v>48</v>
      </c>
      <c r="J2" s="7" t="s">
        <v>46</v>
      </c>
      <c r="L2" s="7">
        <v>2012</v>
      </c>
      <c r="M2" s="7">
        <f>L2+1</f>
        <v>2013</v>
      </c>
      <c r="N2" s="7">
        <f t="shared" ref="N2:R2" si="0">M2+1</f>
        <v>2014</v>
      </c>
      <c r="O2" s="7">
        <f t="shared" si="0"/>
        <v>2015</v>
      </c>
      <c r="P2" s="7">
        <f t="shared" si="0"/>
        <v>2016</v>
      </c>
      <c r="Q2" s="7">
        <f t="shared" si="0"/>
        <v>2017</v>
      </c>
      <c r="R2" s="7">
        <f t="shared" si="0"/>
        <v>2018</v>
      </c>
      <c r="S2" s="8">
        <v>2019</v>
      </c>
      <c r="T2" s="8">
        <v>2020</v>
      </c>
      <c r="U2" s="8">
        <f>T2+1</f>
        <v>2021</v>
      </c>
      <c r="V2" s="8">
        <f t="shared" ref="V2:AC2" si="1">U2+1</f>
        <v>2022</v>
      </c>
      <c r="W2" s="8">
        <f t="shared" si="1"/>
        <v>2023</v>
      </c>
      <c r="X2" s="8">
        <f t="shared" si="1"/>
        <v>2024</v>
      </c>
      <c r="Y2" s="8">
        <f t="shared" si="1"/>
        <v>2025</v>
      </c>
      <c r="Z2" s="8">
        <f t="shared" si="1"/>
        <v>2026</v>
      </c>
      <c r="AA2" s="8">
        <f t="shared" si="1"/>
        <v>2027</v>
      </c>
      <c r="AB2" s="8">
        <f t="shared" si="1"/>
        <v>2028</v>
      </c>
      <c r="AC2" s="8">
        <f t="shared" si="1"/>
        <v>2029</v>
      </c>
      <c r="AD2" s="8">
        <f t="shared" ref="AD2" si="2">AC2+1</f>
        <v>2030</v>
      </c>
      <c r="AE2" s="33" t="s">
        <v>115</v>
      </c>
      <c r="AF2" s="8"/>
      <c r="AG2" s="8"/>
      <c r="AH2" s="8"/>
    </row>
    <row r="3" spans="1:34" x14ac:dyDescent="0.2">
      <c r="B3" s="26" t="s">
        <v>69</v>
      </c>
      <c r="S3" s="8"/>
      <c r="T3" s="8"/>
      <c r="U3" s="8"/>
      <c r="V3" s="8"/>
      <c r="W3" s="8"/>
      <c r="X3" s="8"/>
      <c r="Y3" s="8">
        <f>Z3*0.92</f>
        <v>6808</v>
      </c>
      <c r="Z3" s="8">
        <v>7400</v>
      </c>
      <c r="AA3" s="14"/>
      <c r="AB3" s="8"/>
      <c r="AC3" s="8"/>
      <c r="AD3" s="8"/>
      <c r="AE3" s="8"/>
      <c r="AG3" s="8"/>
      <c r="AH3" s="8"/>
    </row>
    <row r="4" spans="1:34" x14ac:dyDescent="0.2">
      <c r="B4" s="26" t="s">
        <v>68</v>
      </c>
      <c r="S4" s="8"/>
      <c r="T4" s="8"/>
      <c r="U4" s="8"/>
      <c r="V4" s="8"/>
      <c r="W4" s="8"/>
      <c r="X4" s="8"/>
      <c r="Y4" s="8">
        <f>Z4*0.92</f>
        <v>16468</v>
      </c>
      <c r="Z4" s="8">
        <v>17900</v>
      </c>
      <c r="AA4" s="14"/>
      <c r="AB4" s="8"/>
      <c r="AC4" s="8"/>
      <c r="AD4" s="8"/>
      <c r="AE4" s="8"/>
      <c r="AG4" s="8"/>
      <c r="AH4" s="8"/>
    </row>
    <row r="5" spans="1:34" x14ac:dyDescent="0.2">
      <c r="S5" s="8"/>
      <c r="T5" s="8"/>
      <c r="U5" s="8"/>
      <c r="V5" s="8"/>
      <c r="W5" s="8"/>
      <c r="X5" s="8"/>
      <c r="Y5" s="14"/>
      <c r="Z5" s="14"/>
      <c r="AA5" s="12"/>
      <c r="AB5" s="8"/>
      <c r="AC5" s="8"/>
      <c r="AD5" s="8"/>
      <c r="AE5" s="8"/>
      <c r="AG5" s="8"/>
      <c r="AH5" s="8"/>
    </row>
    <row r="6" spans="1:34" x14ac:dyDescent="0.2">
      <c r="B6" s="42" t="s">
        <v>251</v>
      </c>
      <c r="S6" s="8"/>
      <c r="T6" s="8"/>
      <c r="U6" s="8"/>
      <c r="V6" s="8"/>
      <c r="W6" s="8"/>
      <c r="X6" s="8"/>
      <c r="Y6" s="14"/>
      <c r="Z6" s="14"/>
      <c r="AA6" s="12"/>
      <c r="AB6" s="8"/>
      <c r="AC6" s="8"/>
      <c r="AD6" s="8"/>
      <c r="AE6" s="8"/>
      <c r="AG6" s="8"/>
      <c r="AH6" s="8"/>
    </row>
    <row r="7" spans="1:34" x14ac:dyDescent="0.2">
      <c r="B7" s="42" t="s">
        <v>252</v>
      </c>
      <c r="S7" s="8"/>
      <c r="T7" s="8"/>
      <c r="U7" s="8"/>
      <c r="V7" s="8"/>
      <c r="W7" s="8"/>
      <c r="X7" s="8"/>
      <c r="Y7" s="8">
        <v>25660</v>
      </c>
      <c r="Z7" s="14"/>
      <c r="AA7" s="12"/>
      <c r="AB7" s="8"/>
      <c r="AC7" s="8"/>
      <c r="AD7" s="8"/>
      <c r="AE7" s="8"/>
      <c r="AG7" s="8"/>
      <c r="AH7" s="8"/>
    </row>
    <row r="8" spans="1:34" x14ac:dyDescent="0.2">
      <c r="B8" s="42" t="s">
        <v>253</v>
      </c>
      <c r="S8" s="8"/>
      <c r="T8" s="8"/>
      <c r="U8" s="8"/>
      <c r="V8" s="8"/>
      <c r="W8" s="8"/>
      <c r="X8" s="8"/>
      <c r="Y8" s="8"/>
      <c r="Z8" s="14"/>
      <c r="AA8" s="12"/>
      <c r="AB8" s="8"/>
      <c r="AC8" s="8"/>
      <c r="AD8" s="8"/>
      <c r="AE8" s="8"/>
      <c r="AG8" s="8"/>
      <c r="AH8" s="8"/>
    </row>
    <row r="9" spans="1:34" x14ac:dyDescent="0.2">
      <c r="B9" s="42" t="s">
        <v>256</v>
      </c>
      <c r="S9" s="8"/>
      <c r="T9" s="8"/>
      <c r="U9" s="8"/>
      <c r="V9" s="8"/>
      <c r="W9" s="8"/>
      <c r="X9" s="8"/>
      <c r="Y9" s="8"/>
      <c r="Z9" s="14"/>
      <c r="AA9" s="14"/>
      <c r="AB9" s="14"/>
      <c r="AC9" s="14"/>
      <c r="AD9" s="14"/>
      <c r="AE9" s="8"/>
      <c r="AG9" s="8"/>
      <c r="AH9" s="8"/>
    </row>
    <row r="10" spans="1:34" x14ac:dyDescent="0.2">
      <c r="B10" s="42" t="s">
        <v>254</v>
      </c>
      <c r="S10" s="8"/>
      <c r="T10" s="8"/>
      <c r="U10" s="8"/>
      <c r="V10" s="8"/>
      <c r="W10" s="8"/>
      <c r="X10" s="8"/>
      <c r="Y10" s="8"/>
      <c r="Z10" s="14"/>
      <c r="AA10" s="14">
        <f>-(AA17/Z17-1)</f>
        <v>0.5</v>
      </c>
      <c r="AB10" s="14"/>
      <c r="AC10" s="14"/>
      <c r="AD10" s="14"/>
      <c r="AE10" s="8"/>
      <c r="AG10" s="8"/>
      <c r="AH10" s="8"/>
    </row>
    <row r="11" spans="1:34" x14ac:dyDescent="0.2">
      <c r="B11" s="42" t="s">
        <v>255</v>
      </c>
      <c r="S11" s="8"/>
      <c r="T11" s="8"/>
      <c r="U11" s="8"/>
      <c r="V11" s="8"/>
      <c r="W11" s="8"/>
      <c r="X11" s="8"/>
      <c r="Y11" s="8"/>
      <c r="Z11" s="14"/>
      <c r="AA11" s="14"/>
      <c r="AB11" s="14"/>
      <c r="AC11" s="14"/>
      <c r="AD11" s="14"/>
      <c r="AE11" s="8"/>
      <c r="AG11" s="8"/>
      <c r="AH11" s="8"/>
    </row>
    <row r="12" spans="1:34" x14ac:dyDescent="0.2">
      <c r="S12" s="8"/>
      <c r="T12" s="8"/>
      <c r="U12" s="8"/>
      <c r="V12" s="8"/>
      <c r="W12" s="8"/>
      <c r="X12" s="8"/>
      <c r="Y12" s="14"/>
      <c r="Z12" s="14"/>
      <c r="AA12" s="12"/>
      <c r="AB12" s="8"/>
      <c r="AC12" s="8"/>
      <c r="AD12" s="8"/>
      <c r="AE12" s="8"/>
      <c r="AG12" s="8"/>
      <c r="AH12" s="8"/>
    </row>
    <row r="13" spans="1:34" x14ac:dyDescent="0.2">
      <c r="B13" s="31" t="s">
        <v>108</v>
      </c>
      <c r="S13" s="8"/>
      <c r="T13" s="8"/>
      <c r="U13" s="8"/>
      <c r="V13" s="8"/>
      <c r="W13" s="8"/>
      <c r="X13" s="8"/>
      <c r="Y13" s="6">
        <v>40</v>
      </c>
      <c r="Z13" s="8">
        <f>Z15+Z17</f>
        <v>43.918333333333337</v>
      </c>
      <c r="AA13" s="8">
        <f t="shared" ref="AA13:AD13" si="3">AA15+AA17</f>
        <v>43.588763333333333</v>
      </c>
      <c r="AB13" s="8">
        <f t="shared" si="3"/>
        <v>47.693202033333336</v>
      </c>
      <c r="AC13" s="8">
        <f t="shared" si="3"/>
        <v>52.192443216333338</v>
      </c>
      <c r="AD13" s="8">
        <f t="shared" si="3"/>
        <v>57.125575525803342</v>
      </c>
      <c r="AE13" s="8"/>
      <c r="AG13" s="8"/>
      <c r="AH13" s="8"/>
    </row>
    <row r="14" spans="1:34" x14ac:dyDescent="0.2">
      <c r="B14" s="31" t="s">
        <v>107</v>
      </c>
      <c r="S14" s="8"/>
      <c r="T14" s="8"/>
      <c r="U14" s="8"/>
      <c r="V14" s="8"/>
      <c r="W14" s="8"/>
      <c r="X14" s="8"/>
      <c r="Y14" s="6">
        <f t="shared" ref="Y14:AD14" si="4">Y22/Y13/12</f>
        <v>22.162500000000005</v>
      </c>
      <c r="Z14" s="6">
        <f t="shared" si="4"/>
        <v>22.4367576183067</v>
      </c>
      <c r="AA14" s="6">
        <f t="shared" si="4"/>
        <v>22.993453741021479</v>
      </c>
      <c r="AB14" s="6">
        <f t="shared" si="4"/>
        <v>23.286427104582305</v>
      </c>
      <c r="AC14" s="6">
        <f t="shared" si="4"/>
        <v>23.590464082279681</v>
      </c>
      <c r="AD14" s="6">
        <f t="shared" si="4"/>
        <v>23.905880030565324</v>
      </c>
      <c r="AE14" s="8"/>
      <c r="AG14" s="8"/>
      <c r="AH14" s="8"/>
    </row>
    <row r="15" spans="1:34" x14ac:dyDescent="0.2">
      <c r="B15" s="31" t="s">
        <v>110</v>
      </c>
      <c r="S15" s="8"/>
      <c r="T15" s="8"/>
      <c r="U15" s="8"/>
      <c r="V15" s="8"/>
      <c r="W15" s="8"/>
      <c r="X15" s="8"/>
      <c r="Y15" s="8">
        <f>Y13-Y17</f>
        <v>33.633333333333333</v>
      </c>
      <c r="Z15" s="8">
        <f>Y15*1.09</f>
        <v>36.660333333333334</v>
      </c>
      <c r="AA15" s="8">
        <f>Z15*1.09</f>
        <v>39.959763333333335</v>
      </c>
      <c r="AB15" s="8">
        <f t="shared" ref="AB15:AD15" si="5">AA15*1.09</f>
        <v>43.556142033333337</v>
      </c>
      <c r="AC15" s="8">
        <f t="shared" si="5"/>
        <v>47.47619481633334</v>
      </c>
      <c r="AD15" s="8">
        <f t="shared" si="5"/>
        <v>51.749052349803343</v>
      </c>
      <c r="AE15" s="8"/>
      <c r="AG15" s="8"/>
      <c r="AH15" s="8"/>
    </row>
    <row r="16" spans="1:34" x14ac:dyDescent="0.2">
      <c r="B16" s="31" t="s">
        <v>109</v>
      </c>
      <c r="S16" s="8"/>
      <c r="T16" s="8"/>
      <c r="U16" s="8"/>
      <c r="V16" s="8"/>
      <c r="W16" s="8"/>
      <c r="X16" s="8"/>
      <c r="Y16" s="6">
        <f>'CC Model'!C4</f>
        <v>15</v>
      </c>
      <c r="Z16" s="6">
        <v>15</v>
      </c>
      <c r="AA16" s="6">
        <v>16</v>
      </c>
      <c r="AB16" s="6">
        <v>16</v>
      </c>
      <c r="AC16" s="6">
        <v>16</v>
      </c>
      <c r="AD16" s="6">
        <v>16</v>
      </c>
      <c r="AE16" s="8"/>
      <c r="AG16" s="8"/>
      <c r="AH16" s="8"/>
    </row>
    <row r="17" spans="1:35" x14ac:dyDescent="0.2">
      <c r="B17" s="31" t="s">
        <v>105</v>
      </c>
      <c r="S17" s="8"/>
      <c r="T17" s="8"/>
      <c r="U17" s="8"/>
      <c r="V17" s="8"/>
      <c r="W17" s="8"/>
      <c r="X17" s="8"/>
      <c r="Y17" s="6">
        <f>'CC Model'!C6</f>
        <v>6.3666666666666663</v>
      </c>
      <c r="Z17" s="6">
        <f>Y17*1.14</f>
        <v>7.2579999999999991</v>
      </c>
      <c r="AA17" s="6">
        <f>Z17*0.5</f>
        <v>3.6289999999999996</v>
      </c>
      <c r="AB17" s="33">
        <f>AA17*1.14</f>
        <v>4.1370599999999991</v>
      </c>
      <c r="AC17" s="33">
        <f t="shared" ref="AC17:AD17" si="6">AB17*1.14</f>
        <v>4.7162483999999987</v>
      </c>
      <c r="AD17" s="33">
        <f t="shared" si="6"/>
        <v>5.3765231759999983</v>
      </c>
      <c r="AE17" s="14"/>
      <c r="AG17" s="8"/>
      <c r="AH17" s="8"/>
    </row>
    <row r="18" spans="1:35" x14ac:dyDescent="0.2">
      <c r="B18" s="31" t="s">
        <v>106</v>
      </c>
      <c r="S18" s="8"/>
      <c r="T18" s="8"/>
      <c r="U18" s="8"/>
      <c r="V18" s="8"/>
      <c r="W18" s="8"/>
      <c r="X18" s="8"/>
      <c r="Y18" s="8">
        <f>'CC Model'!C5</f>
        <v>60</v>
      </c>
      <c r="Z18" s="8">
        <v>60</v>
      </c>
      <c r="AA18" s="8">
        <v>100</v>
      </c>
      <c r="AB18" s="8">
        <f>AA18</f>
        <v>100</v>
      </c>
      <c r="AC18" s="8">
        <f t="shared" ref="AC18:AD18" si="7">AB18</f>
        <v>100</v>
      </c>
      <c r="AD18" s="8">
        <f t="shared" si="7"/>
        <v>100</v>
      </c>
      <c r="AE18" s="8"/>
      <c r="AG18" s="8"/>
      <c r="AH18" s="8"/>
    </row>
    <row r="19" spans="1:35" x14ac:dyDescent="0.2">
      <c r="S19" s="8"/>
      <c r="T19" s="8"/>
      <c r="U19" s="8"/>
      <c r="V19" s="8"/>
      <c r="W19" s="8"/>
      <c r="X19" s="8"/>
      <c r="Y19" s="14"/>
      <c r="Z19" s="9"/>
      <c r="AA19" s="12"/>
      <c r="AC19" s="8"/>
      <c r="AD19" s="8"/>
      <c r="AE19" s="8"/>
      <c r="AF19" s="8"/>
      <c r="AG19" s="8"/>
      <c r="AH19" s="8"/>
    </row>
    <row r="20" spans="1:35" s="10" customFormat="1" x14ac:dyDescent="0.2">
      <c r="A20" s="6"/>
      <c r="B20" s="10" t="s">
        <v>70</v>
      </c>
      <c r="C20" s="1"/>
      <c r="D20" s="1"/>
      <c r="E20" s="1"/>
      <c r="F20" s="1"/>
      <c r="H20" s="1"/>
      <c r="I20" s="1"/>
      <c r="J20" s="1"/>
      <c r="K20" s="1"/>
      <c r="L20" s="1"/>
      <c r="M20" s="1"/>
      <c r="N20" s="1"/>
      <c r="O20" s="1"/>
      <c r="P20" s="1"/>
      <c r="Q20" s="1"/>
      <c r="R20" s="1"/>
      <c r="S20" s="28"/>
      <c r="T20" s="28"/>
      <c r="U20" s="28"/>
      <c r="V20" s="28"/>
      <c r="W20" s="28"/>
      <c r="X20" s="28">
        <v>5370</v>
      </c>
      <c r="Y20" s="28">
        <f>Y30</f>
        <v>5850</v>
      </c>
      <c r="Z20" s="28">
        <f>Y20*1.09</f>
        <v>6376.5000000000009</v>
      </c>
      <c r="AA20" s="28">
        <f>Z20*0.75</f>
        <v>4782.3750000000009</v>
      </c>
      <c r="AB20" s="28">
        <f t="shared" ref="AB20:AD20" si="8">AA20*1.09</f>
        <v>5212.7887500000015</v>
      </c>
      <c r="AC20" s="28">
        <f t="shared" si="8"/>
        <v>5681.9397375000017</v>
      </c>
      <c r="AD20" s="28">
        <f t="shared" si="8"/>
        <v>6193.314313875002</v>
      </c>
      <c r="AE20" s="12"/>
      <c r="AF20" s="28"/>
      <c r="AG20" s="28"/>
      <c r="AH20" s="28"/>
    </row>
    <row r="21" spans="1:35" x14ac:dyDescent="0.2">
      <c r="B21" s="26" t="s">
        <v>71</v>
      </c>
      <c r="S21" s="8"/>
      <c r="T21" s="8"/>
      <c r="U21" s="8"/>
      <c r="V21" s="8"/>
      <c r="W21" s="8"/>
      <c r="X21" s="8">
        <v>12680</v>
      </c>
      <c r="Y21" s="8">
        <f t="shared" ref="Y21:Z25" si="9">X21*1.1</f>
        <v>13948.000000000002</v>
      </c>
      <c r="Z21" s="30"/>
      <c r="AA21" s="8"/>
      <c r="AB21" s="8"/>
      <c r="AC21" s="8"/>
      <c r="AD21" s="8"/>
      <c r="AE21" s="8"/>
      <c r="AF21" s="8"/>
      <c r="AG21" s="8"/>
      <c r="AH21" s="8"/>
    </row>
    <row r="22" spans="1:35" s="10" customFormat="1" x14ac:dyDescent="0.2">
      <c r="A22" s="6"/>
      <c r="B22" s="10" t="s">
        <v>73</v>
      </c>
      <c r="C22" s="1"/>
      <c r="D22" s="1"/>
      <c r="E22" s="1"/>
      <c r="F22" s="1"/>
      <c r="H22" s="1"/>
      <c r="I22" s="1"/>
      <c r="J22" s="1"/>
      <c r="K22" s="1"/>
      <c r="L22" s="10">
        <f>L29-L27</f>
        <v>2600</v>
      </c>
      <c r="M22" s="10">
        <f>L22*1.1</f>
        <v>2860.0000000000005</v>
      </c>
      <c r="N22" s="10">
        <f>M22*1.1</f>
        <v>3146.0000000000009</v>
      </c>
      <c r="O22" s="10">
        <f>N22*1.12</f>
        <v>3523.5200000000013</v>
      </c>
      <c r="P22" s="10">
        <f t="shared" ref="P22:X22" si="10">O22*1.12</f>
        <v>3946.3424000000018</v>
      </c>
      <c r="Q22" s="10">
        <f t="shared" si="10"/>
        <v>4419.9034880000027</v>
      </c>
      <c r="R22" s="10">
        <f t="shared" si="10"/>
        <v>4950.2919065600036</v>
      </c>
      <c r="S22" s="10">
        <f t="shared" si="10"/>
        <v>5544.3269353472042</v>
      </c>
      <c r="T22" s="10">
        <f t="shared" si="10"/>
        <v>6209.6461675888695</v>
      </c>
      <c r="U22" s="10">
        <f t="shared" si="10"/>
        <v>6954.8037076995342</v>
      </c>
      <c r="V22" s="10">
        <f t="shared" si="10"/>
        <v>7789.3801526234793</v>
      </c>
      <c r="W22" s="10">
        <f t="shared" si="10"/>
        <v>8724.1057709382967</v>
      </c>
      <c r="X22" s="10">
        <f t="shared" si="10"/>
        <v>9770.9984634508928</v>
      </c>
      <c r="Y22" s="28">
        <f>Y21-Y26</f>
        <v>10638.000000000002</v>
      </c>
      <c r="Z22" s="28">
        <f>SUM(Z23:Z24)</f>
        <v>11824.619999999999</v>
      </c>
      <c r="AA22" s="28">
        <f>SUM(AA23:AA24)</f>
        <v>12027.074559999999</v>
      </c>
      <c r="AB22" s="28">
        <f t="shared" ref="AB22:AD22" si="11">SUM(AB23:AB24)</f>
        <v>13327.2512704</v>
      </c>
      <c r="AC22" s="28">
        <f t="shared" si="11"/>
        <v>14774.927484735999</v>
      </c>
      <c r="AD22" s="28">
        <f t="shared" si="11"/>
        <v>16387.645862362238</v>
      </c>
      <c r="AE22" s="28"/>
      <c r="AF22" s="28"/>
      <c r="AG22" s="28"/>
      <c r="AH22" s="28"/>
    </row>
    <row r="23" spans="1:35" s="10" customFormat="1" x14ac:dyDescent="0.2">
      <c r="A23" s="6"/>
      <c r="B23" s="31" t="s">
        <v>83</v>
      </c>
      <c r="C23" s="1"/>
      <c r="D23" s="1"/>
      <c r="E23" s="1"/>
      <c r="F23" s="1"/>
      <c r="H23" s="1"/>
      <c r="I23" s="1"/>
      <c r="J23" s="1"/>
      <c r="K23" s="1"/>
      <c r="Y23" s="33">
        <f>Y18*12*Y17</f>
        <v>4584</v>
      </c>
      <c r="Z23" s="33">
        <f>Z18*12*Z17</f>
        <v>5225.7599999999993</v>
      </c>
      <c r="AA23" s="33">
        <f>AA18*12*AA17</f>
        <v>4354.7999999999993</v>
      </c>
      <c r="AB23" s="33">
        <f>AB18*12*AB17</f>
        <v>4964.4719999999988</v>
      </c>
      <c r="AC23" s="33">
        <f>AC18*12*AC17</f>
        <v>5659.4980799999985</v>
      </c>
      <c r="AD23" s="33">
        <f>AD18*12*AD17</f>
        <v>6451.827811199998</v>
      </c>
      <c r="AE23" s="28"/>
      <c r="AF23" s="28"/>
      <c r="AG23" s="28"/>
      <c r="AH23" s="28"/>
    </row>
    <row r="24" spans="1:35" s="10" customFormat="1" x14ac:dyDescent="0.2">
      <c r="A24" s="6"/>
      <c r="B24" s="31" t="s">
        <v>80</v>
      </c>
      <c r="C24" s="1"/>
      <c r="D24" s="1"/>
      <c r="E24" s="1"/>
      <c r="F24" s="1"/>
      <c r="H24" s="1"/>
      <c r="I24" s="1"/>
      <c r="J24" s="1"/>
      <c r="K24" s="1"/>
      <c r="L24" s="32"/>
      <c r="M24" s="31"/>
      <c r="N24" s="31"/>
      <c r="O24" s="31"/>
      <c r="P24" s="31"/>
      <c r="Q24" s="31"/>
      <c r="R24" s="31"/>
      <c r="S24" s="31"/>
      <c r="T24" s="31"/>
      <c r="U24" s="31"/>
      <c r="V24" s="31"/>
      <c r="W24" s="31"/>
      <c r="X24" s="28"/>
      <c r="Y24" s="33">
        <f>Y16*12*Y15</f>
        <v>6054</v>
      </c>
      <c r="Z24" s="33">
        <f>Y24*1.09</f>
        <v>6598.8600000000006</v>
      </c>
      <c r="AA24" s="33">
        <f>AA16*12*AA15</f>
        <v>7672.2745599999998</v>
      </c>
      <c r="AB24" s="33">
        <f>AB16*12*AB15</f>
        <v>8362.7792704000003</v>
      </c>
      <c r="AC24" s="33">
        <f>AC16*12*AC15</f>
        <v>9115.4294047360017</v>
      </c>
      <c r="AD24" s="33">
        <f>AD16*12*AD15</f>
        <v>9935.8180511622413</v>
      </c>
      <c r="AE24" s="28"/>
      <c r="AF24" s="28"/>
      <c r="AG24" s="28"/>
      <c r="AH24" s="28"/>
    </row>
    <row r="25" spans="1:35" x14ac:dyDescent="0.2">
      <c r="B25" s="26" t="s">
        <v>72</v>
      </c>
      <c r="S25" s="8"/>
      <c r="T25" s="8"/>
      <c r="U25" s="8"/>
      <c r="V25" s="8"/>
      <c r="W25" s="8"/>
      <c r="X25" s="8">
        <v>3180</v>
      </c>
      <c r="Y25" s="8">
        <f t="shared" si="9"/>
        <v>3498.0000000000005</v>
      </c>
      <c r="Z25" s="8">
        <f t="shared" si="9"/>
        <v>3847.8000000000006</v>
      </c>
      <c r="AA25" s="8"/>
      <c r="AB25" s="8"/>
      <c r="AC25" s="8"/>
      <c r="AD25" s="8"/>
      <c r="AE25" s="8"/>
      <c r="AF25" s="8"/>
      <c r="AG25" s="8"/>
      <c r="AH25" s="8"/>
    </row>
    <row r="26" spans="1:35" x14ac:dyDescent="0.2">
      <c r="B26" s="26" t="s">
        <v>75</v>
      </c>
      <c r="S26" s="8"/>
      <c r="T26" s="8"/>
      <c r="U26" s="8"/>
      <c r="V26" s="8"/>
      <c r="W26" s="8"/>
      <c r="X26" s="8"/>
      <c r="Y26" s="8">
        <f>Y3-Y25</f>
        <v>3309.9999999999995</v>
      </c>
      <c r="Z26" s="8">
        <f>Y26*1.1</f>
        <v>3641</v>
      </c>
      <c r="AA26" s="8"/>
      <c r="AB26" s="8"/>
      <c r="AC26" s="8"/>
      <c r="AD26" s="8"/>
      <c r="AE26" s="8"/>
      <c r="AF26" s="8"/>
      <c r="AG26" s="8"/>
      <c r="AH26" s="8"/>
    </row>
    <row r="27" spans="1:35" s="10" customFormat="1" x14ac:dyDescent="0.2">
      <c r="A27" s="6"/>
      <c r="B27" s="10" t="s">
        <v>76</v>
      </c>
      <c r="C27" s="1"/>
      <c r="D27" s="1"/>
      <c r="E27" s="1"/>
      <c r="F27" s="1"/>
      <c r="H27" s="1"/>
      <c r="I27" s="1"/>
      <c r="J27" s="1"/>
      <c r="K27" s="1"/>
      <c r="L27" s="1">
        <v>400</v>
      </c>
      <c r="M27" s="1"/>
      <c r="N27" s="1"/>
      <c r="O27" s="1"/>
      <c r="P27" s="1"/>
      <c r="Q27" s="1"/>
      <c r="R27" s="1"/>
      <c r="S27" s="28"/>
      <c r="T27" s="28"/>
      <c r="U27" s="28"/>
      <c r="V27" s="28"/>
      <c r="W27" s="28"/>
      <c r="X27" s="28"/>
      <c r="Y27" s="28">
        <f>SUM(Y25:Y26)</f>
        <v>6808</v>
      </c>
      <c r="Z27" s="28">
        <f>SUM(Z25:Z26)</f>
        <v>7488.8000000000011</v>
      </c>
      <c r="AA27" s="28">
        <f>Z27*1.1</f>
        <v>8237.6800000000021</v>
      </c>
      <c r="AB27" s="28">
        <f t="shared" ref="AB27:AD27" si="12">AA27*1.1</f>
        <v>9061.448000000004</v>
      </c>
      <c r="AC27" s="28">
        <f t="shared" si="12"/>
        <v>9967.5928000000058</v>
      </c>
      <c r="AD27" s="28">
        <f t="shared" si="12"/>
        <v>10964.352080000008</v>
      </c>
      <c r="AE27" s="28"/>
      <c r="AF27" s="28"/>
      <c r="AG27" s="28"/>
      <c r="AH27" s="28"/>
    </row>
    <row r="28" spans="1:35" x14ac:dyDescent="0.2">
      <c r="S28" s="8"/>
      <c r="T28" s="8"/>
      <c r="U28" s="8"/>
      <c r="V28" s="8"/>
      <c r="W28" s="8"/>
      <c r="X28" s="8"/>
      <c r="Y28" s="8"/>
      <c r="Z28" s="9"/>
      <c r="AA28" s="9"/>
      <c r="AB28" s="9"/>
      <c r="AC28" s="9"/>
      <c r="AD28" s="9"/>
      <c r="AE28" s="8"/>
      <c r="AF28" s="8"/>
      <c r="AG28" s="8"/>
      <c r="AH28" s="8"/>
    </row>
    <row r="29" spans="1:35" x14ac:dyDescent="0.2">
      <c r="A29" s="5"/>
      <c r="B29" s="6" t="s">
        <v>55</v>
      </c>
      <c r="H29" s="6">
        <v>4300</v>
      </c>
      <c r="I29" s="6">
        <v>4400</v>
      </c>
      <c r="L29" s="7">
        <v>3000</v>
      </c>
      <c r="P29" s="6">
        <v>3940</v>
      </c>
      <c r="Q29" s="6">
        <v>5010</v>
      </c>
      <c r="R29" s="6">
        <f>Q29*1.26</f>
        <v>6312.6</v>
      </c>
      <c r="S29" s="6">
        <v>7700</v>
      </c>
      <c r="T29" s="8">
        <v>9230</v>
      </c>
      <c r="U29" s="33">
        <f>T29*1.15</f>
        <v>10614.5</v>
      </c>
      <c r="V29" s="6">
        <f>U29*1.16</f>
        <v>12312.82</v>
      </c>
      <c r="W29" s="8">
        <v>14000</v>
      </c>
      <c r="X29" s="8">
        <v>15860</v>
      </c>
      <c r="Y29" s="6">
        <v>17500</v>
      </c>
      <c r="Z29" s="8"/>
      <c r="AA29" s="8"/>
      <c r="AB29" s="8"/>
      <c r="AC29" s="8"/>
      <c r="AD29" s="8"/>
      <c r="AE29" s="8"/>
      <c r="AF29" s="8"/>
      <c r="AG29" s="8"/>
      <c r="AH29" s="8"/>
    </row>
    <row r="30" spans="1:35" x14ac:dyDescent="0.2">
      <c r="A30" s="5"/>
      <c r="B30" s="6" t="s">
        <v>56</v>
      </c>
      <c r="H30" s="6">
        <v>1450</v>
      </c>
      <c r="I30" s="6">
        <v>1450</v>
      </c>
      <c r="T30" s="8"/>
      <c r="U30" s="8"/>
      <c r="V30" s="8"/>
      <c r="W30" s="8"/>
      <c r="X30" s="8">
        <v>5370</v>
      </c>
      <c r="Y30" s="6">
        <v>5850</v>
      </c>
      <c r="Z30" s="8">
        <f>Z20</f>
        <v>6376.5000000000009</v>
      </c>
      <c r="AA30" s="8"/>
      <c r="AB30" s="8"/>
      <c r="AC30" s="8"/>
      <c r="AD30" s="8"/>
      <c r="AE30" s="8"/>
      <c r="AF30" s="8"/>
      <c r="AG30" s="8"/>
      <c r="AH30" s="8"/>
    </row>
    <row r="31" spans="1:35" x14ac:dyDescent="0.2">
      <c r="A31" s="5"/>
      <c r="H31" s="6"/>
      <c r="I31" s="14"/>
      <c r="P31" s="6"/>
      <c r="Q31" s="6"/>
      <c r="R31" s="6"/>
      <c r="T31" s="8"/>
      <c r="U31" s="8"/>
      <c r="V31" s="8"/>
      <c r="W31" s="8"/>
      <c r="X31" s="8"/>
      <c r="Y31" s="8"/>
      <c r="Z31" s="8"/>
      <c r="AA31" s="8"/>
      <c r="AB31" s="8"/>
      <c r="AC31" s="8"/>
      <c r="AD31" s="8"/>
      <c r="AE31" s="8"/>
      <c r="AF31" s="8"/>
      <c r="AG31" s="8"/>
      <c r="AH31" s="8"/>
      <c r="AI31" s="14"/>
    </row>
    <row r="32" spans="1:35" x14ac:dyDescent="0.2">
      <c r="B32" s="6" t="s">
        <v>6</v>
      </c>
      <c r="D32" s="6">
        <v>5060</v>
      </c>
      <c r="H32" s="6">
        <v>5641</v>
      </c>
      <c r="I32" s="6"/>
      <c r="J32" s="6"/>
      <c r="K32" s="6"/>
      <c r="L32" s="6"/>
      <c r="M32" s="6"/>
      <c r="N32" s="6"/>
      <c r="O32" s="6"/>
      <c r="P32" s="6"/>
      <c r="Q32" s="6"/>
      <c r="R32" s="6"/>
      <c r="S32" s="6">
        <v>9634</v>
      </c>
      <c r="T32" s="6">
        <v>11626</v>
      </c>
      <c r="U32" s="6">
        <v>14573</v>
      </c>
      <c r="V32" s="6">
        <v>16388</v>
      </c>
      <c r="W32" s="6">
        <v>18284</v>
      </c>
      <c r="X32" s="6">
        <v>20521</v>
      </c>
    </row>
    <row r="33" spans="2:34" x14ac:dyDescent="0.2">
      <c r="B33" s="6" t="s">
        <v>7</v>
      </c>
      <c r="D33" s="6">
        <v>104</v>
      </c>
      <c r="H33" s="7">
        <v>88</v>
      </c>
      <c r="S33" s="6">
        <v>648</v>
      </c>
      <c r="T33" s="6">
        <v>507</v>
      </c>
      <c r="U33" s="6">
        <v>555</v>
      </c>
      <c r="V33" s="6">
        <v>532</v>
      </c>
      <c r="W33" s="6">
        <v>460</v>
      </c>
      <c r="X33" s="6">
        <v>386</v>
      </c>
    </row>
    <row r="34" spans="2:34" x14ac:dyDescent="0.2">
      <c r="B34" s="6" t="s">
        <v>8</v>
      </c>
      <c r="D34" s="6">
        <v>145</v>
      </c>
      <c r="H34" s="7">
        <v>144</v>
      </c>
      <c r="S34" s="6">
        <v>889</v>
      </c>
      <c r="T34" s="6">
        <v>735</v>
      </c>
      <c r="U34" s="6">
        <v>657</v>
      </c>
      <c r="V34" s="6">
        <v>686</v>
      </c>
      <c r="W34" s="6">
        <v>665</v>
      </c>
      <c r="X34" s="6">
        <v>598</v>
      </c>
    </row>
    <row r="35" spans="2:34" s="10" customFormat="1" x14ac:dyDescent="0.2">
      <c r="B35" s="10" t="s">
        <v>9</v>
      </c>
      <c r="C35" s="10">
        <f>SUM(C32:C34)</f>
        <v>0</v>
      </c>
      <c r="D35" s="10">
        <f>SUM(D32:D34)</f>
        <v>5309</v>
      </c>
      <c r="E35" s="10">
        <f>SUM(E32:E34)</f>
        <v>0</v>
      </c>
      <c r="F35" s="10">
        <f>SUM(F32:F34)</f>
        <v>0</v>
      </c>
      <c r="G35" s="10">
        <v>5710</v>
      </c>
      <c r="H35" s="10">
        <f>SUM(H32:H34)</f>
        <v>5873</v>
      </c>
      <c r="I35" s="10">
        <v>5900</v>
      </c>
      <c r="J35" s="10">
        <f>I35*1.02</f>
        <v>6018</v>
      </c>
      <c r="L35" s="10">
        <v>4400</v>
      </c>
      <c r="M35" s="10">
        <v>4060</v>
      </c>
      <c r="N35" s="10">
        <v>4150</v>
      </c>
      <c r="O35" s="10">
        <v>4800</v>
      </c>
      <c r="P35" s="10">
        <v>5850</v>
      </c>
      <c r="Q35" s="10">
        <v>7300</v>
      </c>
      <c r="R35" s="10">
        <v>9030</v>
      </c>
      <c r="S35" s="10">
        <f>SUM(S32:S34)</f>
        <v>11171</v>
      </c>
      <c r="T35" s="10">
        <f>SUM(T32:T34)</f>
        <v>12868</v>
      </c>
      <c r="U35" s="10">
        <f>SUM(U32:U34)</f>
        <v>15785</v>
      </c>
      <c r="V35" s="10">
        <f>SUM(V32:V34)</f>
        <v>17606</v>
      </c>
      <c r="W35" s="10">
        <f t="shared" ref="W35:X35" si="13">SUM(W32:W34)</f>
        <v>19409</v>
      </c>
      <c r="X35" s="10">
        <f t="shared" si="13"/>
        <v>21505</v>
      </c>
      <c r="Y35" s="10">
        <v>23600</v>
      </c>
      <c r="Z35" s="10">
        <f>Z27+Z22+Z20</f>
        <v>25689.919999999998</v>
      </c>
      <c r="AA35" s="10">
        <f t="shared" ref="AA35:AD35" si="14">AA27+AA22+AA20</f>
        <v>25047.129560000001</v>
      </c>
      <c r="AB35" s="10">
        <f t="shared" si="14"/>
        <v>27601.488020400007</v>
      </c>
      <c r="AC35" s="10">
        <f t="shared" si="14"/>
        <v>30424.460022236006</v>
      </c>
      <c r="AD35" s="10">
        <f t="shared" si="14"/>
        <v>33545.312256237245</v>
      </c>
      <c r="AE35" s="10">
        <f>AD35*(1+$AH$102)</f>
        <v>33880.765378799617</v>
      </c>
    </row>
    <row r="36" spans="2:34" x14ac:dyDescent="0.2">
      <c r="B36" s="6" t="s">
        <v>10</v>
      </c>
      <c r="D36" s="7">
        <v>456</v>
      </c>
      <c r="H36" s="7">
        <v>505</v>
      </c>
      <c r="I36" s="6"/>
      <c r="V36" s="6">
        <v>1646</v>
      </c>
      <c r="W36" s="6">
        <v>1822</v>
      </c>
      <c r="X36" s="6">
        <v>1799</v>
      </c>
      <c r="AH36" s="14"/>
    </row>
    <row r="37" spans="2:34" x14ac:dyDescent="0.2">
      <c r="B37" s="6" t="s">
        <v>11</v>
      </c>
      <c r="D37" s="7">
        <v>8</v>
      </c>
      <c r="H37" s="7">
        <v>6</v>
      </c>
      <c r="V37" s="6">
        <v>35</v>
      </c>
      <c r="W37" s="6">
        <v>29</v>
      </c>
      <c r="X37" s="6">
        <v>25</v>
      </c>
      <c r="Y37" s="14"/>
      <c r="Z37" s="14"/>
    </row>
    <row r="38" spans="2:34" x14ac:dyDescent="0.2">
      <c r="B38" s="6" t="s">
        <v>12</v>
      </c>
      <c r="D38" s="7">
        <v>134</v>
      </c>
      <c r="H38" s="7">
        <v>127</v>
      </c>
      <c r="V38" s="6">
        <v>484</v>
      </c>
      <c r="W38" s="6">
        <v>503</v>
      </c>
      <c r="X38" s="6">
        <v>534</v>
      </c>
    </row>
    <row r="39" spans="2:34" x14ac:dyDescent="0.2">
      <c r="B39" s="6" t="s">
        <v>13</v>
      </c>
      <c r="C39" s="7">
        <f>SUM(C36:C38)</f>
        <v>0</v>
      </c>
      <c r="D39" s="7">
        <f>SUM(D36:D38)</f>
        <v>598</v>
      </c>
      <c r="E39" s="7">
        <f t="shared" ref="E39:H39" si="15">SUM(E36:E38)</f>
        <v>0</v>
      </c>
      <c r="F39" s="7">
        <f t="shared" si="15"/>
        <v>0</v>
      </c>
      <c r="G39" s="7">
        <f t="shared" si="15"/>
        <v>0</v>
      </c>
      <c r="H39" s="7">
        <f t="shared" si="15"/>
        <v>638</v>
      </c>
      <c r="I39" s="6">
        <f>I35*(1-I57)</f>
        <v>648.99999999999989</v>
      </c>
      <c r="J39" s="6">
        <f>J35*(1-J57)</f>
        <v>661.9799999999999</v>
      </c>
      <c r="K39" s="6"/>
      <c r="L39" s="6"/>
      <c r="M39" s="6"/>
      <c r="N39" s="6"/>
      <c r="O39" s="6"/>
      <c r="P39" s="6"/>
      <c r="Q39" s="6"/>
      <c r="R39" s="6"/>
      <c r="S39" s="6">
        <f>SUM(S36:S38)</f>
        <v>0</v>
      </c>
      <c r="T39" s="6">
        <f>SUM(T36:T38)</f>
        <v>0</v>
      </c>
      <c r="U39" s="6">
        <f>SUM(U36:U38)</f>
        <v>0</v>
      </c>
      <c r="V39" s="6">
        <f>SUM(V36:V38)</f>
        <v>2165</v>
      </c>
      <c r="W39" s="6">
        <f t="shared" ref="W39:X39" si="16">SUM(W36:W38)</f>
        <v>2354</v>
      </c>
      <c r="X39" s="6">
        <f t="shared" si="16"/>
        <v>2358</v>
      </c>
      <c r="Y39" s="6">
        <f t="shared" ref="Y39:AD39" si="17">Y35*(1-Y57)</f>
        <v>2595.9999999999995</v>
      </c>
      <c r="Z39" s="6">
        <f t="shared" si="17"/>
        <v>2825.8911999999996</v>
      </c>
      <c r="AA39" s="6">
        <f t="shared" si="17"/>
        <v>2755.1842515999997</v>
      </c>
      <c r="AB39" s="6">
        <f t="shared" si="17"/>
        <v>3036.1636822440005</v>
      </c>
      <c r="AC39" s="6">
        <f t="shared" si="17"/>
        <v>3346.6906024459604</v>
      </c>
      <c r="AD39" s="6">
        <f t="shared" si="17"/>
        <v>3689.9843481860967</v>
      </c>
    </row>
    <row r="40" spans="2:34" x14ac:dyDescent="0.2">
      <c r="B40" s="6" t="s">
        <v>14</v>
      </c>
      <c r="C40" s="6">
        <f>C35-C39</f>
        <v>0</v>
      </c>
      <c r="D40" s="6">
        <f>D35-D39</f>
        <v>4711</v>
      </c>
      <c r="E40" s="6">
        <f t="shared" ref="E40:J40" si="18">E35-E39</f>
        <v>0</v>
      </c>
      <c r="F40" s="6">
        <f t="shared" si="18"/>
        <v>0</v>
      </c>
      <c r="G40" s="6">
        <f t="shared" si="18"/>
        <v>5710</v>
      </c>
      <c r="H40" s="6">
        <f t="shared" si="18"/>
        <v>5235</v>
      </c>
      <c r="I40" s="6">
        <f t="shared" si="18"/>
        <v>5251</v>
      </c>
      <c r="J40" s="6">
        <f t="shared" si="18"/>
        <v>5356.02</v>
      </c>
      <c r="K40" s="6"/>
      <c r="L40" s="6"/>
      <c r="M40" s="6"/>
      <c r="N40" s="6"/>
      <c r="O40" s="6"/>
      <c r="P40" s="6"/>
      <c r="Q40" s="6"/>
      <c r="R40" s="6"/>
      <c r="V40" s="6">
        <f>V35-V39</f>
        <v>15441</v>
      </c>
      <c r="W40" s="6">
        <f t="shared" ref="W40:X40" si="19">W35-W39</f>
        <v>17055</v>
      </c>
      <c r="X40" s="6">
        <f t="shared" si="19"/>
        <v>19147</v>
      </c>
      <c r="Y40" s="6">
        <f t="shared" ref="Y40" si="20">Y35-Y39</f>
        <v>21004</v>
      </c>
      <c r="Z40" s="6">
        <f t="shared" ref="Z40" si="21">Z35-Z39</f>
        <v>22864.0288</v>
      </c>
      <c r="AA40" s="6">
        <f t="shared" ref="AA40" si="22">AA35-AA39</f>
        <v>22291.945308400002</v>
      </c>
      <c r="AB40" s="6">
        <f t="shared" ref="AB40" si="23">AB35-AB39</f>
        <v>24565.324338156006</v>
      </c>
      <c r="AC40" s="6">
        <f t="shared" ref="AC40:AD40" si="24">AC35-AC39</f>
        <v>27077.769419790046</v>
      </c>
      <c r="AD40" s="6">
        <f t="shared" si="24"/>
        <v>29855.327908051149</v>
      </c>
    </row>
    <row r="41" spans="2:34" x14ac:dyDescent="0.2">
      <c r="B41" s="6" t="s">
        <v>15</v>
      </c>
      <c r="C41" s="6"/>
      <c r="D41" s="6">
        <v>984</v>
      </c>
      <c r="E41" s="6"/>
      <c r="F41" s="6"/>
      <c r="H41" s="6">
        <v>1082</v>
      </c>
      <c r="I41" s="6">
        <f t="shared" ref="I41:J43" si="25">H41*1.01</f>
        <v>1092.82</v>
      </c>
      <c r="J41" s="6">
        <f t="shared" si="25"/>
        <v>1103.7482</v>
      </c>
      <c r="K41" s="6"/>
      <c r="L41" s="6"/>
      <c r="M41" s="6"/>
      <c r="N41" s="6"/>
      <c r="O41" s="6"/>
      <c r="P41" s="6"/>
      <c r="Q41" s="6"/>
      <c r="R41" s="6"/>
      <c r="V41" s="6">
        <v>2987</v>
      </c>
      <c r="W41" s="6">
        <v>3473</v>
      </c>
      <c r="X41" s="6">
        <v>3944</v>
      </c>
      <c r="Y41" s="6">
        <f>X41*(1+Y53)</f>
        <v>4328.221343873518</v>
      </c>
    </row>
    <row r="42" spans="2:34" x14ac:dyDescent="0.2">
      <c r="B42" s="6" t="s">
        <v>16</v>
      </c>
      <c r="C42" s="6"/>
      <c r="D42" s="6">
        <v>1445</v>
      </c>
      <c r="E42" s="6"/>
      <c r="F42" s="6"/>
      <c r="H42" s="6">
        <v>1626</v>
      </c>
      <c r="I42" s="6">
        <f t="shared" si="25"/>
        <v>1642.26</v>
      </c>
      <c r="J42" s="6">
        <f t="shared" si="25"/>
        <v>1658.6826000000001</v>
      </c>
      <c r="K42" s="6"/>
      <c r="L42" s="6"/>
      <c r="M42" s="6"/>
      <c r="N42" s="6"/>
      <c r="O42" s="6"/>
      <c r="P42" s="6"/>
      <c r="Q42" s="6"/>
      <c r="R42" s="6"/>
      <c r="V42" s="6">
        <v>4968</v>
      </c>
      <c r="W42" s="6">
        <v>5351</v>
      </c>
      <c r="X42" s="6">
        <v>5764</v>
      </c>
      <c r="Y42" s="6">
        <f>X42*1.08</f>
        <v>6225.1200000000008</v>
      </c>
      <c r="Z42" s="6">
        <f>Y42*1.08</f>
        <v>6723.1296000000011</v>
      </c>
      <c r="AA42" s="6">
        <f t="shared" ref="AA42:AD42" si="26">Z42*1.08</f>
        <v>7260.9799680000015</v>
      </c>
      <c r="AB42" s="6">
        <f t="shared" si="26"/>
        <v>7841.8583654400018</v>
      </c>
      <c r="AC42" s="6">
        <f t="shared" si="26"/>
        <v>8469.2070346752025</v>
      </c>
      <c r="AD42" s="6">
        <f t="shared" si="26"/>
        <v>9146.74359744922</v>
      </c>
    </row>
    <row r="43" spans="2:34" x14ac:dyDescent="0.2">
      <c r="B43" s="6" t="s">
        <v>17</v>
      </c>
      <c r="C43" s="6"/>
      <c r="D43" s="6">
        <v>355</v>
      </c>
      <c r="E43" s="6"/>
      <c r="F43" s="6"/>
      <c r="H43" s="6">
        <v>377</v>
      </c>
      <c r="I43" s="6">
        <f t="shared" si="25"/>
        <v>380.77</v>
      </c>
      <c r="J43" s="6">
        <f t="shared" si="25"/>
        <v>384.57769999999999</v>
      </c>
      <c r="K43" s="6"/>
      <c r="L43" s="6"/>
      <c r="M43" s="6"/>
      <c r="N43" s="6"/>
      <c r="O43" s="6"/>
      <c r="P43" s="6"/>
      <c r="Q43" s="6"/>
      <c r="R43" s="6"/>
      <c r="V43" s="6">
        <v>1219</v>
      </c>
      <c r="W43" s="6">
        <v>1413</v>
      </c>
      <c r="X43" s="6">
        <v>1529</v>
      </c>
      <c r="Y43" s="6">
        <f>X43*1.08</f>
        <v>1651.3200000000002</v>
      </c>
      <c r="Z43" s="6">
        <f>Y43*1.08</f>
        <v>1783.4256000000003</v>
      </c>
      <c r="AA43" s="6">
        <f t="shared" ref="AA43:AD43" si="27">Z43*1.08</f>
        <v>1926.0996480000003</v>
      </c>
      <c r="AB43" s="6">
        <f t="shared" si="27"/>
        <v>2080.1876198400005</v>
      </c>
      <c r="AC43" s="6">
        <f t="shared" si="27"/>
        <v>2246.6026294272006</v>
      </c>
      <c r="AD43" s="6">
        <f t="shared" si="27"/>
        <v>2426.3308397813767</v>
      </c>
    </row>
    <row r="44" spans="2:34" x14ac:dyDescent="0.2">
      <c r="B44" s="6" t="s">
        <v>18</v>
      </c>
      <c r="C44" s="6">
        <f>SUM(C41:C43)</f>
        <v>0</v>
      </c>
      <c r="D44" s="6">
        <f t="shared" ref="D44:J44" si="28">SUM(D41:D43)</f>
        <v>2784</v>
      </c>
      <c r="E44" s="6">
        <f t="shared" si="28"/>
        <v>0</v>
      </c>
      <c r="F44" s="6">
        <f t="shared" si="28"/>
        <v>0</v>
      </c>
      <c r="G44" s="6">
        <f t="shared" si="28"/>
        <v>0</v>
      </c>
      <c r="H44" s="6">
        <f t="shared" si="28"/>
        <v>3085</v>
      </c>
      <c r="I44" s="6">
        <f t="shared" si="28"/>
        <v>3115.85</v>
      </c>
      <c r="J44" s="6">
        <f t="shared" si="28"/>
        <v>3147.0084999999999</v>
      </c>
      <c r="K44" s="6"/>
      <c r="L44" s="6"/>
      <c r="M44" s="6"/>
      <c r="N44" s="6"/>
      <c r="O44" s="6"/>
      <c r="P44" s="6"/>
      <c r="Q44" s="6"/>
      <c r="R44" s="6"/>
      <c r="S44" s="6">
        <f>SUM(S41:S43)</f>
        <v>0</v>
      </c>
      <c r="T44" s="6">
        <f>SUM(T41:T43)</f>
        <v>0</v>
      </c>
      <c r="U44" s="6">
        <f>SUM(U41:U43)</f>
        <v>0</v>
      </c>
      <c r="V44" s="6">
        <f>SUM(V41:V43)</f>
        <v>9174</v>
      </c>
      <c r="W44" s="6">
        <f t="shared" ref="W44:Y44" si="29">SUM(W41:W43)</f>
        <v>10237</v>
      </c>
      <c r="X44" s="6">
        <f t="shared" si="29"/>
        <v>11237</v>
      </c>
      <c r="Y44" s="6">
        <f t="shared" si="29"/>
        <v>12204.661343873518</v>
      </c>
      <c r="Z44" s="6">
        <f>Z40*0.58</f>
        <v>13261.136703999999</v>
      </c>
      <c r="AA44" s="6">
        <f t="shared" ref="AA44:AD44" si="30">AA40*0.58</f>
        <v>12929.328278872001</v>
      </c>
      <c r="AB44" s="6">
        <f t="shared" si="30"/>
        <v>14247.888116130482</v>
      </c>
      <c r="AC44" s="6">
        <f t="shared" si="30"/>
        <v>15705.106263478225</v>
      </c>
      <c r="AD44" s="6">
        <f t="shared" si="30"/>
        <v>17316.090186669666</v>
      </c>
    </row>
    <row r="45" spans="2:34" x14ac:dyDescent="0.2">
      <c r="B45" s="6" t="s">
        <v>19</v>
      </c>
      <c r="C45" s="6">
        <f>C40-C44</f>
        <v>0</v>
      </c>
      <c r="D45" s="6">
        <f t="shared" ref="D45:J45" si="31">D40-D44</f>
        <v>1927</v>
      </c>
      <c r="E45" s="6">
        <f t="shared" si="31"/>
        <v>0</v>
      </c>
      <c r="F45" s="6">
        <f t="shared" si="31"/>
        <v>0</v>
      </c>
      <c r="G45" s="6">
        <f t="shared" si="31"/>
        <v>5710</v>
      </c>
      <c r="H45" s="6">
        <f t="shared" si="31"/>
        <v>2150</v>
      </c>
      <c r="I45" s="6">
        <f t="shared" si="31"/>
        <v>2135.15</v>
      </c>
      <c r="J45" s="6">
        <f t="shared" si="31"/>
        <v>2209.0115000000005</v>
      </c>
      <c r="K45" s="6"/>
      <c r="L45" s="6"/>
      <c r="M45" s="6"/>
      <c r="N45" s="6"/>
      <c r="O45" s="6"/>
      <c r="P45" s="6"/>
      <c r="Q45" s="6"/>
      <c r="R45" s="6"/>
      <c r="S45" s="6">
        <f>S40-S44</f>
        <v>0</v>
      </c>
      <c r="T45" s="6">
        <f>T40-T44</f>
        <v>0</v>
      </c>
      <c r="U45" s="6">
        <f>U40-U44</f>
        <v>0</v>
      </c>
      <c r="V45" s="6">
        <f>V40-V44</f>
        <v>6267</v>
      </c>
      <c r="W45" s="6">
        <f t="shared" ref="W45:AC45" si="32">W40-W44</f>
        <v>6818</v>
      </c>
      <c r="X45" s="6">
        <f t="shared" si="32"/>
        <v>7910</v>
      </c>
      <c r="Y45" s="6">
        <f t="shared" si="32"/>
        <v>8799.3386561264815</v>
      </c>
      <c r="Z45" s="6">
        <f t="shared" si="32"/>
        <v>9602.8920960000014</v>
      </c>
      <c r="AA45" s="6">
        <f t="shared" si="32"/>
        <v>9362.6170295280008</v>
      </c>
      <c r="AB45" s="6">
        <f t="shared" si="32"/>
        <v>10317.436222025524</v>
      </c>
      <c r="AC45" s="6">
        <f t="shared" si="32"/>
        <v>11372.663156311821</v>
      </c>
      <c r="AD45" s="6">
        <f t="shared" ref="AD45" si="33">AD40-AD44</f>
        <v>12539.237721381483</v>
      </c>
      <c r="AE45" s="6">
        <f>AD45*(1+$AH$102)</f>
        <v>12664.630098595298</v>
      </c>
    </row>
    <row r="46" spans="2:34" x14ac:dyDescent="0.2">
      <c r="B46" s="16" t="s">
        <v>59</v>
      </c>
      <c r="I46" s="6">
        <f>H60*$AH$101/4</f>
        <v>-14.3025</v>
      </c>
      <c r="J46" s="6">
        <f>I60*$AH$101/4</f>
        <v>-1.5774149999999973</v>
      </c>
      <c r="K46" s="6"/>
      <c r="L46" s="6"/>
      <c r="M46" s="6"/>
      <c r="N46" s="6"/>
      <c r="O46" s="6"/>
      <c r="P46" s="6"/>
      <c r="Q46" s="6"/>
      <c r="R46" s="6"/>
      <c r="V46" s="6">
        <f>-112-19</f>
        <v>-131</v>
      </c>
      <c r="W46" s="6">
        <f>-113+16</f>
        <v>-97</v>
      </c>
      <c r="X46" s="6">
        <f>-169+48</f>
        <v>-121</v>
      </c>
      <c r="Y46" s="6">
        <f>SUM(G46:J46)</f>
        <v>-15.879914999999997</v>
      </c>
      <c r="Z46" s="6">
        <f>Y60*$AH$101</f>
        <v>46.668758040000021</v>
      </c>
      <c r="AA46" s="6">
        <f>Z60*$AH$101</f>
        <v>275.36335028074802</v>
      </c>
      <c r="AB46" s="6">
        <f>AA60*$AH$101</f>
        <v>503.78348528221534</v>
      </c>
      <c r="AC46" s="6">
        <f>AB60*$AH$101</f>
        <v>760.24639234540882</v>
      </c>
      <c r="AD46" s="6">
        <f>AC60*$AH$101</f>
        <v>1047.7963486485853</v>
      </c>
      <c r="AE46" s="6">
        <v>0</v>
      </c>
    </row>
    <row r="47" spans="2:34" x14ac:dyDescent="0.2">
      <c r="B47" s="6" t="s">
        <v>20</v>
      </c>
      <c r="C47" s="6">
        <f>C45+C46</f>
        <v>0</v>
      </c>
      <c r="D47" s="6">
        <f t="shared" ref="D47:J47" si="34">D45+D46</f>
        <v>1927</v>
      </c>
      <c r="E47" s="6">
        <f t="shared" si="34"/>
        <v>0</v>
      </c>
      <c r="F47" s="6">
        <f t="shared" si="34"/>
        <v>0</v>
      </c>
      <c r="G47" s="6">
        <f t="shared" si="34"/>
        <v>5710</v>
      </c>
      <c r="H47" s="6">
        <f t="shared" si="34"/>
        <v>2150</v>
      </c>
      <c r="I47" s="6">
        <f t="shared" si="34"/>
        <v>2120.8475000000003</v>
      </c>
      <c r="J47" s="6">
        <f t="shared" si="34"/>
        <v>2207.4340850000003</v>
      </c>
      <c r="K47" s="6"/>
      <c r="L47" s="6"/>
      <c r="M47" s="6"/>
      <c r="N47" s="6"/>
      <c r="O47" s="6"/>
      <c r="P47" s="6"/>
      <c r="Q47" s="6"/>
      <c r="R47" s="6"/>
      <c r="S47" s="6">
        <f>S45+S46</f>
        <v>0</v>
      </c>
      <c r="T47" s="6">
        <f>T45+T46</f>
        <v>0</v>
      </c>
      <c r="U47" s="6">
        <f>U45+U46</f>
        <v>0</v>
      </c>
      <c r="V47" s="6">
        <f>V45+V46</f>
        <v>6136</v>
      </c>
      <c r="W47" s="6">
        <f t="shared" ref="W47:AC47" si="35">W45+W46</f>
        <v>6721</v>
      </c>
      <c r="X47" s="6">
        <f t="shared" si="35"/>
        <v>7789</v>
      </c>
      <c r="Y47" s="6">
        <f t="shared" si="35"/>
        <v>8783.458741126482</v>
      </c>
      <c r="Z47" s="6">
        <f t="shared" si="35"/>
        <v>9649.5608540400008</v>
      </c>
      <c r="AA47" s="6">
        <f t="shared" si="35"/>
        <v>9637.9803798087487</v>
      </c>
      <c r="AB47" s="6">
        <f t="shared" si="35"/>
        <v>10821.21970730774</v>
      </c>
      <c r="AC47" s="6">
        <f t="shared" si="35"/>
        <v>12132.90954865723</v>
      </c>
      <c r="AD47" s="6">
        <f t="shared" ref="AD47" si="36">AD45+AD46</f>
        <v>13587.034070030069</v>
      </c>
      <c r="AE47" s="6">
        <f>AE45+AE46</f>
        <v>12664.630098595298</v>
      </c>
    </row>
    <row r="48" spans="2:34" x14ac:dyDescent="0.2">
      <c r="B48" s="6" t="s">
        <v>21</v>
      </c>
      <c r="I48" s="6">
        <f>I47*0.2</f>
        <v>424.16950000000008</v>
      </c>
      <c r="J48" s="6">
        <f>J47*0.2</f>
        <v>441.48681700000009</v>
      </c>
      <c r="K48" s="6"/>
      <c r="L48" s="6"/>
      <c r="M48" s="6"/>
      <c r="N48" s="6"/>
      <c r="O48" s="6"/>
      <c r="P48" s="6"/>
      <c r="Q48" s="6"/>
      <c r="R48" s="6"/>
      <c r="S48" s="14"/>
      <c r="T48" s="14"/>
      <c r="U48" s="14"/>
      <c r="V48" s="14"/>
      <c r="W48" s="14"/>
      <c r="X48" s="14"/>
      <c r="Y48" s="14"/>
      <c r="Z48" s="6">
        <f t="shared" ref="Z48:AE48" si="37">Z47*0.21</f>
        <v>2026.4077793484</v>
      </c>
      <c r="AA48" s="6">
        <f t="shared" si="37"/>
        <v>2023.9758797598372</v>
      </c>
      <c r="AB48" s="6">
        <f t="shared" si="37"/>
        <v>2272.4561385346256</v>
      </c>
      <c r="AC48" s="6">
        <f t="shared" si="37"/>
        <v>2547.9110052180181</v>
      </c>
      <c r="AD48" s="6">
        <f t="shared" si="37"/>
        <v>2853.2771547063144</v>
      </c>
      <c r="AE48" s="6">
        <f t="shared" si="37"/>
        <v>2659.5723207050128</v>
      </c>
    </row>
    <row r="49" spans="2:34" s="10" customFormat="1" x14ac:dyDescent="0.2">
      <c r="B49" s="10" t="s">
        <v>22</v>
      </c>
      <c r="C49" s="10">
        <f>C47-C48</f>
        <v>0</v>
      </c>
      <c r="D49" s="10">
        <f t="shared" ref="D49:J49" si="38">D47-D48</f>
        <v>1927</v>
      </c>
      <c r="E49" s="10">
        <f t="shared" si="38"/>
        <v>0</v>
      </c>
      <c r="F49" s="10">
        <f t="shared" si="38"/>
        <v>0</v>
      </c>
      <c r="G49" s="10">
        <f t="shared" si="38"/>
        <v>5710</v>
      </c>
      <c r="H49" s="10">
        <f t="shared" si="38"/>
        <v>2150</v>
      </c>
      <c r="I49" s="10">
        <f t="shared" si="38"/>
        <v>1696.6780000000003</v>
      </c>
      <c r="J49" s="10">
        <f t="shared" si="38"/>
        <v>1765.9472680000003</v>
      </c>
      <c r="S49" s="10">
        <f>S47-S48</f>
        <v>0</v>
      </c>
      <c r="T49" s="10">
        <f>T47-T48</f>
        <v>0</v>
      </c>
      <c r="U49" s="10">
        <f>U47-U48</f>
        <v>0</v>
      </c>
      <c r="V49" s="10">
        <f>V47-V48</f>
        <v>6136</v>
      </c>
      <c r="W49" s="10">
        <f t="shared" ref="W49:X49" si="39">W47-W48</f>
        <v>6721</v>
      </c>
      <c r="X49" s="10">
        <f t="shared" si="39"/>
        <v>7789</v>
      </c>
      <c r="Y49" s="10">
        <f t="shared" ref="Y49" si="40">Y47-Y48</f>
        <v>8783.458741126482</v>
      </c>
      <c r="Z49" s="10">
        <f t="shared" ref="Z49" si="41">Z47-Z48</f>
        <v>7623.1530746916005</v>
      </c>
      <c r="AA49" s="10">
        <f t="shared" ref="AA49" si="42">AA47-AA48</f>
        <v>7614.0045000489117</v>
      </c>
      <c r="AB49" s="10">
        <f t="shared" ref="AB49" si="43">AB47-AB48</f>
        <v>8548.7635687731145</v>
      </c>
      <c r="AC49" s="10">
        <f t="shared" ref="AC49:AE49" si="44">AC47-AC48</f>
        <v>9584.9985434392111</v>
      </c>
      <c r="AD49" s="10">
        <f t="shared" si="44"/>
        <v>10733.756915323755</v>
      </c>
      <c r="AE49" s="10">
        <f t="shared" si="44"/>
        <v>10005.057777890286</v>
      </c>
    </row>
    <row r="50" spans="2:34" x14ac:dyDescent="0.2">
      <c r="B50" s="6" t="s">
        <v>1</v>
      </c>
      <c r="H50" s="4">
        <v>424.2</v>
      </c>
      <c r="I50" s="6">
        <f>H50*1</f>
        <v>424.2</v>
      </c>
      <c r="J50" s="6">
        <f>I50*1</f>
        <v>424.2</v>
      </c>
      <c r="K50" s="6"/>
      <c r="L50" s="6"/>
      <c r="M50" s="6"/>
      <c r="N50" s="6"/>
      <c r="O50" s="6"/>
      <c r="P50" s="6"/>
      <c r="Q50" s="6"/>
      <c r="R50" s="6"/>
      <c r="V50" s="6">
        <v>471</v>
      </c>
      <c r="W50" s="6">
        <v>459</v>
      </c>
      <c r="X50" s="6">
        <v>450</v>
      </c>
      <c r="Y50" s="6">
        <v>411</v>
      </c>
      <c r="Z50" s="6">
        <v>411</v>
      </c>
      <c r="AA50" s="6">
        <v>411</v>
      </c>
      <c r="AB50" s="6">
        <v>411</v>
      </c>
      <c r="AC50" s="6">
        <v>411</v>
      </c>
      <c r="AD50" s="6">
        <v>411</v>
      </c>
    </row>
    <row r="51" spans="2:34" x14ac:dyDescent="0.2">
      <c r="B51" s="6" t="s">
        <v>23</v>
      </c>
      <c r="C51" s="9" t="e">
        <f t="shared" ref="C51:J51" si="45">C49/C50</f>
        <v>#DIV/0!</v>
      </c>
      <c r="D51" s="9" t="e">
        <f t="shared" si="45"/>
        <v>#DIV/0!</v>
      </c>
      <c r="E51" s="9" t="e">
        <f t="shared" si="45"/>
        <v>#DIV/0!</v>
      </c>
      <c r="F51" s="9" t="e">
        <f t="shared" si="45"/>
        <v>#DIV/0!</v>
      </c>
      <c r="G51" s="9" t="e">
        <f t="shared" si="45"/>
        <v>#DIV/0!</v>
      </c>
      <c r="H51" s="9">
        <f t="shared" si="45"/>
        <v>5.0683639792550688</v>
      </c>
      <c r="I51" s="9">
        <f t="shared" si="45"/>
        <v>3.9997123998114108</v>
      </c>
      <c r="J51" s="9">
        <f t="shared" si="45"/>
        <v>4.1630062894860922</v>
      </c>
      <c r="K51" s="9"/>
      <c r="L51" s="9"/>
      <c r="M51" s="9"/>
      <c r="N51" s="9"/>
      <c r="O51" s="9"/>
      <c r="P51" s="9"/>
      <c r="Q51" s="9"/>
      <c r="R51" s="9"/>
      <c r="S51" s="9" t="e">
        <f>S49/S50</f>
        <v>#DIV/0!</v>
      </c>
      <c r="T51" s="9" t="e">
        <f>T49/T50</f>
        <v>#DIV/0!</v>
      </c>
      <c r="U51" s="9" t="e">
        <f>U49/U50</f>
        <v>#DIV/0!</v>
      </c>
      <c r="V51" s="9">
        <f>V49/V50</f>
        <v>13.027600849256901</v>
      </c>
      <c r="W51" s="9">
        <f t="shared" ref="W51:AC51" si="46">W49/W50</f>
        <v>14.642701525054466</v>
      </c>
      <c r="X51" s="9">
        <f t="shared" si="46"/>
        <v>17.308888888888887</v>
      </c>
      <c r="Y51" s="9">
        <f t="shared" si="46"/>
        <v>21.370945842156889</v>
      </c>
      <c r="Z51" s="9">
        <f t="shared" si="46"/>
        <v>18.547817699979564</v>
      </c>
      <c r="AA51" s="9">
        <f t="shared" si="46"/>
        <v>18.525558394279592</v>
      </c>
      <c r="AB51" s="9">
        <f t="shared" si="46"/>
        <v>20.799911359545291</v>
      </c>
      <c r="AC51" s="9">
        <f t="shared" si="46"/>
        <v>23.321164339268154</v>
      </c>
      <c r="AD51" s="9">
        <f t="shared" ref="AD51" si="47">AD49/AD50</f>
        <v>26.116196874267043</v>
      </c>
      <c r="AE51" s="9"/>
      <c r="AF51" s="9"/>
      <c r="AG51" s="9"/>
      <c r="AH51" s="9"/>
    </row>
    <row r="52" spans="2:34" x14ac:dyDescent="0.2">
      <c r="U52" s="11"/>
    </row>
    <row r="53" spans="2:34" s="10" customFormat="1" x14ac:dyDescent="0.2">
      <c r="B53" s="10" t="s">
        <v>33</v>
      </c>
      <c r="E53" s="12"/>
      <c r="F53" s="12"/>
      <c r="G53" s="12" t="e">
        <f>G35/C35-1</f>
        <v>#DIV/0!</v>
      </c>
      <c r="H53" s="12">
        <f>H35/D35-1</f>
        <v>0.10623469579958567</v>
      </c>
      <c r="I53" s="12" t="e">
        <f>I35/E35-1</f>
        <v>#DIV/0!</v>
      </c>
      <c r="J53" s="12" t="e">
        <f>J35/F35-1</f>
        <v>#DIV/0!</v>
      </c>
      <c r="K53" s="12"/>
      <c r="L53" s="12"/>
      <c r="M53" s="12"/>
      <c r="N53" s="12"/>
      <c r="O53" s="12"/>
      <c r="P53" s="12"/>
      <c r="Q53" s="12"/>
      <c r="R53" s="12"/>
      <c r="S53" s="12"/>
      <c r="T53" s="12">
        <f>T35/S35-1</f>
        <v>0.151911198639334</v>
      </c>
      <c r="U53" s="12">
        <f>U35/T35-1</f>
        <v>0.22668635374572577</v>
      </c>
      <c r="V53" s="12">
        <f>V35/U35-1</f>
        <v>0.11536268609439349</v>
      </c>
      <c r="W53" s="12">
        <f>W35/V35-1</f>
        <v>0.10240826990798602</v>
      </c>
      <c r="X53" s="12">
        <f>X35/W35-1</f>
        <v>0.10799113813179462</v>
      </c>
      <c r="Y53" s="12">
        <f t="shared" ref="Y53:AD53" si="48">Y35/X35-1</f>
        <v>9.7419204836084683E-2</v>
      </c>
      <c r="Z53" s="12">
        <f t="shared" si="48"/>
        <v>8.8555932203389753E-2</v>
      </c>
      <c r="AA53" s="12">
        <f t="shared" si="48"/>
        <v>-2.5021114896426222E-2</v>
      </c>
      <c r="AB53" s="12">
        <f t="shared" si="48"/>
        <v>0.10198208358690697</v>
      </c>
      <c r="AC53" s="12">
        <f t="shared" si="48"/>
        <v>0.10227608017906742</v>
      </c>
      <c r="AD53" s="12">
        <f t="shared" si="48"/>
        <v>0.10257707882803291</v>
      </c>
      <c r="AE53" s="12"/>
      <c r="AF53" s="12"/>
      <c r="AG53" s="12"/>
      <c r="AH53" s="12"/>
    </row>
    <row r="54" spans="2:34" s="10" customFormat="1" x14ac:dyDescent="0.2">
      <c r="B54" s="16" t="s">
        <v>58</v>
      </c>
      <c r="C54" s="12"/>
      <c r="D54" s="12" t="e">
        <f t="shared" ref="D54:J54" si="49">D35/C35-1</f>
        <v>#DIV/0!</v>
      </c>
      <c r="E54" s="12">
        <f t="shared" si="49"/>
        <v>-1</v>
      </c>
      <c r="F54" s="12" t="e">
        <f t="shared" si="49"/>
        <v>#DIV/0!</v>
      </c>
      <c r="G54" s="12" t="e">
        <f t="shared" si="49"/>
        <v>#DIV/0!</v>
      </c>
      <c r="H54" s="12">
        <f t="shared" si="49"/>
        <v>2.8546409807355566E-2</v>
      </c>
      <c r="I54" s="12">
        <f t="shared" si="49"/>
        <v>4.5973097224587534E-3</v>
      </c>
      <c r="J54" s="12">
        <f t="shared" si="49"/>
        <v>2.0000000000000018E-2</v>
      </c>
      <c r="K54" s="12"/>
      <c r="L54" s="12"/>
      <c r="M54" s="12"/>
      <c r="N54" s="12"/>
      <c r="O54" s="12"/>
      <c r="P54" s="12"/>
      <c r="Q54" s="12"/>
      <c r="R54" s="12"/>
      <c r="W54" s="12"/>
      <c r="X54" s="12"/>
      <c r="Y54" s="12"/>
      <c r="Z54" s="12"/>
      <c r="AA54" s="12"/>
      <c r="AB54" s="12"/>
      <c r="AC54" s="12"/>
      <c r="AD54" s="12"/>
      <c r="AE54" s="12"/>
      <c r="AF54" s="12"/>
      <c r="AG54" s="12"/>
      <c r="AH54" s="12"/>
    </row>
    <row r="55" spans="2:34" s="10" customFormat="1" x14ac:dyDescent="0.2">
      <c r="B55" s="6" t="s">
        <v>57</v>
      </c>
      <c r="T55" s="12" t="e">
        <f t="shared" ref="T55:Y55" si="50">SUM(T42:T43)/SUM(S42:S43)-1</f>
        <v>#DIV/0!</v>
      </c>
      <c r="U55" s="12" t="e">
        <f t="shared" si="50"/>
        <v>#DIV/0!</v>
      </c>
      <c r="V55" s="12" t="e">
        <f t="shared" si="50"/>
        <v>#DIV/0!</v>
      </c>
      <c r="W55" s="12">
        <f t="shared" si="50"/>
        <v>9.326006141910459E-2</v>
      </c>
      <c r="X55" s="12">
        <f t="shared" si="50"/>
        <v>7.820816085156701E-2</v>
      </c>
      <c r="Y55" s="12">
        <f t="shared" si="50"/>
        <v>8.0000000000000071E-2</v>
      </c>
      <c r="Z55" s="12"/>
      <c r="AA55" s="12"/>
      <c r="AB55" s="12"/>
      <c r="AC55" s="12"/>
      <c r="AD55" s="12"/>
      <c r="AE55" s="12"/>
      <c r="AF55" s="12"/>
      <c r="AG55" s="12"/>
      <c r="AH55" s="12"/>
    </row>
    <row r="56" spans="2:34" x14ac:dyDescent="0.2">
      <c r="Z56" s="14"/>
      <c r="AA56" s="14"/>
      <c r="AB56" s="14"/>
      <c r="AC56" s="14"/>
      <c r="AD56" s="14"/>
      <c r="AE56" s="14"/>
    </row>
    <row r="57" spans="2:34" s="10" customFormat="1" x14ac:dyDescent="0.2">
      <c r="B57" s="10" t="s">
        <v>24</v>
      </c>
      <c r="C57" s="13" t="e">
        <f>C40/C35</f>
        <v>#DIV/0!</v>
      </c>
      <c r="D57" s="13">
        <f t="shared" ref="D57:H57" si="51">D40/D35</f>
        <v>0.88736108495008481</v>
      </c>
      <c r="E57" s="13" t="e">
        <f t="shared" si="51"/>
        <v>#DIV/0!</v>
      </c>
      <c r="F57" s="13" t="e">
        <f t="shared" si="51"/>
        <v>#DIV/0!</v>
      </c>
      <c r="G57" s="13">
        <f t="shared" si="51"/>
        <v>1</v>
      </c>
      <c r="H57" s="13">
        <f t="shared" si="51"/>
        <v>0.89136727396560533</v>
      </c>
      <c r="I57" s="13">
        <v>0.89</v>
      </c>
      <c r="J57" s="13">
        <v>0.89</v>
      </c>
      <c r="K57" s="13"/>
      <c r="L57" s="13"/>
      <c r="M57" s="13"/>
      <c r="N57" s="13"/>
      <c r="O57" s="13"/>
      <c r="P57" s="13"/>
      <c r="Q57" s="13"/>
      <c r="R57" s="13"/>
      <c r="V57" s="13">
        <f>V40/V35</f>
        <v>0.87703055776439853</v>
      </c>
      <c r="W57" s="13">
        <f>W40/W35</f>
        <v>0.87871605955999799</v>
      </c>
      <c r="X57" s="13">
        <f>X40/X35</f>
        <v>0.89035108114392003</v>
      </c>
      <c r="Y57" s="13">
        <v>0.89</v>
      </c>
      <c r="Z57" s="13">
        <v>0.89</v>
      </c>
      <c r="AA57" s="13">
        <v>0.89</v>
      </c>
      <c r="AB57" s="13">
        <v>0.89</v>
      </c>
      <c r="AC57" s="13">
        <v>0.89</v>
      </c>
      <c r="AD57" s="13">
        <v>0.89</v>
      </c>
      <c r="AE57" s="13"/>
      <c r="AF57" s="13"/>
      <c r="AG57" s="13"/>
      <c r="AH57" s="13"/>
    </row>
    <row r="58" spans="2:34" s="10" customFormat="1" x14ac:dyDescent="0.2">
      <c r="B58" s="6" t="s">
        <v>34</v>
      </c>
      <c r="C58" s="14" t="e">
        <f t="shared" ref="C58:J58" si="52">C45/C35</f>
        <v>#DIV/0!</v>
      </c>
      <c r="D58" s="14">
        <f t="shared" si="52"/>
        <v>0.36296854398191752</v>
      </c>
      <c r="E58" s="14" t="e">
        <f t="shared" si="52"/>
        <v>#DIV/0!</v>
      </c>
      <c r="F58" s="14" t="e">
        <f t="shared" si="52"/>
        <v>#DIV/0!</v>
      </c>
      <c r="G58" s="14">
        <f t="shared" si="52"/>
        <v>1</v>
      </c>
      <c r="H58" s="14">
        <f t="shared" si="52"/>
        <v>0.36608207049208241</v>
      </c>
      <c r="I58" s="14">
        <f t="shared" si="52"/>
        <v>0.36188983050847462</v>
      </c>
      <c r="J58" s="14">
        <f t="shared" si="52"/>
        <v>0.36706738118976412</v>
      </c>
      <c r="K58" s="14"/>
      <c r="L58" s="14"/>
      <c r="M58" s="14"/>
      <c r="N58" s="14"/>
      <c r="O58" s="14"/>
      <c r="P58" s="14"/>
      <c r="Q58" s="14"/>
      <c r="R58" s="14"/>
      <c r="V58" s="14">
        <f t="shared" ref="V58:AD58" si="53">V45/V35</f>
        <v>0.35595819606952173</v>
      </c>
      <c r="W58" s="14">
        <f t="shared" si="53"/>
        <v>0.35128033386573237</v>
      </c>
      <c r="X58" s="14">
        <f t="shared" si="53"/>
        <v>0.36782143687514529</v>
      </c>
      <c r="Y58" s="14">
        <f t="shared" si="53"/>
        <v>0.37285333288671529</v>
      </c>
      <c r="Z58" s="14">
        <f t="shared" si="53"/>
        <v>0.37380000000000008</v>
      </c>
      <c r="AA58" s="14">
        <f>AA45/AA35</f>
        <v>0.37380000000000002</v>
      </c>
      <c r="AB58" s="14">
        <f t="shared" si="53"/>
        <v>0.37380000000000008</v>
      </c>
      <c r="AC58" s="14">
        <f t="shared" si="53"/>
        <v>0.37380000000000008</v>
      </c>
      <c r="AD58" s="14">
        <f t="shared" si="53"/>
        <v>0.37380000000000002</v>
      </c>
      <c r="AE58" s="14"/>
      <c r="AF58" s="14"/>
      <c r="AG58" s="14"/>
      <c r="AH58" s="14"/>
    </row>
    <row r="60" spans="2:34" x14ac:dyDescent="0.2">
      <c r="B60" s="35" t="s">
        <v>27</v>
      </c>
      <c r="C60" s="6">
        <f t="shared" ref="C60:H60" si="54">C61-C62</f>
        <v>0</v>
      </c>
      <c r="D60" s="6">
        <f t="shared" si="54"/>
        <v>0</v>
      </c>
      <c r="E60" s="6">
        <f t="shared" si="54"/>
        <v>0</v>
      </c>
      <c r="F60" s="6">
        <f t="shared" si="54"/>
        <v>0</v>
      </c>
      <c r="G60" s="6">
        <f t="shared" si="54"/>
        <v>-262</v>
      </c>
      <c r="H60" s="6">
        <f t="shared" si="54"/>
        <v>-1907</v>
      </c>
      <c r="I60" s="6">
        <f>H60+I49</f>
        <v>-210.32199999999966</v>
      </c>
      <c r="J60" s="6">
        <f>I60+J49</f>
        <v>1555.6252680000007</v>
      </c>
      <c r="K60" s="6"/>
      <c r="L60" s="6"/>
      <c r="M60" s="6"/>
      <c r="N60" s="6"/>
      <c r="O60" s="6"/>
      <c r="P60" s="6"/>
      <c r="Q60" s="6"/>
      <c r="R60" s="6"/>
      <c r="U60" s="35"/>
      <c r="W60" s="6">
        <f>W61-SUM(W72,W76)</f>
        <v>2674</v>
      </c>
      <c r="X60" s="6">
        <f>X61-SUM(X72,X76)</f>
        <v>316</v>
      </c>
      <c r="Y60" s="6">
        <f>J60</f>
        <v>1555.6252680000007</v>
      </c>
      <c r="Z60" s="6">
        <f t="shared" ref="Z60:AD60" si="55">Y60+Z49</f>
        <v>9178.7783426916012</v>
      </c>
      <c r="AA60" s="6">
        <f t="shared" si="55"/>
        <v>16792.782842740511</v>
      </c>
      <c r="AB60" s="6">
        <f t="shared" si="55"/>
        <v>25341.546411513627</v>
      </c>
      <c r="AC60" s="6">
        <f t="shared" si="55"/>
        <v>34926.544954952842</v>
      </c>
      <c r="AD60" s="6">
        <f t="shared" si="55"/>
        <v>45660.301870276598</v>
      </c>
    </row>
    <row r="61" spans="2:34" x14ac:dyDescent="0.2">
      <c r="B61" s="35" t="s">
        <v>3</v>
      </c>
      <c r="G61" s="6">
        <f>6758+677</f>
        <v>7435</v>
      </c>
      <c r="H61" s="4">
        <f>4931+782</f>
        <v>5713</v>
      </c>
      <c r="U61" s="35"/>
      <c r="W61" s="6">
        <f>7141+701</f>
        <v>7842</v>
      </c>
      <c r="X61" s="6">
        <v>7613</v>
      </c>
    </row>
    <row r="62" spans="2:34" x14ac:dyDescent="0.2">
      <c r="B62" s="35" t="s">
        <v>99</v>
      </c>
      <c r="G62" s="6">
        <f>6155+143+567+334+498</f>
        <v>7697</v>
      </c>
      <c r="H62" s="4">
        <f>6166+114+477+323+540</f>
        <v>7620</v>
      </c>
      <c r="U62" s="35"/>
      <c r="W62" s="6">
        <v>2224</v>
      </c>
      <c r="X62" s="6">
        <v>2072</v>
      </c>
    </row>
    <row r="63" spans="2:34" x14ac:dyDescent="0.2">
      <c r="B63" s="35" t="s">
        <v>100</v>
      </c>
      <c r="U63" s="35"/>
      <c r="W63" s="6">
        <v>1018</v>
      </c>
      <c r="X63" s="6">
        <v>1274</v>
      </c>
    </row>
    <row r="64" spans="2:34" x14ac:dyDescent="0.2">
      <c r="B64" s="35" t="s">
        <v>101</v>
      </c>
      <c r="U64" s="35"/>
      <c r="W64" s="6">
        <v>358</v>
      </c>
      <c r="X64" s="6">
        <v>281</v>
      </c>
    </row>
    <row r="65" spans="2:30" x14ac:dyDescent="0.2">
      <c r="B65" s="35" t="s">
        <v>36</v>
      </c>
      <c r="U65" s="35"/>
      <c r="W65" s="6">
        <v>12805</v>
      </c>
      <c r="X65" s="6">
        <v>12788</v>
      </c>
    </row>
    <row r="66" spans="2:30" x14ac:dyDescent="0.2">
      <c r="B66" s="35" t="s">
        <v>37</v>
      </c>
      <c r="U66" s="35"/>
      <c r="W66" s="6">
        <v>1088</v>
      </c>
      <c r="X66" s="6">
        <v>782</v>
      </c>
    </row>
    <row r="67" spans="2:30" x14ac:dyDescent="0.2">
      <c r="B67" s="35" t="s">
        <v>97</v>
      </c>
      <c r="U67" s="35"/>
      <c r="W67" s="6">
        <v>1191</v>
      </c>
      <c r="X67" s="6">
        <v>1657</v>
      </c>
    </row>
    <row r="68" spans="2:30" x14ac:dyDescent="0.2">
      <c r="B68" s="35" t="s">
        <v>35</v>
      </c>
      <c r="U68" s="35"/>
      <c r="W68" s="6">
        <v>2030</v>
      </c>
      <c r="X68" s="6">
        <v>1936</v>
      </c>
    </row>
    <row r="69" spans="2:30" x14ac:dyDescent="0.2">
      <c r="B69" s="35" t="s">
        <v>102</v>
      </c>
      <c r="U69" s="35"/>
      <c r="W69" s="6">
        <v>1223</v>
      </c>
      <c r="X69" s="6">
        <v>1554</v>
      </c>
    </row>
    <row r="70" spans="2:30" x14ac:dyDescent="0.2">
      <c r="B70" s="35" t="s">
        <v>38</v>
      </c>
      <c r="U70" s="35"/>
      <c r="W70" s="6">
        <f>SUM(W61:W69)</f>
        <v>29779</v>
      </c>
      <c r="X70" s="6">
        <f>SUM(X61:X69)</f>
        <v>29957</v>
      </c>
    </row>
    <row r="71" spans="2:30" x14ac:dyDescent="0.2">
      <c r="AA71" s="14"/>
      <c r="AB71" s="14"/>
      <c r="AC71" s="14"/>
    </row>
    <row r="72" spans="2:30" x14ac:dyDescent="0.2">
      <c r="B72" s="35" t="s">
        <v>4</v>
      </c>
      <c r="W72" s="6">
        <f>5083</f>
        <v>5083</v>
      </c>
      <c r="X72" s="6">
        <f>5679+1499</f>
        <v>7178</v>
      </c>
    </row>
    <row r="73" spans="2:30" x14ac:dyDescent="0.2">
      <c r="B73" s="35" t="s">
        <v>53</v>
      </c>
      <c r="W73" s="6">
        <v>314</v>
      </c>
      <c r="X73" s="6">
        <v>361</v>
      </c>
      <c r="Y73" s="6">
        <f>(Y39/360)*56</f>
        <v>403.82222222222214</v>
      </c>
      <c r="Z73" s="6">
        <f t="shared" ref="Z73:AD73" si="56">(Z39/360)*56</f>
        <v>439.58307555555547</v>
      </c>
      <c r="AA73" s="6">
        <f t="shared" si="56"/>
        <v>428.58421691555549</v>
      </c>
      <c r="AB73" s="6">
        <f t="shared" si="56"/>
        <v>472.29212834906679</v>
      </c>
      <c r="AC73" s="6">
        <f t="shared" si="56"/>
        <v>520.59631593603831</v>
      </c>
      <c r="AD73" s="6">
        <f t="shared" si="56"/>
        <v>573.99756527339287</v>
      </c>
    </row>
    <row r="74" spans="2:30" x14ac:dyDescent="0.2">
      <c r="B74" s="35" t="s">
        <v>103</v>
      </c>
      <c r="W74" s="6">
        <v>1942</v>
      </c>
      <c r="X74" s="6">
        <v>2336</v>
      </c>
      <c r="Y74" s="6">
        <f t="shared" ref="Y74:AD74" si="57">0.3*SUM(Y42:Y43)</f>
        <v>2362.9320000000002</v>
      </c>
      <c r="Z74" s="6">
        <f>0.3*SUM(Z42:Z43)</f>
        <v>2551.9665600000003</v>
      </c>
      <c r="AA74" s="6">
        <f t="shared" si="57"/>
        <v>2756.1238848000007</v>
      </c>
      <c r="AB74" s="6">
        <f t="shared" si="57"/>
        <v>2976.6137955840004</v>
      </c>
      <c r="AC74" s="6">
        <f t="shared" si="57"/>
        <v>3214.7428992307205</v>
      </c>
      <c r="AD74" s="6">
        <f t="shared" si="57"/>
        <v>3471.922331169179</v>
      </c>
    </row>
    <row r="75" spans="2:30" x14ac:dyDescent="0.2">
      <c r="B75" s="35" t="s">
        <v>54</v>
      </c>
      <c r="W75" s="6">
        <v>5837</v>
      </c>
      <c r="X75" s="6">
        <v>6131</v>
      </c>
      <c r="Y75" s="6">
        <f>0.3*Y35</f>
        <v>7080</v>
      </c>
      <c r="Z75" s="6">
        <f t="shared" ref="Z75:AD75" si="58">0.3*Z35</f>
        <v>7706.9759999999987</v>
      </c>
      <c r="AA75" s="6">
        <f t="shared" si="58"/>
        <v>7514.138868</v>
      </c>
      <c r="AB75" s="6">
        <f t="shared" si="58"/>
        <v>8280.4464061200015</v>
      </c>
      <c r="AC75" s="6">
        <f t="shared" si="58"/>
        <v>9127.3380066708014</v>
      </c>
      <c r="AD75" s="6">
        <f t="shared" si="58"/>
        <v>10063.593676871173</v>
      </c>
    </row>
    <row r="76" spans="2:30" x14ac:dyDescent="0.2">
      <c r="B76" s="35" t="s">
        <v>104</v>
      </c>
      <c r="W76" s="6">
        <v>85</v>
      </c>
      <c r="X76" s="6">
        <v>119</v>
      </c>
    </row>
    <row r="77" spans="2:30" x14ac:dyDescent="0.2">
      <c r="B77" s="35" t="s">
        <v>40</v>
      </c>
      <c r="W77" s="6">
        <f>SUM(W72:W76)</f>
        <v>13261</v>
      </c>
      <c r="X77" s="6">
        <f>SUM(X72:X76)</f>
        <v>16125</v>
      </c>
    </row>
    <row r="78" spans="2:30" x14ac:dyDescent="0.2">
      <c r="B78" s="35" t="s">
        <v>39</v>
      </c>
      <c r="W78" s="6">
        <f>W70-W77</f>
        <v>16518</v>
      </c>
      <c r="X78" s="6">
        <f>X70-X77</f>
        <v>13832</v>
      </c>
    </row>
    <row r="79" spans="2:30" x14ac:dyDescent="0.2">
      <c r="B79" s="35" t="s">
        <v>41</v>
      </c>
      <c r="W79" s="6">
        <f>W77+W78</f>
        <v>29779</v>
      </c>
      <c r="X79" s="6">
        <f>X77+X78</f>
        <v>29957</v>
      </c>
    </row>
    <row r="80" spans="2:30" x14ac:dyDescent="0.2">
      <c r="W80" s="14"/>
      <c r="X80" s="14"/>
    </row>
    <row r="81" spans="2:36" x14ac:dyDescent="0.2">
      <c r="B81" s="6" t="s">
        <v>49</v>
      </c>
      <c r="W81" s="6">
        <f>W62/W35*360</f>
        <v>41.250966046679373</v>
      </c>
      <c r="X81" s="6">
        <f>X62/X35*360</f>
        <v>34.68588700302255</v>
      </c>
    </row>
    <row r="82" spans="2:36" x14ac:dyDescent="0.2">
      <c r="B82" s="31" t="s">
        <v>113</v>
      </c>
      <c r="W82" s="6">
        <f>(W73/V39)*360</f>
        <v>52.212471131639724</v>
      </c>
      <c r="X82" s="6">
        <f>(X73/W39)*360</f>
        <v>55.208156329651651</v>
      </c>
      <c r="Y82" s="6">
        <f t="shared" ref="Y82:AD82" si="59">(Y73/X39)*360</f>
        <v>61.652247667514835</v>
      </c>
      <c r="Z82" s="6">
        <f t="shared" si="59"/>
        <v>60.959132203389828</v>
      </c>
      <c r="AA82" s="6">
        <f t="shared" si="59"/>
        <v>54.598817565800125</v>
      </c>
      <c r="AB82" s="6">
        <f t="shared" si="59"/>
        <v>61.710996680866799</v>
      </c>
      <c r="AC82" s="6">
        <f t="shared" si="59"/>
        <v>61.727460490027781</v>
      </c>
      <c r="AD82" s="6">
        <f t="shared" si="59"/>
        <v>61.744316414369848</v>
      </c>
    </row>
    <row r="83" spans="2:36" x14ac:dyDescent="0.2">
      <c r="V83" s="14"/>
      <c r="W83" s="14"/>
      <c r="X83" s="14"/>
      <c r="Y83" s="14"/>
      <c r="Z83" s="14"/>
      <c r="AA83" s="14"/>
      <c r="AB83" s="14"/>
      <c r="AC83" s="14"/>
    </row>
    <row r="84" spans="2:36" s="10" customFormat="1" x14ac:dyDescent="0.2">
      <c r="B84" s="6" t="s">
        <v>50</v>
      </c>
      <c r="V84" s="31">
        <f t="shared" ref="V84:AE84" si="60">V49</f>
        <v>6136</v>
      </c>
      <c r="W84" s="31">
        <f t="shared" si="60"/>
        <v>6721</v>
      </c>
      <c r="X84" s="31">
        <f t="shared" si="60"/>
        <v>7789</v>
      </c>
      <c r="Y84" s="31">
        <f t="shared" si="60"/>
        <v>8783.458741126482</v>
      </c>
      <c r="Z84" s="31">
        <f t="shared" si="60"/>
        <v>7623.1530746916005</v>
      </c>
      <c r="AA84" s="31">
        <f t="shared" si="60"/>
        <v>7614.0045000489117</v>
      </c>
      <c r="AB84" s="31">
        <f t="shared" si="60"/>
        <v>8548.7635687731145</v>
      </c>
      <c r="AC84" s="31">
        <f t="shared" si="60"/>
        <v>9584.9985434392111</v>
      </c>
      <c r="AD84" s="31">
        <f t="shared" si="60"/>
        <v>10733.756915323755</v>
      </c>
      <c r="AE84" s="31">
        <f t="shared" si="60"/>
        <v>10005.057777890286</v>
      </c>
      <c r="AI84" s="35"/>
    </row>
    <row r="85" spans="2:36" x14ac:dyDescent="0.2">
      <c r="B85" s="6" t="s">
        <v>51</v>
      </c>
      <c r="V85" s="6">
        <v>4756</v>
      </c>
      <c r="W85" s="6">
        <v>5428</v>
      </c>
      <c r="X85" s="6">
        <v>5560</v>
      </c>
      <c r="Y85" s="14"/>
      <c r="AI85" s="35"/>
    </row>
    <row r="86" spans="2:36" x14ac:dyDescent="0.2">
      <c r="B86" s="6" t="s">
        <v>52</v>
      </c>
      <c r="V86" s="6">
        <v>856</v>
      </c>
      <c r="W86" s="6">
        <v>872</v>
      </c>
      <c r="X86" s="6">
        <v>857</v>
      </c>
      <c r="Y86" s="6">
        <f>X86*(1+Y53)</f>
        <v>940.48825854452457</v>
      </c>
      <c r="Z86" s="6">
        <f>0.04*Z35</f>
        <v>1027.5968</v>
      </c>
      <c r="AA86" s="6">
        <f t="shared" ref="AA86:AE86" si="61">0.04*AA35</f>
        <v>1001.8851824000001</v>
      </c>
      <c r="AB86" s="6">
        <f t="shared" si="61"/>
        <v>1104.0595208160003</v>
      </c>
      <c r="AC86" s="6">
        <f t="shared" si="61"/>
        <v>1216.9784008894403</v>
      </c>
      <c r="AD86" s="6">
        <f t="shared" si="61"/>
        <v>1341.8124902494899</v>
      </c>
      <c r="AE86" s="6">
        <f t="shared" si="61"/>
        <v>1355.2306151519847</v>
      </c>
      <c r="AI86" s="35"/>
    </row>
    <row r="87" spans="2:36" x14ac:dyDescent="0.2">
      <c r="B87" s="31" t="s">
        <v>98</v>
      </c>
      <c r="V87" s="6">
        <v>1440</v>
      </c>
      <c r="W87" s="6">
        <v>1718</v>
      </c>
      <c r="X87" s="6">
        <v>1833</v>
      </c>
      <c r="Y87" s="6">
        <f>Y35*0.08</f>
        <v>1888</v>
      </c>
      <c r="AI87" s="35"/>
    </row>
    <row r="88" spans="2:36" x14ac:dyDescent="0.2">
      <c r="B88" s="31" t="s">
        <v>97</v>
      </c>
      <c r="V88" s="6">
        <v>328</v>
      </c>
      <c r="W88" s="6">
        <v>-426</v>
      </c>
      <c r="X88" s="6">
        <v>-468</v>
      </c>
      <c r="Y88" s="6">
        <f>X88*(1+Y53)</f>
        <v>-513.59218786328768</v>
      </c>
      <c r="AI88" s="35"/>
    </row>
    <row r="89" spans="2:36" x14ac:dyDescent="0.2">
      <c r="B89" s="31" t="s">
        <v>87</v>
      </c>
      <c r="V89" s="6">
        <v>29</v>
      </c>
      <c r="W89" s="6">
        <v>-10</v>
      </c>
      <c r="X89" s="6">
        <v>-35</v>
      </c>
      <c r="Y89" s="6">
        <f>X89*(1+Y53)</f>
        <v>-38.409672169262961</v>
      </c>
      <c r="AI89" s="35"/>
      <c r="AJ89" s="18"/>
    </row>
    <row r="90" spans="2:36" x14ac:dyDescent="0.2">
      <c r="B90" s="31" t="s">
        <v>89</v>
      </c>
      <c r="V90" s="6">
        <v>10</v>
      </c>
      <c r="W90" s="6">
        <v>3</v>
      </c>
      <c r="X90" s="6">
        <v>10</v>
      </c>
      <c r="Y90" s="6">
        <f>X90*(1+Y53)</f>
        <v>10.974192048360846</v>
      </c>
      <c r="AI90" s="35"/>
      <c r="AJ90" s="18"/>
    </row>
    <row r="91" spans="2:36" x14ac:dyDescent="0.2">
      <c r="B91" s="31" t="s">
        <v>85</v>
      </c>
      <c r="V91" s="6">
        <f>SUM(V73:V75)</f>
        <v>0</v>
      </c>
      <c r="W91" s="6">
        <f t="shared" ref="W91:AE91" si="62">SUM(W73:W75)</f>
        <v>8093</v>
      </c>
      <c r="X91" s="6">
        <f t="shared" si="62"/>
        <v>8828</v>
      </c>
      <c r="Y91" s="6">
        <f t="shared" si="62"/>
        <v>9846.7542222222219</v>
      </c>
      <c r="Z91" s="6">
        <f t="shared" si="62"/>
        <v>10698.525635555554</v>
      </c>
      <c r="AA91" s="6">
        <f t="shared" si="62"/>
        <v>10698.846969715556</v>
      </c>
      <c r="AB91" s="6">
        <f t="shared" si="62"/>
        <v>11729.352330053069</v>
      </c>
      <c r="AC91" s="6">
        <f t="shared" si="62"/>
        <v>12862.677221837559</v>
      </c>
      <c r="AD91" s="6">
        <f t="shared" si="62"/>
        <v>14109.513573313745</v>
      </c>
      <c r="AE91" s="6">
        <f t="shared" si="62"/>
        <v>0</v>
      </c>
      <c r="AI91" s="35"/>
      <c r="AJ91" s="18"/>
    </row>
    <row r="92" spans="2:36" x14ac:dyDescent="0.2">
      <c r="B92" s="31" t="s">
        <v>25</v>
      </c>
      <c r="V92" s="6">
        <f>SUM(V85:V90)</f>
        <v>7419</v>
      </c>
      <c r="W92" s="6">
        <f t="shared" ref="W92:X92" si="63">SUM(W85:W90)</f>
        <v>7585</v>
      </c>
      <c r="X92" s="6">
        <f t="shared" si="63"/>
        <v>7757</v>
      </c>
      <c r="Y92" s="6">
        <f>SUM(Y84:Y90)</f>
        <v>11070.919331686819</v>
      </c>
      <c r="Z92" s="6">
        <f t="shared" ref="Z92:AE92" si="64">SUM(Z84:Z90)</f>
        <v>8650.7498746916008</v>
      </c>
      <c r="AA92" s="6">
        <f t="shared" si="64"/>
        <v>8615.8896824489111</v>
      </c>
      <c r="AB92" s="6">
        <f t="shared" si="64"/>
        <v>9652.8230895891138</v>
      </c>
      <c r="AC92" s="6">
        <f t="shared" si="64"/>
        <v>10801.976944328651</v>
      </c>
      <c r="AD92" s="6">
        <f t="shared" si="64"/>
        <v>12075.569405573244</v>
      </c>
      <c r="AE92" s="6">
        <f t="shared" si="64"/>
        <v>11360.28839304227</v>
      </c>
      <c r="AJ92" s="18"/>
    </row>
    <row r="93" spans="2:36" x14ac:dyDescent="0.2">
      <c r="B93" s="31" t="s">
        <v>114</v>
      </c>
      <c r="X93" s="6">
        <f>X91-W91</f>
        <v>735</v>
      </c>
      <c r="Y93" s="6">
        <f>Y91-X91</f>
        <v>1018.7542222222219</v>
      </c>
      <c r="Z93" s="6">
        <f t="shared" ref="Z93:AD93" si="65">Z91-Y91</f>
        <v>851.77141333333202</v>
      </c>
      <c r="AA93" s="6">
        <f t="shared" si="65"/>
        <v>0.3213341600021522</v>
      </c>
      <c r="AB93" s="6">
        <f t="shared" si="65"/>
        <v>1030.5053603375127</v>
      </c>
      <c r="AC93" s="6">
        <f t="shared" si="65"/>
        <v>1133.3248917844903</v>
      </c>
      <c r="AD93" s="6">
        <f t="shared" si="65"/>
        <v>1246.8363514761859</v>
      </c>
      <c r="AE93" s="6">
        <v>0</v>
      </c>
      <c r="AJ93" s="18"/>
    </row>
    <row r="94" spans="2:36" x14ac:dyDescent="0.2">
      <c r="V94" s="14"/>
      <c r="W94" s="14"/>
      <c r="X94" s="14"/>
      <c r="Y94" s="14"/>
      <c r="Z94" s="14"/>
      <c r="AJ94" s="18"/>
    </row>
    <row r="95" spans="2:36" x14ac:dyDescent="0.2">
      <c r="B95" s="35" t="s">
        <v>86</v>
      </c>
      <c r="V95" s="6">
        <v>-568</v>
      </c>
      <c r="W95" s="6">
        <v>-360</v>
      </c>
      <c r="X95" s="6">
        <v>-183</v>
      </c>
      <c r="Y95" s="6">
        <v>-300</v>
      </c>
      <c r="Z95" s="31">
        <f>-0.02*Z35</f>
        <v>-513.79840000000002</v>
      </c>
      <c r="AA95" s="31">
        <f>-0.02*AA35</f>
        <v>-500.94259120000004</v>
      </c>
      <c r="AB95" s="31">
        <f>-0.02*AB35</f>
        <v>-552.02976040800013</v>
      </c>
      <c r="AC95" s="31">
        <f>-0.02*AC35</f>
        <v>-608.48920044472015</v>
      </c>
      <c r="AD95" s="31">
        <f>-0.02*AD35</f>
        <v>-670.90624512474494</v>
      </c>
      <c r="AE95" s="31">
        <f>-AE86</f>
        <v>-1355.2306151519847</v>
      </c>
    </row>
    <row r="96" spans="2:36" x14ac:dyDescent="0.2">
      <c r="B96" s="35" t="s">
        <v>87</v>
      </c>
      <c r="V96" s="6">
        <v>-2</v>
      </c>
      <c r="W96" s="6">
        <v>1136</v>
      </c>
      <c r="X96" s="6">
        <v>332</v>
      </c>
    </row>
    <row r="97" spans="2:131" x14ac:dyDescent="0.2">
      <c r="B97" s="35" t="s">
        <v>88</v>
      </c>
    </row>
    <row r="98" spans="2:131" x14ac:dyDescent="0.2">
      <c r="B98" s="35" t="s">
        <v>89</v>
      </c>
      <c r="AH98" s="9"/>
    </row>
    <row r="99" spans="2:131" x14ac:dyDescent="0.2">
      <c r="B99" s="35" t="s">
        <v>90</v>
      </c>
      <c r="V99" s="6">
        <f>SUM(V95:V98)</f>
        <v>-570</v>
      </c>
      <c r="W99" s="6">
        <f t="shared" ref="W99:AE99" si="66">SUM(W95:W98)</f>
        <v>776</v>
      </c>
      <c r="X99" s="6">
        <f t="shared" si="66"/>
        <v>149</v>
      </c>
      <c r="Y99" s="6">
        <f t="shared" si="66"/>
        <v>-300</v>
      </c>
      <c r="Z99" s="6">
        <f t="shared" si="66"/>
        <v>-513.79840000000002</v>
      </c>
      <c r="AA99" s="6">
        <f t="shared" si="66"/>
        <v>-500.94259120000004</v>
      </c>
      <c r="AB99" s="6">
        <f t="shared" si="66"/>
        <v>-552.02976040800013</v>
      </c>
      <c r="AC99" s="6">
        <f t="shared" si="66"/>
        <v>-608.48920044472015</v>
      </c>
      <c r="AD99" s="6">
        <f t="shared" si="66"/>
        <v>-670.90624512474494</v>
      </c>
      <c r="AE99" s="6">
        <f t="shared" si="66"/>
        <v>-1355.2306151519847</v>
      </c>
    </row>
    <row r="100" spans="2:131" x14ac:dyDescent="0.2">
      <c r="V100" s="14"/>
      <c r="W100" s="14"/>
      <c r="X100" s="14"/>
      <c r="Y100" s="14"/>
      <c r="Z100" s="14"/>
      <c r="AA100" s="14"/>
      <c r="AB100" s="14"/>
      <c r="AC100" s="14"/>
      <c r="AD100" s="14"/>
      <c r="AE100" s="14"/>
    </row>
    <row r="101" spans="2:131" x14ac:dyDescent="0.2">
      <c r="B101" s="35" t="s">
        <v>91</v>
      </c>
      <c r="V101" s="14"/>
      <c r="W101" s="14"/>
      <c r="X101" s="14"/>
      <c r="Z101" s="9"/>
      <c r="AA101" s="9"/>
      <c r="AB101" s="9"/>
      <c r="AC101" s="9"/>
      <c r="AD101" s="9"/>
      <c r="AE101" s="9"/>
      <c r="AG101" s="6" t="s">
        <v>29</v>
      </c>
      <c r="AH101" s="14">
        <v>0.03</v>
      </c>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row>
    <row r="102" spans="2:131" x14ac:dyDescent="0.2">
      <c r="B102" s="35" t="s">
        <v>92</v>
      </c>
      <c r="AG102" s="6" t="s">
        <v>30</v>
      </c>
      <c r="AH102" s="14">
        <v>0.01</v>
      </c>
    </row>
    <row r="103" spans="2:131" x14ac:dyDescent="0.2">
      <c r="B103" s="35" t="s">
        <v>93</v>
      </c>
      <c r="AG103" s="6" t="s">
        <v>31</v>
      </c>
      <c r="AH103" s="15">
        <v>8.5000000000000006E-2</v>
      </c>
    </row>
    <row r="104" spans="2:131" x14ac:dyDescent="0.2">
      <c r="B104" s="35" t="s">
        <v>89</v>
      </c>
      <c r="AG104" s="6" t="s">
        <v>32</v>
      </c>
      <c r="AH104" s="20">
        <f>NPV(AH103,Z109:DI109)+Main!K5-Main!K6</f>
        <v>120626.04386399603</v>
      </c>
    </row>
    <row r="105" spans="2:131" x14ac:dyDescent="0.2">
      <c r="B105" s="35" t="s">
        <v>94</v>
      </c>
      <c r="V105" s="6">
        <f>SUM(V101:V104)</f>
        <v>0</v>
      </c>
      <c r="W105" s="6">
        <f t="shared" ref="W105:AE105" si="67">SUM(W101:W104)</f>
        <v>0</v>
      </c>
      <c r="X105" s="6">
        <f t="shared" si="67"/>
        <v>0</v>
      </c>
      <c r="Y105" s="6">
        <f t="shared" si="67"/>
        <v>0</v>
      </c>
      <c r="Z105" s="6">
        <f t="shared" si="67"/>
        <v>0</v>
      </c>
      <c r="AA105" s="6">
        <f t="shared" si="67"/>
        <v>0</v>
      </c>
      <c r="AB105" s="6">
        <f t="shared" si="67"/>
        <v>0</v>
      </c>
      <c r="AC105" s="6">
        <f t="shared" si="67"/>
        <v>0</v>
      </c>
      <c r="AD105" s="6">
        <f t="shared" si="67"/>
        <v>0</v>
      </c>
      <c r="AE105" s="6">
        <f t="shared" si="67"/>
        <v>0</v>
      </c>
      <c r="AG105" s="19" t="s">
        <v>61</v>
      </c>
      <c r="AH105" s="9">
        <f>AH104/Main!K3</f>
        <v>293.85150758586121</v>
      </c>
    </row>
    <row r="106" spans="2:131" x14ac:dyDescent="0.2">
      <c r="B106" s="35" t="s">
        <v>95</v>
      </c>
      <c r="AH106" s="14">
        <f>AH105/Main!K2-1</f>
        <v>0.13019810609946614</v>
      </c>
    </row>
    <row r="107" spans="2:131" x14ac:dyDescent="0.2">
      <c r="B107" s="35" t="s">
        <v>96</v>
      </c>
      <c r="V107" s="6">
        <f t="shared" ref="V107:AE107" si="68">V92+V99+V105+V106</f>
        <v>6849</v>
      </c>
      <c r="W107" s="6">
        <f t="shared" si="68"/>
        <v>8361</v>
      </c>
      <c r="X107" s="6">
        <f t="shared" si="68"/>
        <v>7906</v>
      </c>
      <c r="Y107" s="6">
        <f t="shared" si="68"/>
        <v>10770.919331686819</v>
      </c>
      <c r="Z107" s="6">
        <f t="shared" si="68"/>
        <v>8136.9514746916011</v>
      </c>
      <c r="AA107" s="6">
        <f t="shared" si="68"/>
        <v>8114.9470912489114</v>
      </c>
      <c r="AB107" s="6">
        <f t="shared" si="68"/>
        <v>9100.7933291811132</v>
      </c>
      <c r="AC107" s="6">
        <f t="shared" si="68"/>
        <v>10193.487743883932</v>
      </c>
      <c r="AD107" s="6">
        <f t="shared" si="68"/>
        <v>11404.663160448499</v>
      </c>
      <c r="AE107" s="6">
        <f t="shared" si="68"/>
        <v>10005.057777890286</v>
      </c>
      <c r="AG107" s="42"/>
      <c r="AH107" s="9"/>
      <c r="AI107" s="42"/>
    </row>
    <row r="109" spans="2:131" x14ac:dyDescent="0.2">
      <c r="B109" s="31" t="s">
        <v>26</v>
      </c>
      <c r="V109" s="6">
        <f>V92+V95</f>
        <v>6851</v>
      </c>
      <c r="W109" s="6">
        <f>W92+W95</f>
        <v>7225</v>
      </c>
      <c r="X109" s="6">
        <f>X92+X95</f>
        <v>7574</v>
      </c>
      <c r="Y109" s="6">
        <f>Y92+Y95</f>
        <v>10770.919331686819</v>
      </c>
      <c r="Z109" s="6">
        <f>Z92+Z95-Z93</f>
        <v>7285.1800613582691</v>
      </c>
      <c r="AA109" s="6">
        <f t="shared" ref="AA109:AE109" si="69">AA92+AA95-AA93</f>
        <v>8114.6257570889093</v>
      </c>
      <c r="AB109" s="6">
        <f t="shared" si="69"/>
        <v>8070.2879688436005</v>
      </c>
      <c r="AC109" s="6">
        <f t="shared" si="69"/>
        <v>9060.1628520994418</v>
      </c>
      <c r="AD109" s="6">
        <f t="shared" si="69"/>
        <v>10157.826808972313</v>
      </c>
      <c r="AE109" s="6">
        <f t="shared" si="69"/>
        <v>10005.057777890286</v>
      </c>
      <c r="AF109" s="6">
        <f t="shared" ref="AF109:BK109" si="70">AE109*(1+$AH$102)</f>
        <v>10105.108355669188</v>
      </c>
      <c r="AG109" s="6">
        <f t="shared" si="70"/>
        <v>10206.159439225879</v>
      </c>
      <c r="AH109" s="6">
        <f t="shared" si="70"/>
        <v>10308.221033618138</v>
      </c>
      <c r="AI109" s="6">
        <f t="shared" si="70"/>
        <v>10411.303243954319</v>
      </c>
      <c r="AJ109" s="6">
        <f t="shared" si="70"/>
        <v>10515.416276393862</v>
      </c>
      <c r="AK109" s="6">
        <f t="shared" si="70"/>
        <v>10620.5704391578</v>
      </c>
      <c r="AL109" s="6">
        <f t="shared" si="70"/>
        <v>10726.776143549378</v>
      </c>
      <c r="AM109" s="6">
        <f t="shared" si="70"/>
        <v>10834.043904984872</v>
      </c>
      <c r="AN109" s="6">
        <f t="shared" si="70"/>
        <v>10942.384344034721</v>
      </c>
      <c r="AO109" s="6">
        <f t="shared" si="70"/>
        <v>11051.808187475068</v>
      </c>
      <c r="AP109" s="6">
        <f t="shared" si="70"/>
        <v>11162.326269349818</v>
      </c>
      <c r="AQ109" s="6">
        <f t="shared" si="70"/>
        <v>11273.949532043316</v>
      </c>
      <c r="AR109" s="6">
        <f t="shared" si="70"/>
        <v>11386.689027363749</v>
      </c>
      <c r="AS109" s="6">
        <f t="shared" si="70"/>
        <v>11500.555917637386</v>
      </c>
      <c r="AT109" s="6">
        <f t="shared" si="70"/>
        <v>11615.56147681376</v>
      </c>
      <c r="AU109" s="6">
        <f t="shared" si="70"/>
        <v>11731.717091581899</v>
      </c>
      <c r="AV109" s="6">
        <f t="shared" si="70"/>
        <v>11849.034262497718</v>
      </c>
      <c r="AW109" s="6">
        <f t="shared" si="70"/>
        <v>11967.524605122695</v>
      </c>
      <c r="AX109" s="6">
        <f t="shared" si="70"/>
        <v>12087.199851173922</v>
      </c>
      <c r="AY109" s="6">
        <f t="shared" si="70"/>
        <v>12208.071849685661</v>
      </c>
      <c r="AZ109" s="6">
        <f t="shared" si="70"/>
        <v>12330.152568182517</v>
      </c>
      <c r="BA109" s="6">
        <f t="shared" si="70"/>
        <v>12453.454093864342</v>
      </c>
      <c r="BB109" s="6">
        <f t="shared" si="70"/>
        <v>12577.988634802985</v>
      </c>
      <c r="BC109" s="6">
        <f t="shared" si="70"/>
        <v>12703.768521151014</v>
      </c>
      <c r="BD109" s="6">
        <f t="shared" si="70"/>
        <v>12830.806206362524</v>
      </c>
      <c r="BE109" s="6">
        <f t="shared" si="70"/>
        <v>12959.114268426149</v>
      </c>
      <c r="BF109" s="6">
        <f t="shared" si="70"/>
        <v>13088.70541111041</v>
      </c>
      <c r="BG109" s="6">
        <f t="shared" si="70"/>
        <v>13219.592465221514</v>
      </c>
      <c r="BH109" s="6">
        <f t="shared" si="70"/>
        <v>13351.788389873729</v>
      </c>
      <c r="BI109" s="6">
        <f t="shared" si="70"/>
        <v>13485.306273772467</v>
      </c>
      <c r="BJ109" s="6">
        <f t="shared" si="70"/>
        <v>13620.159336510191</v>
      </c>
      <c r="BK109" s="6">
        <f t="shared" si="70"/>
        <v>13756.360929875293</v>
      </c>
      <c r="BL109" s="6">
        <f t="shared" ref="BL109:CQ109" si="71">BK109*(1+$AH$102)</f>
        <v>13893.924539174046</v>
      </c>
      <c r="BM109" s="6">
        <f t="shared" si="71"/>
        <v>14032.863784565787</v>
      </c>
      <c r="BN109" s="6">
        <f t="shared" si="71"/>
        <v>14173.192422411445</v>
      </c>
      <c r="BO109" s="6">
        <f t="shared" si="71"/>
        <v>14314.924346635558</v>
      </c>
      <c r="BP109" s="6">
        <f t="shared" si="71"/>
        <v>14458.073590101914</v>
      </c>
      <c r="BQ109" s="6">
        <f t="shared" si="71"/>
        <v>14602.654326002934</v>
      </c>
      <c r="BR109" s="6">
        <f t="shared" si="71"/>
        <v>14748.680869262964</v>
      </c>
      <c r="BS109" s="6">
        <f t="shared" si="71"/>
        <v>14896.167677955593</v>
      </c>
      <c r="BT109" s="6">
        <f t="shared" si="71"/>
        <v>15045.129354735149</v>
      </c>
      <c r="BU109" s="6">
        <f t="shared" si="71"/>
        <v>15195.580648282501</v>
      </c>
      <c r="BV109" s="6">
        <f t="shared" si="71"/>
        <v>15347.536454765326</v>
      </c>
      <c r="BW109" s="6">
        <f t="shared" si="71"/>
        <v>15501.01181931298</v>
      </c>
      <c r="BX109" s="6">
        <f t="shared" si="71"/>
        <v>15656.02193750611</v>
      </c>
      <c r="BY109" s="6">
        <f t="shared" si="71"/>
        <v>15812.582156881172</v>
      </c>
      <c r="BZ109" s="6">
        <f t="shared" si="71"/>
        <v>15970.707978449984</v>
      </c>
      <c r="CA109" s="6">
        <f t="shared" si="71"/>
        <v>16130.415058234485</v>
      </c>
      <c r="CB109" s="6">
        <f t="shared" si="71"/>
        <v>16291.71920881683</v>
      </c>
      <c r="CC109" s="6">
        <f t="shared" si="71"/>
        <v>16454.636400904998</v>
      </c>
      <c r="CD109" s="6">
        <f t="shared" si="71"/>
        <v>16619.182764914047</v>
      </c>
      <c r="CE109" s="6">
        <f t="shared" si="71"/>
        <v>16785.374592563188</v>
      </c>
      <c r="CF109" s="6">
        <f t="shared" si="71"/>
        <v>16953.228338488821</v>
      </c>
      <c r="CG109" s="6">
        <f t="shared" si="71"/>
        <v>17122.760621873709</v>
      </c>
      <c r="CH109" s="6">
        <f t="shared" si="71"/>
        <v>17293.988228092447</v>
      </c>
      <c r="CI109" s="6">
        <f t="shared" si="71"/>
        <v>17466.92811037337</v>
      </c>
      <c r="CJ109" s="6">
        <f t="shared" si="71"/>
        <v>17641.597391477106</v>
      </c>
      <c r="CK109" s="6">
        <f t="shared" si="71"/>
        <v>17818.013365391878</v>
      </c>
      <c r="CL109" s="6">
        <f t="shared" si="71"/>
        <v>17996.193499045796</v>
      </c>
      <c r="CM109" s="6">
        <f t="shared" si="71"/>
        <v>18176.155434036253</v>
      </c>
      <c r="CN109" s="6">
        <f t="shared" si="71"/>
        <v>18357.916988376615</v>
      </c>
      <c r="CO109" s="6">
        <f t="shared" si="71"/>
        <v>18541.496158260383</v>
      </c>
      <c r="CP109" s="6">
        <f t="shared" si="71"/>
        <v>18726.911119842985</v>
      </c>
      <c r="CQ109" s="6">
        <f t="shared" si="71"/>
        <v>18914.180231041417</v>
      </c>
      <c r="CR109" s="6">
        <f t="shared" ref="CR109:DI109" si="72">CQ109*(1+$AH$102)</f>
        <v>19103.322033351833</v>
      </c>
      <c r="CS109" s="6">
        <f t="shared" si="72"/>
        <v>19294.355253685353</v>
      </c>
      <c r="CT109" s="6">
        <f t="shared" si="72"/>
        <v>19487.298806222207</v>
      </c>
      <c r="CU109" s="6">
        <f t="shared" si="72"/>
        <v>19682.17179428443</v>
      </c>
      <c r="CV109" s="6">
        <f t="shared" si="72"/>
        <v>19878.993512227273</v>
      </c>
      <c r="CW109" s="6">
        <f t="shared" si="72"/>
        <v>20077.783447349546</v>
      </c>
      <c r="CX109" s="6">
        <f t="shared" si="72"/>
        <v>20278.56128182304</v>
      </c>
      <c r="CY109" s="6">
        <f t="shared" si="72"/>
        <v>20481.346894641272</v>
      </c>
      <c r="CZ109" s="6">
        <f t="shared" si="72"/>
        <v>20686.160363587685</v>
      </c>
      <c r="DA109" s="6">
        <f t="shared" si="72"/>
        <v>20893.021967223562</v>
      </c>
      <c r="DB109" s="6">
        <f t="shared" si="72"/>
        <v>21101.952186895796</v>
      </c>
      <c r="DC109" s="6">
        <f t="shared" si="72"/>
        <v>21312.971708764755</v>
      </c>
      <c r="DD109" s="6">
        <f t="shared" si="72"/>
        <v>21526.101425852401</v>
      </c>
      <c r="DE109" s="6">
        <f t="shared" si="72"/>
        <v>21741.362440110926</v>
      </c>
      <c r="DF109" s="6">
        <f t="shared" si="72"/>
        <v>21958.776064512036</v>
      </c>
      <c r="DG109" s="6">
        <f t="shared" si="72"/>
        <v>22178.363825157157</v>
      </c>
      <c r="DH109" s="6">
        <f t="shared" si="72"/>
        <v>22400.147463408728</v>
      </c>
      <c r="DI109" s="6">
        <f t="shared" si="72"/>
        <v>22624.148938042814</v>
      </c>
    </row>
    <row r="111" spans="2:131" x14ac:dyDescent="0.2">
      <c r="B111" s="5" t="s">
        <v>175</v>
      </c>
      <c r="AG111" s="14">
        <f>((NPV(AH103,Z109:DI109)+Main!K5-Main!K6)/Main!K3)/Main!K2-1</f>
        <v>0.13019810609946614</v>
      </c>
      <c r="AH111" s="14">
        <v>7.0000000000000007E-2</v>
      </c>
      <c r="AI111" s="14">
        <v>0.08</v>
      </c>
      <c r="AJ111" s="15">
        <v>8.5000000000000006E-2</v>
      </c>
      <c r="AK111" s="14">
        <v>0.09</v>
      </c>
      <c r="AL111" s="14">
        <v>0.1</v>
      </c>
      <c r="AM111" s="14">
        <v>0.11</v>
      </c>
      <c r="AN111" s="31" t="s">
        <v>31</v>
      </c>
    </row>
    <row r="112" spans="2:131" x14ac:dyDescent="0.2">
      <c r="B112" s="5" t="s">
        <v>32</v>
      </c>
      <c r="AG112" s="6">
        <v>40</v>
      </c>
      <c r="AH112" s="14">
        <f t="dataTable" ref="AH112:AM118" dt2D="1" dtr="1" r1="AH103" r2="AA18"/>
        <v>0.27067977037073798</v>
      </c>
      <c r="AI112" s="14">
        <v>8.8432375797382612E-2</v>
      </c>
      <c r="AJ112" s="14">
        <v>1.4712216531189926E-2</v>
      </c>
      <c r="AK112" s="14">
        <v>-5.0070248531448036E-2</v>
      </c>
      <c r="AL112" s="14">
        <v>-0.15844717826113741</v>
      </c>
      <c r="AM112" s="14">
        <v>-0.24536303216826005</v>
      </c>
    </row>
    <row r="113" spans="2:41" x14ac:dyDescent="0.2">
      <c r="AG113" s="6">
        <v>60</v>
      </c>
      <c r="AH113" s="14">
        <v>0.32016072627187064</v>
      </c>
      <c r="AI113" s="14">
        <v>0.13008572481533331</v>
      </c>
      <c r="AJ113" s="14">
        <v>5.3207513053948885E-2</v>
      </c>
      <c r="AK113" s="14">
        <v>-1.4345023449551908E-2</v>
      </c>
      <c r="AL113" s="14">
        <v>-0.1273427030716322</v>
      </c>
      <c r="AM113" s="14">
        <v>-0.21794860564536067</v>
      </c>
    </row>
    <row r="114" spans="2:41" x14ac:dyDescent="0.2">
      <c r="AG114" s="6">
        <v>80</v>
      </c>
      <c r="AH114" s="14">
        <v>0.36964168217300108</v>
      </c>
      <c r="AI114" s="14">
        <v>0.17173907383328646</v>
      </c>
      <c r="AJ114" s="34">
        <v>9.1702809576708066E-2</v>
      </c>
      <c r="AK114" s="14">
        <v>2.1380201632344331E-2</v>
      </c>
      <c r="AL114" s="14">
        <v>-9.6238227882126992E-2</v>
      </c>
      <c r="AM114" s="14">
        <v>-0.1905341791224614</v>
      </c>
    </row>
    <row r="115" spans="2:41" x14ac:dyDescent="0.2">
      <c r="AG115" s="6">
        <v>100</v>
      </c>
      <c r="AH115" s="14">
        <v>0.41912263807413286</v>
      </c>
      <c r="AI115" s="14">
        <v>0.21339242285123627</v>
      </c>
      <c r="AJ115" s="12">
        <v>0.13019810609946614</v>
      </c>
      <c r="AK115" s="14">
        <v>5.7105426714239016E-2</v>
      </c>
      <c r="AL115" s="14">
        <v>-6.5133752692622005E-2</v>
      </c>
      <c r="AM115" s="14">
        <v>-0.16311975259956235</v>
      </c>
    </row>
    <row r="116" spans="2:41" x14ac:dyDescent="0.2">
      <c r="AG116" s="6">
        <v>150</v>
      </c>
      <c r="AH116" s="14">
        <v>0.54282502782696418</v>
      </c>
      <c r="AI116" s="14">
        <v>0.31752579539611658</v>
      </c>
      <c r="AJ116" s="14">
        <v>0.22643634740636531</v>
      </c>
      <c r="AK116" s="14">
        <v>0.14641848941898106</v>
      </c>
      <c r="AL116" s="14">
        <v>1.2627435281141741E-2</v>
      </c>
      <c r="AM116" s="14">
        <v>-9.4583686292314062E-2</v>
      </c>
    </row>
    <row r="117" spans="2:41" x14ac:dyDescent="0.2">
      <c r="AG117" s="6">
        <v>200</v>
      </c>
      <c r="AH117" s="14">
        <v>0.66652741757979261</v>
      </c>
      <c r="AI117" s="14">
        <v>0.42165916794099667</v>
      </c>
      <c r="AJ117" s="14">
        <v>0.32267458871326138</v>
      </c>
      <c r="AK117" s="14">
        <v>0.23573155212372199</v>
      </c>
      <c r="AL117" s="14">
        <v>9.0388623254904266E-2</v>
      </c>
      <c r="AM117" s="14">
        <v>-2.6047619985065773E-2</v>
      </c>
    </row>
    <row r="118" spans="2:41" x14ac:dyDescent="0.2">
      <c r="AG118" s="6">
        <v>300</v>
      </c>
      <c r="AH118" s="14">
        <v>0.91393219708545015</v>
      </c>
      <c r="AI118" s="14">
        <v>0.62992591303075551</v>
      </c>
      <c r="AJ118" s="14">
        <v>0.51515107132705573</v>
      </c>
      <c r="AK118" s="14">
        <v>0.41435767753320274</v>
      </c>
      <c r="AL118" s="14">
        <v>0.24591099920243198</v>
      </c>
      <c r="AM118" s="14">
        <v>0.11102451262943003</v>
      </c>
    </row>
    <row r="119" spans="2:41" x14ac:dyDescent="0.2">
      <c r="AG119" s="31" t="s">
        <v>178</v>
      </c>
    </row>
    <row r="120" spans="2:41" x14ac:dyDescent="0.2">
      <c r="AG120" s="31" t="s">
        <v>179</v>
      </c>
    </row>
    <row r="121" spans="2:41" x14ac:dyDescent="0.2">
      <c r="AK121" s="14">
        <f>AVERAGE(AJ114:AL117)</f>
        <v>9.7774299970532011E-2</v>
      </c>
    </row>
    <row r="122" spans="2:41" x14ac:dyDescent="0.2">
      <c r="AG122" s="14"/>
      <c r="AO122" s="42"/>
    </row>
    <row r="123" spans="2:41" x14ac:dyDescent="0.2">
      <c r="AH123" s="14"/>
      <c r="AI123" s="14"/>
      <c r="AJ123" s="14"/>
      <c r="AK123" s="14"/>
      <c r="AL123" s="14"/>
      <c r="AM123" s="14"/>
      <c r="AN123" s="14"/>
    </row>
    <row r="124" spans="2:41" x14ac:dyDescent="0.2">
      <c r="AH124" s="14"/>
      <c r="AI124" s="14"/>
      <c r="AJ124" s="14"/>
      <c r="AK124" s="14"/>
      <c r="AL124" s="14"/>
      <c r="AM124" s="14"/>
      <c r="AN124" s="14"/>
    </row>
    <row r="125" spans="2:41" x14ac:dyDescent="0.2">
      <c r="B125" s="35"/>
      <c r="AH125" s="14"/>
      <c r="AI125" s="14"/>
      <c r="AJ125" s="14"/>
      <c r="AK125" s="14"/>
      <c r="AL125" s="14"/>
      <c r="AM125" s="14"/>
      <c r="AN125" s="14"/>
    </row>
    <row r="126" spans="2:41" x14ac:dyDescent="0.2">
      <c r="B126" s="35"/>
      <c r="AH126" s="14"/>
      <c r="AI126" s="14"/>
      <c r="AJ126" s="14"/>
      <c r="AK126" s="14"/>
      <c r="AL126" s="14"/>
      <c r="AM126" s="14"/>
      <c r="AN126" s="14"/>
    </row>
    <row r="127" spans="2:41" x14ac:dyDescent="0.2">
      <c r="B127" s="35"/>
      <c r="AH127" s="14"/>
      <c r="AI127" s="14"/>
      <c r="AJ127" s="14"/>
      <c r="AK127" s="14"/>
      <c r="AL127" s="14"/>
      <c r="AM127" s="14"/>
      <c r="AN127" s="14"/>
    </row>
    <row r="128" spans="2:41" x14ac:dyDescent="0.2">
      <c r="B128" s="35"/>
      <c r="AH128" s="14"/>
      <c r="AI128" s="14"/>
      <c r="AJ128" s="14"/>
      <c r="AK128" s="14"/>
      <c r="AL128" s="14"/>
      <c r="AM128" s="14"/>
      <c r="AN128" s="14"/>
    </row>
    <row r="129" spans="34:40" x14ac:dyDescent="0.2">
      <c r="AH129" s="14"/>
      <c r="AI129" s="14"/>
      <c r="AJ129" s="14"/>
      <c r="AK129" s="14"/>
      <c r="AL129" s="14"/>
      <c r="AM129" s="14"/>
      <c r="AN129" s="14"/>
    </row>
    <row r="131" spans="34:40" x14ac:dyDescent="0.2">
      <c r="AK131" s="31"/>
    </row>
  </sheetData>
  <conditionalFormatting sqref="AH112:AM118">
    <cfRule type="colorScale" priority="2">
      <colorScale>
        <cfvo type="min"/>
        <cfvo type="percentile" val="50"/>
        <cfvo type="max"/>
        <color rgb="FFF8696B"/>
        <color rgb="FFFFEB84"/>
        <color rgb="FF63BE7B"/>
      </colorScale>
    </cfRule>
  </conditionalFormatting>
  <conditionalFormatting sqref="AH123:AN129">
    <cfRule type="colorScale" priority="1">
      <colorScale>
        <cfvo type="min"/>
        <cfvo type="percentile" val="50"/>
        <cfvo type="max"/>
        <color rgb="FFF8696B"/>
        <color rgb="FFFFEB84"/>
        <color rgb="FF63BE7B"/>
      </colorScale>
    </cfRule>
  </conditionalFormatting>
  <hyperlinks>
    <hyperlink ref="A1" location="Sheet1!A1" display="Main" xr:uid="{23B09628-C10F-428D-B1F6-3DB7F50BA868}"/>
    <hyperlink ref="B111" location="Model!AG107" display="ARPU Sensitivity Analysis" xr:uid="{CD2E99ED-E0DD-431F-B56B-50C50F7E7545}"/>
    <hyperlink ref="B112" location="Model!AG100" display="NPV" xr:uid="{93D05349-5F75-4F61-B38D-56A8C549A4AD}"/>
  </hyperlinks>
  <pageMargins left="0.7" right="0.7" top="0.75" bottom="0.75" header="0.3" footer="0.3"/>
  <pageSetup orientation="portrait" horizontalDpi="300" verticalDpi="300" r:id="rId1"/>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14A74-0698-45CB-A077-8AF8B150DA3C}">
  <dimension ref="A1:I42"/>
  <sheetViews>
    <sheetView zoomScale="160" zoomScaleNormal="160" workbookViewId="0">
      <selection activeCell="C13" sqref="C13"/>
    </sheetView>
  </sheetViews>
  <sheetFormatPr defaultRowHeight="12.75" x14ac:dyDescent="0.2"/>
  <cols>
    <col min="1" max="1" width="5" style="32" bestFit="1" customWidth="1"/>
    <col min="2" max="2" width="22.5703125" style="32" bestFit="1" customWidth="1"/>
    <col min="3" max="16384" width="9.140625" style="32"/>
  </cols>
  <sheetData>
    <row r="1" spans="1:5" x14ac:dyDescent="0.2">
      <c r="A1" s="38" t="s">
        <v>42</v>
      </c>
      <c r="D1" s="1"/>
    </row>
    <row r="2" spans="1:5" x14ac:dyDescent="0.2">
      <c r="B2" s="33" t="s">
        <v>118</v>
      </c>
      <c r="C2" s="32">
        <v>10638</v>
      </c>
      <c r="E2" s="36" t="s">
        <v>125</v>
      </c>
    </row>
    <row r="3" spans="1:5" x14ac:dyDescent="0.2">
      <c r="B3" s="33" t="s">
        <v>119</v>
      </c>
      <c r="C3" s="32">
        <v>40</v>
      </c>
      <c r="E3" s="33" t="s">
        <v>116</v>
      </c>
    </row>
    <row r="4" spans="1:5" x14ac:dyDescent="0.2">
      <c r="A4" s="32" t="s">
        <v>124</v>
      </c>
      <c r="B4" s="33" t="s">
        <v>120</v>
      </c>
      <c r="C4" s="32">
        <v>15</v>
      </c>
      <c r="E4" s="31" t="s">
        <v>111</v>
      </c>
    </row>
    <row r="5" spans="1:5" x14ac:dyDescent="0.2">
      <c r="A5" s="32" t="s">
        <v>124</v>
      </c>
      <c r="B5" s="33" t="s">
        <v>121</v>
      </c>
      <c r="C5" s="32">
        <v>60</v>
      </c>
      <c r="E5" s="33" t="s">
        <v>112</v>
      </c>
    </row>
    <row r="6" spans="1:5" x14ac:dyDescent="0.2">
      <c r="B6" s="33" t="s">
        <v>122</v>
      </c>
      <c r="C6" s="32">
        <f>(C2-(C4*12*C3))/((C5*12)-(C4*12))</f>
        <v>6.3666666666666663</v>
      </c>
      <c r="E6" s="31" t="s">
        <v>117</v>
      </c>
    </row>
    <row r="7" spans="1:5" x14ac:dyDescent="0.2">
      <c r="B7" s="33" t="s">
        <v>123</v>
      </c>
      <c r="C7" s="32">
        <f>C3-C6</f>
        <v>33.633333333333333</v>
      </c>
    </row>
    <row r="8" spans="1:5" x14ac:dyDescent="0.2">
      <c r="B8" s="8"/>
      <c r="E8" s="32" t="s">
        <v>127</v>
      </c>
    </row>
    <row r="9" spans="1:5" x14ac:dyDescent="0.2">
      <c r="B9" s="8"/>
      <c r="E9" s="32" t="s">
        <v>120</v>
      </c>
    </row>
    <row r="10" spans="1:5" x14ac:dyDescent="0.2">
      <c r="E10" s="32" t="s">
        <v>121</v>
      </c>
    </row>
    <row r="11" spans="1:5" x14ac:dyDescent="0.2">
      <c r="E11" s="37" t="s">
        <v>132</v>
      </c>
    </row>
    <row r="13" spans="1:5" x14ac:dyDescent="0.2">
      <c r="E13" s="32" t="s">
        <v>129</v>
      </c>
    </row>
    <row r="14" spans="1:5" x14ac:dyDescent="0.2">
      <c r="E14" s="32" t="s">
        <v>130</v>
      </c>
    </row>
    <row r="15" spans="1:5" x14ac:dyDescent="0.2">
      <c r="E15" s="32" t="s">
        <v>131</v>
      </c>
    </row>
    <row r="17" spans="2:9" x14ac:dyDescent="0.2">
      <c r="E17" s="32" t="s">
        <v>128</v>
      </c>
    </row>
    <row r="18" spans="2:9" x14ac:dyDescent="0.2">
      <c r="E18" s="32" t="s">
        <v>126</v>
      </c>
    </row>
    <row r="20" spans="2:9" x14ac:dyDescent="0.2">
      <c r="E20" s="32" t="s">
        <v>133</v>
      </c>
    </row>
    <row r="21" spans="2:9" x14ac:dyDescent="0.2">
      <c r="E21" s="32" t="s">
        <v>134</v>
      </c>
    </row>
    <row r="22" spans="2:9" x14ac:dyDescent="0.2">
      <c r="E22" s="32" t="s">
        <v>135</v>
      </c>
    </row>
    <row r="23" spans="2:9" x14ac:dyDescent="0.2">
      <c r="E23" s="32" t="s">
        <v>137</v>
      </c>
    </row>
    <row r="24" spans="2:9" x14ac:dyDescent="0.2">
      <c r="E24" s="32" t="s">
        <v>136</v>
      </c>
    </row>
    <row r="26" spans="2:9" x14ac:dyDescent="0.2">
      <c r="E26" s="36" t="s">
        <v>140</v>
      </c>
    </row>
    <row r="28" spans="2:9" x14ac:dyDescent="0.2">
      <c r="C28" s="32">
        <f>'CC Model'!C6*'CC Model'!C5*12</f>
        <v>4584</v>
      </c>
      <c r="D28" s="32">
        <v>5</v>
      </c>
      <c r="E28" s="32">
        <v>10</v>
      </c>
      <c r="F28" s="32">
        <v>15</v>
      </c>
      <c r="G28" s="32">
        <v>20</v>
      </c>
      <c r="H28" s="32">
        <v>22</v>
      </c>
      <c r="I28" s="32" t="s">
        <v>139</v>
      </c>
    </row>
    <row r="29" spans="2:9" x14ac:dyDescent="0.2">
      <c r="B29" s="43"/>
      <c r="C29" s="32">
        <v>23</v>
      </c>
      <c r="D29" s="32">
        <f t="dataTable" ref="D29:H37" dt2D="1" dtr="1" r1="C4" r2="C5"/>
        <v>10526.333333333332</v>
      </c>
      <c r="E29" s="32">
        <v>10328.76923076923</v>
      </c>
      <c r="F29" s="32">
        <v>9884.25</v>
      </c>
      <c r="G29" s="32">
        <v>7958</v>
      </c>
      <c r="H29" s="32">
        <v>1794</v>
      </c>
    </row>
    <row r="30" spans="2:9" x14ac:dyDescent="0.2">
      <c r="C30" s="32">
        <v>30</v>
      </c>
      <c r="D30" s="32">
        <v>9885.6</v>
      </c>
      <c r="E30" s="32">
        <v>8757</v>
      </c>
      <c r="F30" s="32">
        <v>6876</v>
      </c>
      <c r="G30" s="32">
        <v>3114</v>
      </c>
      <c r="H30" s="32">
        <v>292.5</v>
      </c>
    </row>
    <row r="31" spans="2:9" x14ac:dyDescent="0.2">
      <c r="C31" s="32">
        <v>40</v>
      </c>
      <c r="D31" s="32">
        <v>9414.8571428571431</v>
      </c>
      <c r="E31" s="32">
        <v>7784</v>
      </c>
      <c r="F31" s="32">
        <v>5500.8</v>
      </c>
      <c r="G31" s="32">
        <v>2076</v>
      </c>
      <c r="H31" s="32">
        <v>173.33333333333334</v>
      </c>
    </row>
    <row r="32" spans="2:9" x14ac:dyDescent="0.2">
      <c r="C32" s="32">
        <v>50</v>
      </c>
      <c r="D32" s="32">
        <v>9153.3333333333339</v>
      </c>
      <c r="E32" s="32">
        <v>7297.5</v>
      </c>
      <c r="F32" s="32">
        <v>4911.4285714285716</v>
      </c>
      <c r="G32" s="32">
        <v>1730</v>
      </c>
      <c r="H32" s="32">
        <v>139.28571428571428</v>
      </c>
    </row>
    <row r="33" spans="3:8" x14ac:dyDescent="0.2">
      <c r="C33" s="32">
        <v>60</v>
      </c>
      <c r="D33" s="32">
        <v>8986.9090909090919</v>
      </c>
      <c r="E33" s="32">
        <v>7005.6</v>
      </c>
      <c r="F33" s="1">
        <v>4584</v>
      </c>
      <c r="G33" s="32">
        <v>1557</v>
      </c>
      <c r="H33" s="32">
        <v>123.15789473684211</v>
      </c>
    </row>
    <row r="34" spans="3:8" x14ac:dyDescent="0.2">
      <c r="C34" s="32">
        <v>70</v>
      </c>
      <c r="D34" s="32">
        <v>8871.6923076923067</v>
      </c>
      <c r="E34" s="32">
        <v>6810.9999999999991</v>
      </c>
      <c r="F34" s="32">
        <v>4375.636363636364</v>
      </c>
      <c r="G34" s="32">
        <v>1453.1999999999998</v>
      </c>
      <c r="H34" s="32">
        <v>113.75</v>
      </c>
    </row>
    <row r="35" spans="3:8" x14ac:dyDescent="0.2">
      <c r="C35" s="32">
        <v>80</v>
      </c>
      <c r="D35" s="32">
        <v>8787.2000000000007</v>
      </c>
      <c r="E35" s="32">
        <v>6672</v>
      </c>
      <c r="F35" s="32">
        <v>4231.3846153846152</v>
      </c>
      <c r="G35" s="32">
        <v>1384</v>
      </c>
      <c r="H35" s="32">
        <v>107.58620689655172</v>
      </c>
    </row>
    <row r="36" spans="3:8" x14ac:dyDescent="0.2">
      <c r="C36" s="32">
        <v>90</v>
      </c>
      <c r="D36" s="32">
        <v>8722.5882352941171</v>
      </c>
      <c r="E36" s="32">
        <v>6567.75</v>
      </c>
      <c r="F36" s="32">
        <v>4125.6000000000004</v>
      </c>
      <c r="G36" s="32">
        <v>1334.5714285714287</v>
      </c>
      <c r="H36" s="32">
        <v>103.23529411764704</v>
      </c>
    </row>
    <row r="37" spans="3:8" x14ac:dyDescent="0.2">
      <c r="C37" s="32">
        <v>100</v>
      </c>
      <c r="D37" s="32">
        <v>8671.5789473684217</v>
      </c>
      <c r="E37" s="32">
        <v>6486.6666666666661</v>
      </c>
      <c r="F37" s="32">
        <v>4044.7058823529414</v>
      </c>
      <c r="G37" s="32">
        <v>1297.5</v>
      </c>
      <c r="H37" s="32">
        <v>99.999999999999986</v>
      </c>
    </row>
    <row r="38" spans="3:8" x14ac:dyDescent="0.2">
      <c r="C38" s="32" t="s">
        <v>138</v>
      </c>
    </row>
    <row r="39" spans="3:8" x14ac:dyDescent="0.2">
      <c r="E39" s="32" t="s">
        <v>141</v>
      </c>
    </row>
    <row r="40" spans="3:8" x14ac:dyDescent="0.2">
      <c r="E40" s="43" t="s">
        <v>203</v>
      </c>
    </row>
    <row r="41" spans="3:8" x14ac:dyDescent="0.2">
      <c r="E41" s="43" t="s">
        <v>204</v>
      </c>
    </row>
    <row r="42" spans="3:8" x14ac:dyDescent="0.2">
      <c r="E42" s="43"/>
    </row>
  </sheetData>
  <conditionalFormatting sqref="D29:H37">
    <cfRule type="colorScale" priority="1">
      <colorScale>
        <cfvo type="min"/>
        <cfvo type="percentile" val="50"/>
        <cfvo type="max"/>
        <color rgb="FFF8696B"/>
        <color rgb="FFFFEB84"/>
        <color rgb="FF63BE7B"/>
      </colorScale>
    </cfRule>
  </conditionalFormatting>
  <hyperlinks>
    <hyperlink ref="A1" location="Main!A1" display="Main" xr:uid="{336E1778-9E7F-42E6-8B87-8FB2BCA5CE05}"/>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C055F-E604-4755-AF20-EEFE8F06FE88}">
  <dimension ref="A1:D20"/>
  <sheetViews>
    <sheetView zoomScale="130" zoomScaleNormal="130" workbookViewId="0">
      <pane xSplit="2" ySplit="2" topLeftCell="C3" activePane="bottomRight" state="frozen"/>
      <selection pane="topRight" activeCell="C1" sqref="C1"/>
      <selection pane="bottomLeft" activeCell="A3" sqref="A3"/>
      <selection pane="bottomRight" activeCell="D24" sqref="D24"/>
    </sheetView>
  </sheetViews>
  <sheetFormatPr defaultRowHeight="12.75" x14ac:dyDescent="0.2"/>
  <cols>
    <col min="1" max="1" width="5" style="43" bestFit="1" customWidth="1"/>
    <col min="2" max="2" width="9.140625" style="43"/>
    <col min="3" max="3" width="14.42578125" style="43" customWidth="1"/>
    <col min="4" max="16384" width="9.140625" style="43"/>
  </cols>
  <sheetData>
    <row r="1" spans="1:4" x14ac:dyDescent="0.2">
      <c r="A1" s="38" t="s">
        <v>42</v>
      </c>
    </row>
    <row r="2" spans="1:4" x14ac:dyDescent="0.2">
      <c r="B2" s="43" t="s">
        <v>230</v>
      </c>
      <c r="C2" s="43" t="s">
        <v>231</v>
      </c>
      <c r="D2" s="43" t="s">
        <v>232</v>
      </c>
    </row>
    <row r="3" spans="1:4" x14ac:dyDescent="0.2">
      <c r="B3" s="38" t="s">
        <v>67</v>
      </c>
    </row>
    <row r="4" spans="1:4" x14ac:dyDescent="0.2">
      <c r="D4" s="43" t="s">
        <v>81</v>
      </c>
    </row>
    <row r="5" spans="1:4" x14ac:dyDescent="0.2">
      <c r="D5" s="43" t="s">
        <v>82</v>
      </c>
    </row>
    <row r="6" spans="1:4" x14ac:dyDescent="0.2">
      <c r="D6" s="43" t="s">
        <v>84</v>
      </c>
    </row>
    <row r="8" spans="1:4" x14ac:dyDescent="0.2">
      <c r="D8" s="43" t="s">
        <v>185</v>
      </c>
    </row>
    <row r="9" spans="1:4" x14ac:dyDescent="0.2">
      <c r="D9" s="43" t="s">
        <v>186</v>
      </c>
    </row>
    <row r="10" spans="1:4" x14ac:dyDescent="0.2">
      <c r="D10" s="43" t="s">
        <v>187</v>
      </c>
    </row>
    <row r="12" spans="1:4" x14ac:dyDescent="0.2">
      <c r="B12" s="43" t="s">
        <v>197</v>
      </c>
    </row>
    <row r="16" spans="1:4" x14ac:dyDescent="0.2">
      <c r="B16" s="43" t="s">
        <v>198</v>
      </c>
    </row>
    <row r="20" spans="2:2" x14ac:dyDescent="0.2">
      <c r="B20" s="43" t="s">
        <v>199</v>
      </c>
    </row>
  </sheetData>
  <hyperlinks>
    <hyperlink ref="A1" location="Main!A1" display="Main" xr:uid="{57CC344B-77FC-4721-A491-E9AD202E5FE1}"/>
    <hyperlink ref="B3" r:id="rId1" xr:uid="{1D9CF85B-3F66-49D9-91E7-9A558C2621C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07B75-744E-4DFC-8BA9-D76EBC1DD8AE}">
  <dimension ref="A1:C10"/>
  <sheetViews>
    <sheetView zoomScale="145" zoomScaleNormal="145" workbookViewId="0">
      <selection activeCell="D15" sqref="D15"/>
    </sheetView>
  </sheetViews>
  <sheetFormatPr defaultRowHeight="12.75" x14ac:dyDescent="0.2"/>
  <cols>
    <col min="1" max="1" width="5" style="32" bestFit="1" customWidth="1"/>
    <col min="2" max="16384" width="9.140625" style="32"/>
  </cols>
  <sheetData>
    <row r="1" spans="1:3" x14ac:dyDescent="0.2">
      <c r="A1" s="38" t="s">
        <v>42</v>
      </c>
    </row>
    <row r="3" spans="1:3" x14ac:dyDescent="0.2">
      <c r="B3" s="32">
        <v>2007</v>
      </c>
      <c r="C3" s="32" t="s">
        <v>152</v>
      </c>
    </row>
    <row r="4" spans="1:3" x14ac:dyDescent="0.2">
      <c r="B4" s="32">
        <v>2012</v>
      </c>
      <c r="C4" s="32" t="s">
        <v>153</v>
      </c>
    </row>
    <row r="5" spans="1:3" x14ac:dyDescent="0.2">
      <c r="B5" s="32">
        <v>2014</v>
      </c>
      <c r="C5" s="32" t="s">
        <v>154</v>
      </c>
    </row>
    <row r="6" spans="1:3" x14ac:dyDescent="0.2">
      <c r="B6" s="32" t="s">
        <v>155</v>
      </c>
      <c r="C6" s="32" t="s">
        <v>156</v>
      </c>
    </row>
    <row r="9" spans="1:3" x14ac:dyDescent="0.2">
      <c r="B9" s="32">
        <v>2024</v>
      </c>
      <c r="C9" s="32" t="s">
        <v>176</v>
      </c>
    </row>
    <row r="10" spans="1:3" x14ac:dyDescent="0.2">
      <c r="B10" s="32">
        <v>2026</v>
      </c>
      <c r="C10" s="32" t="s">
        <v>177</v>
      </c>
    </row>
  </sheetData>
  <hyperlinks>
    <hyperlink ref="A1" location="Main!A1" display="Main" xr:uid="{76F3B995-E50F-4483-9AB5-8E1385A731CD}"/>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4DC0C-C050-4EDC-80A5-805F78D8E79B}">
  <dimension ref="A1:E7"/>
  <sheetViews>
    <sheetView zoomScale="115" zoomScaleNormal="115" workbookViewId="0">
      <pane xSplit="4" ySplit="2" topLeftCell="E3" activePane="bottomRight" state="frozen"/>
      <selection pane="topRight" activeCell="C1" sqref="C1"/>
      <selection pane="bottomLeft" activeCell="A3" sqref="A3"/>
      <selection pane="bottomRight" activeCell="B3" sqref="B3"/>
    </sheetView>
  </sheetViews>
  <sheetFormatPr defaultRowHeight="12.75" x14ac:dyDescent="0.2"/>
  <cols>
    <col min="1" max="1" width="5" style="43" bestFit="1" customWidth="1"/>
    <col min="2" max="2" width="10" style="43" bestFit="1" customWidth="1"/>
    <col min="3" max="3" width="4.85546875" style="43" bestFit="1" customWidth="1"/>
    <col min="4" max="4" width="28.140625" style="43" customWidth="1"/>
    <col min="5" max="16384" width="9.140625" style="43"/>
  </cols>
  <sheetData>
    <row r="1" spans="1:5" x14ac:dyDescent="0.2">
      <c r="A1" s="38" t="s">
        <v>42</v>
      </c>
      <c r="B1" s="38"/>
      <c r="C1" s="38"/>
    </row>
    <row r="2" spans="1:5" x14ac:dyDescent="0.2">
      <c r="B2" s="43" t="s">
        <v>236</v>
      </c>
      <c r="C2" s="43" t="s">
        <v>235</v>
      </c>
      <c r="D2" s="43" t="s">
        <v>233</v>
      </c>
      <c r="E2" s="43" t="s">
        <v>234</v>
      </c>
    </row>
    <row r="7" spans="1:5" x14ac:dyDescent="0.2">
      <c r="C7" s="46">
        <v>46084</v>
      </c>
    </row>
  </sheetData>
  <hyperlinks>
    <hyperlink ref="A1" location="Main!A1" display="Main" xr:uid="{1EE68F7C-8B94-4243-8283-FB95EEE9A5F7}"/>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9E34F-9CF5-4A56-83E9-C7934E3E1D46}">
  <dimension ref="A1:G1010"/>
  <sheetViews>
    <sheetView topLeftCell="A19" zoomScale="145" zoomScaleNormal="145" workbookViewId="0">
      <selection activeCell="G32" sqref="G32"/>
    </sheetView>
  </sheetViews>
  <sheetFormatPr defaultRowHeight="12.75" x14ac:dyDescent="0.2"/>
  <cols>
    <col min="1" max="1" width="5" style="43" bestFit="1" customWidth="1"/>
    <col min="2" max="2" width="15.28515625" style="43" bestFit="1" customWidth="1"/>
    <col min="3" max="16384" width="9.140625" style="43"/>
  </cols>
  <sheetData>
    <row r="1" spans="1:7" x14ac:dyDescent="0.2">
      <c r="A1" s="38" t="s">
        <v>42</v>
      </c>
    </row>
    <row r="2" spans="1:7" x14ac:dyDescent="0.2">
      <c r="B2" s="43" t="s">
        <v>205</v>
      </c>
      <c r="C2" s="43">
        <v>80</v>
      </c>
      <c r="E2" s="43">
        <f ca="1">_xlfn.NORM.INV(RAND(), C2,C3)</f>
        <v>50.936687056860592</v>
      </c>
      <c r="G2" s="43" t="s">
        <v>180</v>
      </c>
    </row>
    <row r="3" spans="1:7" x14ac:dyDescent="0.2">
      <c r="B3" s="43" t="s">
        <v>206</v>
      </c>
      <c r="C3" s="43">
        <v>40</v>
      </c>
      <c r="G3" s="43" t="s">
        <v>240</v>
      </c>
    </row>
    <row r="4" spans="1:7" x14ac:dyDescent="0.2">
      <c r="B4" s="43" t="s">
        <v>209</v>
      </c>
      <c r="C4" s="43">
        <v>6</v>
      </c>
      <c r="E4" s="43">
        <f ca="1">_xlfn.NORM.INV(RAND(), C4,C5)</f>
        <v>4.5053234373170028</v>
      </c>
      <c r="G4" s="43" t="s">
        <v>239</v>
      </c>
    </row>
    <row r="5" spans="1:7" x14ac:dyDescent="0.2">
      <c r="B5" s="43" t="s">
        <v>210</v>
      </c>
      <c r="C5" s="43">
        <v>5</v>
      </c>
    </row>
    <row r="6" spans="1:7" x14ac:dyDescent="0.2">
      <c r="B6" s="43" t="s">
        <v>207</v>
      </c>
      <c r="C6" s="43">
        <v>0.2</v>
      </c>
      <c r="E6" s="43">
        <f ca="1">_xlfn.NORM.INV(RAND(), C6,C7)</f>
        <v>1.1077227359175434E-2</v>
      </c>
      <c r="G6" s="43" t="s">
        <v>241</v>
      </c>
    </row>
    <row r="7" spans="1:7" x14ac:dyDescent="0.2">
      <c r="B7" s="43" t="s">
        <v>208</v>
      </c>
      <c r="C7" s="43">
        <v>0.5</v>
      </c>
      <c r="G7" s="43" t="s">
        <v>220</v>
      </c>
    </row>
    <row r="8" spans="1:7" x14ac:dyDescent="0.2">
      <c r="B8" s="43" t="s">
        <v>216</v>
      </c>
      <c r="E8" s="43">
        <f ca="1">(E2*12)*E4*(1+E6)</f>
        <v>2784.3398566055234</v>
      </c>
      <c r="G8" s="43" t="s">
        <v>221</v>
      </c>
    </row>
    <row r="10" spans="1:7" x14ac:dyDescent="0.2">
      <c r="B10" s="43">
        <f ca="1">E8</f>
        <v>2784.3398566055234</v>
      </c>
      <c r="E10" s="36" t="s">
        <v>216</v>
      </c>
    </row>
    <row r="11" spans="1:7" x14ac:dyDescent="0.2">
      <c r="A11" s="43">
        <v>1</v>
      </c>
      <c r="B11" s="43">
        <f t="dataTable" ref="B11:B1010" dt2D="0" dtr="0" r1="A2" ca="1"/>
        <v>-129.095798935538</v>
      </c>
      <c r="C11" s="43">
        <f>($F$22+B11)*$F$23/Main!$K$3</f>
        <v>236.75434581191107</v>
      </c>
      <c r="E11" s="43">
        <f>AVERAGE(B11:B211)</f>
        <v>6979.7512982120406</v>
      </c>
      <c r="F11" s="43" t="s">
        <v>214</v>
      </c>
    </row>
    <row r="12" spans="1:7" x14ac:dyDescent="0.2">
      <c r="A12" s="43">
        <f>A11+1</f>
        <v>2</v>
      </c>
      <c r="B12" s="43">
        <v>1967.5069528604167</v>
      </c>
      <c r="C12" s="43">
        <f>($F$22+B12)*$F$23/Main!$K$3</f>
        <v>254.93682034636561</v>
      </c>
      <c r="E12" s="44">
        <f>E11/Model!AD23-1</f>
        <v>8.1825414822075393E-2</v>
      </c>
      <c r="F12" s="43" t="s">
        <v>219</v>
      </c>
    </row>
    <row r="13" spans="1:7" x14ac:dyDescent="0.2">
      <c r="A13" s="43">
        <f t="shared" ref="A13:A76" si="0">A12+1</f>
        <v>3</v>
      </c>
      <c r="B13" s="43">
        <v>7521.9642798593668</v>
      </c>
      <c r="C13" s="43">
        <f>($F$22+B13)*$F$23/Main!$K$3</f>
        <v>303.10702274372557</v>
      </c>
    </row>
    <row r="14" spans="1:7" x14ac:dyDescent="0.2">
      <c r="A14" s="43">
        <f t="shared" si="0"/>
        <v>4</v>
      </c>
      <c r="B14" s="43">
        <v>2762.5472582695288</v>
      </c>
      <c r="C14" s="43">
        <f>($F$22+B14)*$F$23/Main!$K$3</f>
        <v>261.83168876842757</v>
      </c>
      <c r="E14" s="36" t="s">
        <v>213</v>
      </c>
    </row>
    <row r="15" spans="1:7" x14ac:dyDescent="0.2">
      <c r="A15" s="43">
        <f t="shared" si="0"/>
        <v>5</v>
      </c>
      <c r="B15" s="43">
        <v>449.96592110774242</v>
      </c>
      <c r="C15" s="43">
        <f>($F$22+B15)*$F$23/Main!$K$3</f>
        <v>241.77617217818164</v>
      </c>
      <c r="E15" s="43">
        <f>AVERAGE(C11:C211)</f>
        <v>298.40476156305692</v>
      </c>
      <c r="F15" s="43" t="s">
        <v>214</v>
      </c>
    </row>
    <row r="16" spans="1:7" x14ac:dyDescent="0.2">
      <c r="A16" s="43">
        <f t="shared" si="0"/>
        <v>6</v>
      </c>
      <c r="B16" s="43">
        <v>21267.022635247067</v>
      </c>
      <c r="C16" s="43">
        <f>($F$22+B16)*$F$23/Main!$K$3</f>
        <v>422.30899045427418</v>
      </c>
      <c r="E16" s="44">
        <f>E15/Model!$AH$105-1</f>
        <v>1.5495084624894462E-2</v>
      </c>
      <c r="F16" s="43" t="s">
        <v>219</v>
      </c>
    </row>
    <row r="17" spans="1:7" x14ac:dyDescent="0.2">
      <c r="A17" s="43">
        <f t="shared" si="0"/>
        <v>7</v>
      </c>
      <c r="B17" s="43">
        <v>-2424.6453647065109</v>
      </c>
      <c r="C17" s="43">
        <f>($F$22+B17)*$F$23/Main!$K$3</f>
        <v>216.84653471777057</v>
      </c>
      <c r="E17" s="43">
        <f>_xlfn.PERCENTILE.INC($C$11:$C$1010, 0.25)</f>
        <v>248.62618547449856</v>
      </c>
      <c r="F17" s="43" t="s">
        <v>217</v>
      </c>
    </row>
    <row r="18" spans="1:7" x14ac:dyDescent="0.2">
      <c r="A18" s="43">
        <f t="shared" si="0"/>
        <v>8</v>
      </c>
      <c r="B18" s="43">
        <v>9729.796800942031</v>
      </c>
      <c r="C18" s="43">
        <f>($F$22+B18)*$F$23/Main!$K$3</f>
        <v>322.25412085591626</v>
      </c>
      <c r="E18" s="44">
        <f>E17/Model!$AH$105-1</f>
        <v>-0.15390536016953449</v>
      </c>
      <c r="F18" s="43" t="s">
        <v>219</v>
      </c>
    </row>
    <row r="19" spans="1:7" x14ac:dyDescent="0.2">
      <c r="A19" s="43">
        <f t="shared" si="0"/>
        <v>9</v>
      </c>
      <c r="B19" s="43">
        <v>917.81071890776388</v>
      </c>
      <c r="C19" s="43">
        <f>($F$22+B19)*$F$23/Main!$K$3</f>
        <v>245.83348638078354</v>
      </c>
      <c r="E19" s="43">
        <f>_xlfn.PERCENTILE.INC($C$11:$C$1010, 0.75)</f>
        <v>333.60949478076611</v>
      </c>
      <c r="F19" s="43" t="s">
        <v>218</v>
      </c>
    </row>
    <row r="20" spans="1:7" x14ac:dyDescent="0.2">
      <c r="A20" s="43">
        <f t="shared" si="0"/>
        <v>10</v>
      </c>
      <c r="B20" s="43">
        <v>31348.389322884217</v>
      </c>
      <c r="C20" s="43">
        <f>($F$22+B20)*$F$23/Main!$K$3</f>
        <v>509.73813882939788</v>
      </c>
      <c r="E20" s="44">
        <f>E19/Model!$AH$105-1</f>
        <v>0.13529958556801991</v>
      </c>
      <c r="F20" s="43" t="s">
        <v>219</v>
      </c>
    </row>
    <row r="21" spans="1:7" x14ac:dyDescent="0.2">
      <c r="A21" s="43">
        <f t="shared" si="0"/>
        <v>11</v>
      </c>
      <c r="B21" s="43">
        <v>8590.3548026325007</v>
      </c>
      <c r="C21" s="43">
        <f>($F$22+B21)*$F$23/Main!$K$3</f>
        <v>312.37248013976051</v>
      </c>
    </row>
    <row r="22" spans="1:7" x14ac:dyDescent="0.2">
      <c r="A22" s="43">
        <f t="shared" si="0"/>
        <v>12</v>
      </c>
      <c r="B22" s="43">
        <v>16599.824376782413</v>
      </c>
      <c r="C22" s="43">
        <f>($F$22+B22)*$F$23/Main!$K$3</f>
        <v>381.83340994237614</v>
      </c>
      <c r="E22" s="43" t="s">
        <v>212</v>
      </c>
      <c r="F22" s="43">
        <v>27429</v>
      </c>
    </row>
    <row r="23" spans="1:7" x14ac:dyDescent="0.2">
      <c r="A23" s="43">
        <f t="shared" si="0"/>
        <v>13</v>
      </c>
      <c r="B23" s="43">
        <v>4525.2942806763085</v>
      </c>
      <c r="C23" s="43">
        <f>($F$22+B23)*$F$23/Main!$K$3</f>
        <v>277.11884930379455</v>
      </c>
      <c r="E23" s="43" t="s">
        <v>215</v>
      </c>
      <c r="F23" s="43">
        <v>3.56</v>
      </c>
    </row>
    <row r="24" spans="1:7" x14ac:dyDescent="0.2">
      <c r="A24" s="43">
        <f t="shared" si="0"/>
        <v>14</v>
      </c>
      <c r="B24" s="43">
        <v>5278.0357074298845</v>
      </c>
      <c r="C24" s="43">
        <f>($F$22+B24)*$F$23/Main!$K$3</f>
        <v>283.64688701205938</v>
      </c>
    </row>
    <row r="25" spans="1:7" x14ac:dyDescent="0.2">
      <c r="A25" s="43">
        <f t="shared" si="0"/>
        <v>15</v>
      </c>
      <c r="B25" s="43">
        <v>18160.899078688883</v>
      </c>
      <c r="C25" s="43">
        <f>($F$22+B25)*$F$23/Main!$K$3</f>
        <v>395.37159736938469</v>
      </c>
      <c r="E25" s="36" t="s">
        <v>222</v>
      </c>
    </row>
    <row r="26" spans="1:7" x14ac:dyDescent="0.2">
      <c r="A26" s="43">
        <f t="shared" si="0"/>
        <v>16</v>
      </c>
      <c r="B26" s="43">
        <v>-2100.0400129191953</v>
      </c>
      <c r="C26" s="43">
        <f>($F$22+B26)*$F$23/Main!$K$3</f>
        <v>219.66162619733902</v>
      </c>
    </row>
    <row r="27" spans="1:7" x14ac:dyDescent="0.2">
      <c r="A27" s="43">
        <f t="shared" si="0"/>
        <v>17</v>
      </c>
      <c r="B27" s="43">
        <v>1507.8893985774016</v>
      </c>
      <c r="C27" s="43">
        <f>($F$22+B27)*$F$23/Main!$K$3</f>
        <v>250.95085568559207</v>
      </c>
      <c r="E27" s="43" t="s">
        <v>223</v>
      </c>
      <c r="F27" s="44">
        <f>COUNTIF(C11:C1010, "&gt;"&amp;Main!K2*(1/0.7))/1000</f>
        <v>0.13800000000000001</v>
      </c>
      <c r="G27" s="43" t="s">
        <v>237</v>
      </c>
    </row>
    <row r="28" spans="1:7" x14ac:dyDescent="0.2">
      <c r="A28" s="43">
        <f t="shared" si="0"/>
        <v>18</v>
      </c>
      <c r="B28" s="43">
        <v>-4001.2740091612354</v>
      </c>
      <c r="C28" s="43">
        <f>($F$22+B28)*$F$23/Main!$K$3</f>
        <v>203.17345804478927</v>
      </c>
      <c r="E28" s="43" t="s">
        <v>224</v>
      </c>
      <c r="F28" s="44">
        <f>1-F27</f>
        <v>0.86199999999999999</v>
      </c>
    </row>
    <row r="29" spans="1:7" x14ac:dyDescent="0.2">
      <c r="A29" s="43">
        <f t="shared" si="0"/>
        <v>19</v>
      </c>
      <c r="B29" s="43">
        <v>22990.462953324368</v>
      </c>
      <c r="C29" s="43">
        <f>($F$22+B29)*$F$23/Main!$K$3</f>
        <v>437.25526946122966</v>
      </c>
    </row>
    <row r="30" spans="1:7" x14ac:dyDescent="0.2">
      <c r="A30" s="43">
        <f t="shared" si="0"/>
        <v>20</v>
      </c>
      <c r="B30" s="43">
        <v>-99.128874208211826</v>
      </c>
      <c r="C30" s="43">
        <f>($F$22+B30)*$F$23/Main!$K$3</f>
        <v>237.01422949529541</v>
      </c>
      <c r="E30" s="43" t="s">
        <v>226</v>
      </c>
      <c r="F30" s="44">
        <f>AVERAGEIF(C11:C1010, "&gt;"&amp;Main!K2*(1/0.7))/Main!K2 - 1</f>
        <v>0.68473879868902077</v>
      </c>
      <c r="G30" s="44"/>
    </row>
    <row r="31" spans="1:7" x14ac:dyDescent="0.2">
      <c r="A31" s="43">
        <f t="shared" si="0"/>
        <v>21</v>
      </c>
      <c r="B31" s="43">
        <v>57.311183153599984</v>
      </c>
      <c r="C31" s="43">
        <f>($F$22+B31)*$F$23/Main!$K$3</f>
        <v>238.37093255061345</v>
      </c>
      <c r="E31" s="43" t="s">
        <v>227</v>
      </c>
      <c r="F31" s="44">
        <f>1 - (AVERAGEIF(C11:C1010, "&lt;="&amp;Main!K2)/Main!K2)</f>
        <v>9.3543843760260703E-2</v>
      </c>
      <c r="G31" s="44"/>
    </row>
    <row r="32" spans="1:7" x14ac:dyDescent="0.2">
      <c r="A32" s="43">
        <f t="shared" si="0"/>
        <v>22</v>
      </c>
      <c r="B32" s="43">
        <v>4612.9706037579881</v>
      </c>
      <c r="C32" s="43">
        <f>($F$22+B32)*$F$23/Main!$K$3</f>
        <v>277.8792091336868</v>
      </c>
      <c r="E32" s="43" t="s">
        <v>225</v>
      </c>
      <c r="F32" s="45">
        <f>F30/F31</f>
        <v>7.3199771482975082</v>
      </c>
      <c r="G32" s="44"/>
    </row>
    <row r="33" spans="1:6" x14ac:dyDescent="0.2">
      <c r="A33" s="43">
        <f t="shared" si="0"/>
        <v>23</v>
      </c>
      <c r="B33" s="43">
        <v>13743.19034289189</v>
      </c>
      <c r="C33" s="43">
        <f>($F$22+B33)*$F$23/Main!$K$3</f>
        <v>357.05967751691867</v>
      </c>
    </row>
    <row r="34" spans="1:6" x14ac:dyDescent="0.2">
      <c r="A34" s="43">
        <f t="shared" si="0"/>
        <v>24</v>
      </c>
      <c r="B34" s="43">
        <v>3590.3186538278542</v>
      </c>
      <c r="C34" s="43">
        <f>($F$22+B34)*$F$23/Main!$K$3</f>
        <v>269.01041268605888</v>
      </c>
      <c r="E34" s="43" t="s">
        <v>228</v>
      </c>
      <c r="F34" s="44">
        <f>F27 - (F28/F32)</f>
        <v>2.0240069533484104E-2</v>
      </c>
    </row>
    <row r="35" spans="1:6" x14ac:dyDescent="0.2">
      <c r="A35" s="43">
        <f t="shared" si="0"/>
        <v>25</v>
      </c>
      <c r="B35" s="43">
        <v>29578.958780824334</v>
      </c>
      <c r="C35" s="43">
        <f>($F$22+B35)*$F$23/Main!$K$3</f>
        <v>494.39301646707588</v>
      </c>
      <c r="E35" s="43" t="s">
        <v>229</v>
      </c>
      <c r="F35" s="44">
        <f>F34/2</f>
        <v>1.0120034766742052E-2</v>
      </c>
    </row>
    <row r="36" spans="1:6" x14ac:dyDescent="0.2">
      <c r="A36" s="43">
        <f t="shared" si="0"/>
        <v>26</v>
      </c>
      <c r="B36" s="43">
        <v>-1261.1641772697715</v>
      </c>
      <c r="C36" s="43">
        <f>($F$22+B36)*$F$23/Main!$K$3</f>
        <v>226.93665171478588</v>
      </c>
    </row>
    <row r="37" spans="1:6" x14ac:dyDescent="0.2">
      <c r="A37" s="43">
        <f t="shared" si="0"/>
        <v>27</v>
      </c>
      <c r="B37" s="43">
        <v>11838.100717713061</v>
      </c>
      <c r="C37" s="43">
        <f>($F$22+B37)*$F$23/Main!$K$3</f>
        <v>340.53807199770648</v>
      </c>
      <c r="E37" s="43" t="s">
        <v>238</v>
      </c>
    </row>
    <row r="38" spans="1:6" x14ac:dyDescent="0.2">
      <c r="A38" s="43">
        <f t="shared" si="0"/>
        <v>28</v>
      </c>
      <c r="B38" s="43">
        <v>-123.6294400302388</v>
      </c>
      <c r="C38" s="43">
        <f>($F$22+B38)*$F$23/Main!$K$3</f>
        <v>236.80175199389123</v>
      </c>
    </row>
    <row r="39" spans="1:6" x14ac:dyDescent="0.2">
      <c r="A39" s="43">
        <f t="shared" si="0"/>
        <v>29</v>
      </c>
      <c r="B39" s="43">
        <v>10973.219410481441</v>
      </c>
      <c r="C39" s="43">
        <f>($F$22+B39)*$F$23/Main!$K$3</f>
        <v>333.03751790819473</v>
      </c>
    </row>
    <row r="40" spans="1:6" x14ac:dyDescent="0.2">
      <c r="A40" s="43">
        <f t="shared" si="0"/>
        <v>30</v>
      </c>
      <c r="B40" s="43">
        <v>11383.076382771627</v>
      </c>
      <c r="C40" s="43">
        <f>($F$22+B40)*$F$23/Main!$K$3</f>
        <v>336.59194134632639</v>
      </c>
    </row>
    <row r="41" spans="1:6" x14ac:dyDescent="0.2">
      <c r="A41" s="43">
        <f t="shared" si="0"/>
        <v>31</v>
      </c>
      <c r="B41" s="43">
        <v>2809.0621871270951</v>
      </c>
      <c r="C41" s="43">
        <f>($F$22+B41)*$F$23/Main!$K$3</f>
        <v>262.23508254853215</v>
      </c>
    </row>
    <row r="42" spans="1:6" x14ac:dyDescent="0.2">
      <c r="A42" s="43">
        <f t="shared" si="0"/>
        <v>32</v>
      </c>
      <c r="B42" s="43">
        <v>5964.8165382214829</v>
      </c>
      <c r="C42" s="43">
        <f>($F$22+B42)*$F$23/Main!$K$3</f>
        <v>289.60289129371125</v>
      </c>
    </row>
    <row r="43" spans="1:6" x14ac:dyDescent="0.2">
      <c r="A43" s="43">
        <f t="shared" si="0"/>
        <v>33</v>
      </c>
      <c r="B43" s="43">
        <v>7208.2307197577647</v>
      </c>
      <c r="C43" s="43">
        <f>($F$22+B43)*$F$23/Main!$K$3</f>
        <v>300.38621525539008</v>
      </c>
    </row>
    <row r="44" spans="1:6" x14ac:dyDescent="0.2">
      <c r="A44" s="43">
        <f t="shared" si="0"/>
        <v>34</v>
      </c>
      <c r="B44" s="43">
        <v>20142.134377580656</v>
      </c>
      <c r="C44" s="43">
        <f>($F$22+B44)*$F$23/Main!$K$3</f>
        <v>412.55356488230734</v>
      </c>
    </row>
    <row r="45" spans="1:6" x14ac:dyDescent="0.2">
      <c r="A45" s="43">
        <f t="shared" si="0"/>
        <v>35</v>
      </c>
      <c r="B45" s="43">
        <v>14494.072435167443</v>
      </c>
      <c r="C45" s="43">
        <f>($F$22+B45)*$F$23/Main!$K$3</f>
        <v>363.57159042435103</v>
      </c>
    </row>
    <row r="46" spans="1:6" x14ac:dyDescent="0.2">
      <c r="A46" s="43">
        <f t="shared" si="0"/>
        <v>36</v>
      </c>
      <c r="B46" s="43">
        <v>11769.678546092629</v>
      </c>
      <c r="C46" s="43">
        <f>($F$22+B46)*$F$23/Main!$K$3</f>
        <v>339.94469092348299</v>
      </c>
    </row>
    <row r="47" spans="1:6" x14ac:dyDescent="0.2">
      <c r="A47" s="43">
        <f t="shared" si="0"/>
        <v>37</v>
      </c>
      <c r="B47" s="43">
        <v>24601.829366402195</v>
      </c>
      <c r="C47" s="43">
        <f>($F$22+B47)*$F$23/Main!$K$3</f>
        <v>451.22960424943193</v>
      </c>
    </row>
    <row r="48" spans="1:6" x14ac:dyDescent="0.2">
      <c r="A48" s="43">
        <f t="shared" si="0"/>
        <v>38</v>
      </c>
      <c r="B48" s="43">
        <v>22739.31386905006</v>
      </c>
      <c r="C48" s="43">
        <f>($F$22+B48)*$F$23/Main!$K$3</f>
        <v>435.07721650138421</v>
      </c>
    </row>
    <row r="49" spans="1:3" x14ac:dyDescent="0.2">
      <c r="A49" s="43">
        <f t="shared" si="0"/>
        <v>39</v>
      </c>
      <c r="B49" s="43">
        <v>12272.94515481692</v>
      </c>
      <c r="C49" s="43">
        <f>($F$22+B49)*$F$23/Main!$K$3</f>
        <v>344.30919549609797</v>
      </c>
    </row>
    <row r="50" spans="1:3" x14ac:dyDescent="0.2">
      <c r="A50" s="43">
        <f t="shared" si="0"/>
        <v>40</v>
      </c>
      <c r="B50" s="43">
        <v>16535.440873282365</v>
      </c>
      <c r="C50" s="43">
        <f>($F$22+B50)*$F$23/Main!$K$3</f>
        <v>381.27505361482395</v>
      </c>
    </row>
    <row r="51" spans="1:3" x14ac:dyDescent="0.2">
      <c r="A51" s="43">
        <f t="shared" si="0"/>
        <v>41</v>
      </c>
      <c r="B51" s="43">
        <v>-17.799473779881055</v>
      </c>
      <c r="C51" s="43">
        <f>($F$22+B51)*$F$23/Main!$K$3</f>
        <v>237.71954658548998</v>
      </c>
    </row>
    <row r="52" spans="1:3" x14ac:dyDescent="0.2">
      <c r="A52" s="43">
        <f t="shared" si="0"/>
        <v>42</v>
      </c>
      <c r="B52" s="43">
        <v>4090.8253617801574</v>
      </c>
      <c r="C52" s="43">
        <f>($F$22+B52)*$F$23/Main!$K$3</f>
        <v>273.35098243102891</v>
      </c>
    </row>
    <row r="53" spans="1:3" x14ac:dyDescent="0.2">
      <c r="A53" s="43">
        <f t="shared" si="0"/>
        <v>43</v>
      </c>
      <c r="B53" s="43">
        <v>4441.0961245458984</v>
      </c>
      <c r="C53" s="43">
        <f>($F$22+B53)*$F$23/Main!$K$3</f>
        <v>276.38865335781583</v>
      </c>
    </row>
    <row r="54" spans="1:3" x14ac:dyDescent="0.2">
      <c r="A54" s="43">
        <f t="shared" si="0"/>
        <v>44</v>
      </c>
      <c r="B54" s="43">
        <v>29.060901375428454</v>
      </c>
      <c r="C54" s="43">
        <f>($F$22+B54)*$F$23/Main!$K$3</f>
        <v>238.12593619706831</v>
      </c>
    </row>
    <row r="55" spans="1:3" x14ac:dyDescent="0.2">
      <c r="A55" s="43">
        <f t="shared" si="0"/>
        <v>45</v>
      </c>
      <c r="B55" s="43">
        <v>3514.6467081135243</v>
      </c>
      <c r="C55" s="43">
        <f>($F$22+B55)*$F$23/Main!$K$3</f>
        <v>268.35415902773241</v>
      </c>
    </row>
    <row r="56" spans="1:3" x14ac:dyDescent="0.2">
      <c r="A56" s="43">
        <f t="shared" si="0"/>
        <v>46</v>
      </c>
      <c r="B56" s="43">
        <v>-479.53469501690734</v>
      </c>
      <c r="C56" s="43">
        <f>($F$22+B56)*$F$23/Main!$K$3</f>
        <v>233.71521677403121</v>
      </c>
    </row>
    <row r="57" spans="1:3" x14ac:dyDescent="0.2">
      <c r="A57" s="43">
        <f t="shared" si="0"/>
        <v>47</v>
      </c>
      <c r="B57" s="43">
        <v>21931.889979413507</v>
      </c>
      <c r="C57" s="43">
        <f>($F$22+B57)*$F$23/Main!$K$3</f>
        <v>428.07495329284308</v>
      </c>
    </row>
    <row r="58" spans="1:3" x14ac:dyDescent="0.2">
      <c r="A58" s="43">
        <f t="shared" si="0"/>
        <v>48</v>
      </c>
      <c r="B58" s="43">
        <v>534.13205943876483</v>
      </c>
      <c r="C58" s="43">
        <f>($F$22+B58)*$F$23/Main!$K$3</f>
        <v>242.5060904545725</v>
      </c>
    </row>
    <row r="59" spans="1:3" x14ac:dyDescent="0.2">
      <c r="A59" s="43">
        <f t="shared" si="0"/>
        <v>49</v>
      </c>
      <c r="B59" s="43">
        <v>4413.7961638299048</v>
      </c>
      <c r="C59" s="43">
        <f>($F$22+B59)*$F$23/Main!$K$3</f>
        <v>276.15189852188661</v>
      </c>
    </row>
    <row r="60" spans="1:3" x14ac:dyDescent="0.2">
      <c r="A60" s="43">
        <f t="shared" si="0"/>
        <v>50</v>
      </c>
      <c r="B60" s="43">
        <v>977.8030764172504</v>
      </c>
      <c r="C60" s="43">
        <f>($F$22+B60)*$F$23/Main!$K$3</f>
        <v>246.35376114992792</v>
      </c>
    </row>
    <row r="61" spans="1:3" x14ac:dyDescent="0.2">
      <c r="A61" s="43">
        <f t="shared" si="0"/>
        <v>51</v>
      </c>
      <c r="B61" s="43">
        <v>5460.2479342321849</v>
      </c>
      <c r="C61" s="43">
        <f>($F$22+B61)*$F$23/Main!$K$3</f>
        <v>285.22709536142889</v>
      </c>
    </row>
    <row r="62" spans="1:3" x14ac:dyDescent="0.2">
      <c r="A62" s="43">
        <f t="shared" si="0"/>
        <v>52</v>
      </c>
      <c r="B62" s="43">
        <v>9182.1594112749699</v>
      </c>
      <c r="C62" s="43">
        <f>($F$22+B62)*$F$23/Main!$K$3</f>
        <v>317.5048173060631</v>
      </c>
    </row>
    <row r="63" spans="1:3" x14ac:dyDescent="0.2">
      <c r="A63" s="43">
        <f t="shared" si="0"/>
        <v>53</v>
      </c>
      <c r="B63" s="43">
        <v>1455.0233326445937</v>
      </c>
      <c r="C63" s="43">
        <f>($F$22+B63)*$F$23/Main!$K$3</f>
        <v>250.49238261684471</v>
      </c>
    </row>
    <row r="64" spans="1:3" x14ac:dyDescent="0.2">
      <c r="A64" s="43">
        <f t="shared" si="0"/>
        <v>54</v>
      </c>
      <c r="B64" s="43">
        <v>17372.819290546257</v>
      </c>
      <c r="C64" s="43">
        <f>($F$22+B64)*$F$23/Main!$K$3</f>
        <v>388.53709299474951</v>
      </c>
    </row>
    <row r="65" spans="1:3" x14ac:dyDescent="0.2">
      <c r="A65" s="43">
        <f t="shared" si="0"/>
        <v>55</v>
      </c>
      <c r="B65" s="43">
        <v>680.58269522156502</v>
      </c>
      <c r="C65" s="43">
        <f>($F$22+B65)*$F$23/Main!$K$3</f>
        <v>243.77616174175097</v>
      </c>
    </row>
    <row r="66" spans="1:3" x14ac:dyDescent="0.2">
      <c r="A66" s="43">
        <f t="shared" si="0"/>
        <v>56</v>
      </c>
      <c r="B66" s="43">
        <v>5645.5745142322385</v>
      </c>
      <c r="C66" s="43">
        <f>($F$22+B66)*$F$23/Main!$K$3</f>
        <v>286.83431247421868</v>
      </c>
    </row>
    <row r="67" spans="1:3" x14ac:dyDescent="0.2">
      <c r="A67" s="43">
        <f t="shared" si="0"/>
        <v>57</v>
      </c>
      <c r="B67" s="43">
        <v>649.5930688782488</v>
      </c>
      <c r="C67" s="43">
        <f>($F$22+B67)*$F$23/Main!$K$3</f>
        <v>243.50740883119749</v>
      </c>
    </row>
    <row r="68" spans="1:3" x14ac:dyDescent="0.2">
      <c r="A68" s="43">
        <f t="shared" si="0"/>
        <v>58</v>
      </c>
      <c r="B68" s="43">
        <v>1644.2655171148044</v>
      </c>
      <c r="C68" s="43">
        <f>($F$22+B68)*$F$23/Main!$K$3</f>
        <v>252.1335572251613</v>
      </c>
    </row>
    <row r="69" spans="1:3" x14ac:dyDescent="0.2">
      <c r="A69" s="43">
        <f t="shared" si="0"/>
        <v>59</v>
      </c>
      <c r="B69" s="43">
        <v>8611.0637037716679</v>
      </c>
      <c r="C69" s="43">
        <f>($F$22+B69)*$F$23/Main!$K$3</f>
        <v>312.55207499495037</v>
      </c>
    </row>
    <row r="70" spans="1:3" x14ac:dyDescent="0.2">
      <c r="A70" s="43">
        <f t="shared" si="0"/>
        <v>60</v>
      </c>
      <c r="B70" s="43">
        <v>14347.24901796095</v>
      </c>
      <c r="C70" s="43">
        <f>($F$22+B70)*$F$23/Main!$K$3</f>
        <v>362.29828624589766</v>
      </c>
    </row>
    <row r="71" spans="1:3" x14ac:dyDescent="0.2">
      <c r="A71" s="43">
        <f t="shared" si="0"/>
        <v>61</v>
      </c>
      <c r="B71" s="43">
        <v>22258.538856692092</v>
      </c>
      <c r="C71" s="43">
        <f>($F$22+B71)*$F$23/Main!$K$3</f>
        <v>430.90776694232363</v>
      </c>
    </row>
    <row r="72" spans="1:3" x14ac:dyDescent="0.2">
      <c r="A72" s="43">
        <f t="shared" si="0"/>
        <v>62</v>
      </c>
      <c r="B72" s="43">
        <v>3401.3327135171717</v>
      </c>
      <c r="C72" s="43">
        <f>($F$22+B72)*$F$23/Main!$K$3</f>
        <v>267.37146031698205</v>
      </c>
    </row>
    <row r="73" spans="1:3" x14ac:dyDescent="0.2">
      <c r="A73" s="43">
        <f t="shared" si="0"/>
        <v>63</v>
      </c>
      <c r="B73" s="43">
        <v>1069.4733743583849</v>
      </c>
      <c r="C73" s="43">
        <f>($F$22+B73)*$F$23/Main!$K$3</f>
        <v>247.1487581308547</v>
      </c>
    </row>
    <row r="74" spans="1:3" x14ac:dyDescent="0.2">
      <c r="A74" s="43">
        <f t="shared" si="0"/>
        <v>64</v>
      </c>
      <c r="B74" s="43">
        <v>-77.20066325065045</v>
      </c>
      <c r="C74" s="43">
        <f>($F$22+B74)*$F$23/Main!$K$3</f>
        <v>237.2043986329542</v>
      </c>
    </row>
    <row r="75" spans="1:3" x14ac:dyDescent="0.2">
      <c r="A75" s="43">
        <f t="shared" si="0"/>
        <v>65</v>
      </c>
      <c r="B75" s="43">
        <v>8534.1333274738154</v>
      </c>
      <c r="C75" s="43">
        <f>($F$22+B75)*$F$23/Main!$K$3</f>
        <v>311.8849077851566</v>
      </c>
    </row>
    <row r="76" spans="1:3" x14ac:dyDescent="0.2">
      <c r="A76" s="43">
        <f t="shared" si="0"/>
        <v>66</v>
      </c>
      <c r="B76" s="43">
        <v>14166.919201857143</v>
      </c>
      <c r="C76" s="43">
        <f>($F$22+B76)*$F$23/Main!$K$3</f>
        <v>360.73440282243951</v>
      </c>
    </row>
    <row r="77" spans="1:3" x14ac:dyDescent="0.2">
      <c r="A77" s="43">
        <f t="shared" ref="A77:A140" si="1">A76+1</f>
        <v>67</v>
      </c>
      <c r="B77" s="43">
        <v>-590.87263817016321</v>
      </c>
      <c r="C77" s="43">
        <f>($F$22+B77)*$F$23/Main!$K$3</f>
        <v>232.74965507457787</v>
      </c>
    </row>
    <row r="78" spans="1:3" x14ac:dyDescent="0.2">
      <c r="A78" s="43">
        <f t="shared" si="1"/>
        <v>68</v>
      </c>
      <c r="B78" s="43">
        <v>3955.3284105658222</v>
      </c>
      <c r="C78" s="43">
        <f>($F$22+B78)*$F$23/Main!$K$3</f>
        <v>272.17590533889</v>
      </c>
    </row>
    <row r="79" spans="1:3" x14ac:dyDescent="0.2">
      <c r="A79" s="43">
        <f t="shared" si="1"/>
        <v>69</v>
      </c>
      <c r="B79" s="43">
        <v>3055.6141128308232</v>
      </c>
      <c r="C79" s="43">
        <f>($F$22+B79)*$F$23/Main!$K$3</f>
        <v>264.37326733660836</v>
      </c>
    </row>
    <row r="80" spans="1:3" x14ac:dyDescent="0.2">
      <c r="A80" s="43">
        <f t="shared" si="1"/>
        <v>70</v>
      </c>
      <c r="B80" s="43">
        <v>7781.9148409335376</v>
      </c>
      <c r="C80" s="43">
        <f>($F$22+B80)*$F$23/Main!$K$3</f>
        <v>305.36140519786454</v>
      </c>
    </row>
    <row r="81" spans="1:3" x14ac:dyDescent="0.2">
      <c r="A81" s="43">
        <f t="shared" si="1"/>
        <v>71</v>
      </c>
      <c r="B81" s="43">
        <v>22009.847721001293</v>
      </c>
      <c r="C81" s="43">
        <f>($F$22+B81)*$F$23/Main!$K$3</f>
        <v>428.7510301748224</v>
      </c>
    </row>
    <row r="82" spans="1:3" x14ac:dyDescent="0.2">
      <c r="A82" s="43">
        <f t="shared" si="1"/>
        <v>72</v>
      </c>
      <c r="B82" s="43">
        <v>19499.685314527207</v>
      </c>
      <c r="C82" s="43">
        <f>($F$22+B82)*$F$23/Main!$K$3</f>
        <v>406.98202124169751</v>
      </c>
    </row>
    <row r="83" spans="1:3" x14ac:dyDescent="0.2">
      <c r="A83" s="43">
        <f t="shared" si="1"/>
        <v>73</v>
      </c>
      <c r="B83" s="43">
        <v>3647.672076286558</v>
      </c>
      <c r="C83" s="43">
        <f>($F$22+B83)*$F$23/Main!$K$3</f>
        <v>269.5078016847263</v>
      </c>
    </row>
    <row r="84" spans="1:3" x14ac:dyDescent="0.2">
      <c r="A84" s="43">
        <f t="shared" si="1"/>
        <v>74</v>
      </c>
      <c r="B84" s="43">
        <v>6692.8361797873613</v>
      </c>
      <c r="C84" s="43">
        <f>($F$22+B84)*$F$23/Main!$K$3</f>
        <v>295.91653300863095</v>
      </c>
    </row>
    <row r="85" spans="1:3" x14ac:dyDescent="0.2">
      <c r="A85" s="43">
        <f t="shared" si="1"/>
        <v>75</v>
      </c>
      <c r="B85" s="43">
        <v>12733.119051037633</v>
      </c>
      <c r="C85" s="43">
        <f>($F$22+B85)*$F$23/Main!$K$3</f>
        <v>348.29998494931544</v>
      </c>
    </row>
    <row r="86" spans="1:3" x14ac:dyDescent="0.2">
      <c r="A86" s="43">
        <f t="shared" si="1"/>
        <v>76</v>
      </c>
      <c r="B86" s="43">
        <v>2680.723873450866</v>
      </c>
      <c r="C86" s="43">
        <f>($F$22+B86)*$F$23/Main!$K$3</f>
        <v>261.12208767231442</v>
      </c>
    </row>
    <row r="87" spans="1:3" x14ac:dyDescent="0.2">
      <c r="A87" s="43">
        <f t="shared" si="1"/>
        <v>77</v>
      </c>
      <c r="B87" s="43">
        <v>2386.0828524750536</v>
      </c>
      <c r="C87" s="43">
        <f>($F$22+B87)*$F$23/Main!$K$3</f>
        <v>258.56685738078244</v>
      </c>
    </row>
    <row r="88" spans="1:3" x14ac:dyDescent="0.2">
      <c r="A88" s="43">
        <f t="shared" si="1"/>
        <v>78</v>
      </c>
      <c r="B88" s="43">
        <v>6516.5801560786222</v>
      </c>
      <c r="C88" s="43">
        <f>($F$22+B88)*$F$23/Main!$K$3</f>
        <v>294.38797894187547</v>
      </c>
    </row>
    <row r="89" spans="1:3" x14ac:dyDescent="0.2">
      <c r="A89" s="43">
        <f t="shared" si="1"/>
        <v>79</v>
      </c>
      <c r="B89" s="43">
        <v>13733.16327396051</v>
      </c>
      <c r="C89" s="43">
        <f>($F$22+B89)*$F$23/Main!$K$3</f>
        <v>356.97271925773305</v>
      </c>
    </row>
    <row r="90" spans="1:3" x14ac:dyDescent="0.2">
      <c r="A90" s="43">
        <f t="shared" si="1"/>
        <v>80</v>
      </c>
      <c r="B90" s="43">
        <v>29749.01865938121</v>
      </c>
      <c r="C90" s="43">
        <f>($F$22+B90)*$F$23/Main!$K$3</f>
        <v>495.86783538951789</v>
      </c>
    </row>
    <row r="91" spans="1:3" x14ac:dyDescent="0.2">
      <c r="A91" s="43">
        <f t="shared" si="1"/>
        <v>81</v>
      </c>
      <c r="B91" s="43">
        <v>357.24250426608046</v>
      </c>
      <c r="C91" s="43">
        <f>($F$22+B91)*$F$23/Main!$K$3</f>
        <v>240.97204218072412</v>
      </c>
    </row>
    <row r="92" spans="1:3" x14ac:dyDescent="0.2">
      <c r="A92" s="43">
        <f t="shared" si="1"/>
        <v>82</v>
      </c>
      <c r="B92" s="43">
        <v>12599.802882595966</v>
      </c>
      <c r="C92" s="43">
        <f>($F$22+B92)*$F$23/Main!$K$3</f>
        <v>347.14382037038155</v>
      </c>
    </row>
    <row r="93" spans="1:3" x14ac:dyDescent="0.2">
      <c r="A93" s="43">
        <f t="shared" si="1"/>
        <v>83</v>
      </c>
      <c r="B93" s="43">
        <v>3687.624136687306</v>
      </c>
      <c r="C93" s="43">
        <f>($F$22+B93)*$F$23/Main!$K$3</f>
        <v>269.85427996737349</v>
      </c>
    </row>
    <row r="94" spans="1:3" x14ac:dyDescent="0.2">
      <c r="A94" s="43">
        <f t="shared" si="1"/>
        <v>84</v>
      </c>
      <c r="B94" s="43">
        <v>10338.482663213912</v>
      </c>
      <c r="C94" s="43">
        <f>($F$22+B94)*$F$23/Main!$K$3</f>
        <v>327.53285817549704</v>
      </c>
    </row>
    <row r="95" spans="1:3" x14ac:dyDescent="0.2">
      <c r="A95" s="43">
        <f t="shared" si="1"/>
        <v>85</v>
      </c>
      <c r="B95" s="43">
        <v>2581.5199764548934</v>
      </c>
      <c r="C95" s="43">
        <f>($F$22+B95)*$F$23/Main!$K$3</f>
        <v>260.26175667766</v>
      </c>
    </row>
    <row r="96" spans="1:3" x14ac:dyDescent="0.2">
      <c r="A96" s="43">
        <f t="shared" si="1"/>
        <v>86</v>
      </c>
      <c r="B96" s="43">
        <v>15955.018491151561</v>
      </c>
      <c r="C96" s="43">
        <f>($F$22+B96)*$F$23/Main!$K$3</f>
        <v>376.24142710962138</v>
      </c>
    </row>
    <row r="97" spans="1:3" x14ac:dyDescent="0.2">
      <c r="A97" s="43">
        <f t="shared" si="1"/>
        <v>87</v>
      </c>
      <c r="B97" s="43">
        <v>336.81469215047002</v>
      </c>
      <c r="C97" s="43">
        <f>($F$22+B97)*$F$23/Main!$K$3</f>
        <v>240.79488502815025</v>
      </c>
    </row>
    <row r="98" spans="1:3" x14ac:dyDescent="0.2">
      <c r="A98" s="43">
        <f t="shared" si="1"/>
        <v>88</v>
      </c>
      <c r="B98" s="43">
        <v>2499.4004420593237</v>
      </c>
      <c r="C98" s="43">
        <f>($F$22+B98)*$F$23/Main!$K$3</f>
        <v>259.54958726852908</v>
      </c>
    </row>
    <row r="99" spans="1:3" x14ac:dyDescent="0.2">
      <c r="A99" s="43">
        <f t="shared" si="1"/>
        <v>89</v>
      </c>
      <c r="B99" s="43">
        <v>39204.473883982384</v>
      </c>
      <c r="C99" s="43">
        <f>($F$22+B99)*$F$23/Main!$K$3</f>
        <v>577.86885999263654</v>
      </c>
    </row>
    <row r="100" spans="1:3" x14ac:dyDescent="0.2">
      <c r="A100" s="43">
        <f t="shared" si="1"/>
        <v>90</v>
      </c>
      <c r="B100" s="43">
        <v>4598.7502691789041</v>
      </c>
      <c r="C100" s="43">
        <f>($F$22+B100)*$F$23/Main!$K$3</f>
        <v>277.75588540384143</v>
      </c>
    </row>
    <row r="101" spans="1:3" x14ac:dyDescent="0.2">
      <c r="A101" s="43">
        <f t="shared" si="1"/>
        <v>91</v>
      </c>
      <c r="B101" s="43">
        <v>2304.3973829248584</v>
      </c>
      <c r="C101" s="43">
        <f>($F$22+B101)*$F$23/Main!$K$3</f>
        <v>257.85845233425698</v>
      </c>
    </row>
    <row r="102" spans="1:3" x14ac:dyDescent="0.2">
      <c r="A102" s="43">
        <f t="shared" si="1"/>
        <v>92</v>
      </c>
      <c r="B102" s="43">
        <v>6604.5264504484576</v>
      </c>
      <c r="C102" s="43">
        <f>($F$22+B102)*$F$23/Main!$K$3</f>
        <v>295.15068005748236</v>
      </c>
    </row>
    <row r="103" spans="1:3" x14ac:dyDescent="0.2">
      <c r="A103" s="43">
        <f t="shared" si="1"/>
        <v>93</v>
      </c>
      <c r="B103" s="43">
        <v>-2802.3422952557507</v>
      </c>
      <c r="C103" s="43">
        <f>($F$22+B103)*$F$23/Main!$K$3</f>
        <v>213.57101444309262</v>
      </c>
    </row>
    <row r="104" spans="1:3" x14ac:dyDescent="0.2">
      <c r="A104" s="43">
        <f t="shared" si="1"/>
        <v>94</v>
      </c>
      <c r="B104" s="43">
        <v>-1067.9631373527739</v>
      </c>
      <c r="C104" s="43">
        <f>($F$22+B104)*$F$23/Main!$K$3</f>
        <v>228.61215890627071</v>
      </c>
    </row>
    <row r="105" spans="1:3" x14ac:dyDescent="0.2">
      <c r="A105" s="43">
        <f t="shared" si="1"/>
        <v>95</v>
      </c>
      <c r="B105" s="43">
        <v>-3500.8253011970692</v>
      </c>
      <c r="C105" s="43">
        <f>($F$22+B105)*$F$23/Main!$K$3</f>
        <v>207.51352479351627</v>
      </c>
    </row>
    <row r="106" spans="1:3" x14ac:dyDescent="0.2">
      <c r="A106" s="43">
        <f t="shared" si="1"/>
        <v>96</v>
      </c>
      <c r="B106" s="43">
        <v>-2651.8403584947359</v>
      </c>
      <c r="C106" s="43">
        <f>($F$22+B106)*$F$23/Main!$K$3</f>
        <v>214.876220033517</v>
      </c>
    </row>
    <row r="107" spans="1:3" x14ac:dyDescent="0.2">
      <c r="A107" s="43">
        <f t="shared" si="1"/>
        <v>97</v>
      </c>
      <c r="B107" s="43">
        <v>9093.7629834730924</v>
      </c>
      <c r="C107" s="43">
        <f>($F$22+B107)*$F$23/Main!$K$3</f>
        <v>316.73821247543049</v>
      </c>
    </row>
    <row r="108" spans="1:3" x14ac:dyDescent="0.2">
      <c r="A108" s="43">
        <f t="shared" si="1"/>
        <v>98</v>
      </c>
      <c r="B108" s="43">
        <v>12536.069869994442</v>
      </c>
      <c r="C108" s="43">
        <f>($F$22+B108)*$F$23/Main!$K$3</f>
        <v>346.59110532808825</v>
      </c>
    </row>
    <row r="109" spans="1:3" x14ac:dyDescent="0.2">
      <c r="A109" s="43">
        <f t="shared" si="1"/>
        <v>99</v>
      </c>
      <c r="B109" s="43">
        <v>6667.9510594728172</v>
      </c>
      <c r="C109" s="43">
        <f>($F$22+B109)*$F$23/Main!$K$3</f>
        <v>295.70072051576915</v>
      </c>
    </row>
    <row r="110" spans="1:3" x14ac:dyDescent="0.2">
      <c r="A110" s="43">
        <f t="shared" si="1"/>
        <v>100</v>
      </c>
      <c r="B110" s="43">
        <v>14728.012486331436</v>
      </c>
      <c r="C110" s="43">
        <f>($F$22+B110)*$F$23/Main!$K$3</f>
        <v>365.6004006122775</v>
      </c>
    </row>
    <row r="111" spans="1:3" x14ac:dyDescent="0.2">
      <c r="A111" s="43">
        <f t="shared" si="1"/>
        <v>101</v>
      </c>
      <c r="B111" s="43">
        <v>-2174.7170027754305</v>
      </c>
      <c r="C111" s="43">
        <f>($F$22+B111)*$F$23/Main!$K$3</f>
        <v>219.01400114523622</v>
      </c>
    </row>
    <row r="112" spans="1:3" x14ac:dyDescent="0.2">
      <c r="A112" s="43">
        <f t="shared" si="1"/>
        <v>102</v>
      </c>
      <c r="B112" s="43">
        <v>-8087.7351642681624</v>
      </c>
      <c r="C112" s="43">
        <f>($F$22+B112)*$F$23/Main!$K$3</f>
        <v>167.73423341097526</v>
      </c>
    </row>
    <row r="113" spans="1:3" x14ac:dyDescent="0.2">
      <c r="A113" s="43">
        <f t="shared" si="1"/>
        <v>103</v>
      </c>
      <c r="B113" s="43">
        <v>-401.30947022936766</v>
      </c>
      <c r="C113" s="43">
        <f>($F$22+B113)*$F$23/Main!$K$3</f>
        <v>234.39361336414973</v>
      </c>
    </row>
    <row r="114" spans="1:3" x14ac:dyDescent="0.2">
      <c r="A114" s="43">
        <f t="shared" si="1"/>
        <v>104</v>
      </c>
      <c r="B114" s="43">
        <v>8591.0047822396555</v>
      </c>
      <c r="C114" s="43">
        <f>($F$22+B114)*$F$23/Main!$K$3</f>
        <v>312.37811699092128</v>
      </c>
    </row>
    <row r="115" spans="1:3" x14ac:dyDescent="0.2">
      <c r="A115" s="43">
        <f t="shared" si="1"/>
        <v>105</v>
      </c>
      <c r="B115" s="43">
        <v>415.1936405882845</v>
      </c>
      <c r="C115" s="43">
        <f>($F$22+B115)*$F$23/Main!$K$3</f>
        <v>241.47461476368889</v>
      </c>
    </row>
    <row r="116" spans="1:3" x14ac:dyDescent="0.2">
      <c r="A116" s="43">
        <f t="shared" si="1"/>
        <v>106</v>
      </c>
      <c r="B116" s="43">
        <v>1219.6936861930246</v>
      </c>
      <c r="C116" s="43">
        <f>($F$22+B116)*$F$23/Main!$K$3</f>
        <v>248.45152137112586</v>
      </c>
    </row>
    <row r="117" spans="1:3" x14ac:dyDescent="0.2">
      <c r="A117" s="43">
        <f t="shared" si="1"/>
        <v>107</v>
      </c>
      <c r="B117" s="43">
        <v>11201.326328561647</v>
      </c>
      <c r="C117" s="43">
        <f>($F$22+B117)*$F$23/Main!$K$3</f>
        <v>335.01574111980381</v>
      </c>
    </row>
    <row r="118" spans="1:3" x14ac:dyDescent="0.2">
      <c r="A118" s="43">
        <f t="shared" si="1"/>
        <v>108</v>
      </c>
      <c r="B118" s="43">
        <v>4758.1867981418582</v>
      </c>
      <c r="C118" s="43">
        <f>($F$22+B118)*$F$23/Main!$K$3</f>
        <v>279.13857491202197</v>
      </c>
    </row>
    <row r="119" spans="1:3" x14ac:dyDescent="0.2">
      <c r="A119" s="43">
        <f t="shared" si="1"/>
        <v>109</v>
      </c>
      <c r="B119" s="43">
        <v>9402.7700403540603</v>
      </c>
      <c r="C119" s="43">
        <f>($F$22+B119)*$F$23/Main!$K$3</f>
        <v>319.41803006981837</v>
      </c>
    </row>
    <row r="120" spans="1:3" x14ac:dyDescent="0.2">
      <c r="A120" s="43">
        <f t="shared" si="1"/>
        <v>110</v>
      </c>
      <c r="B120" s="43">
        <v>3167.711035874097</v>
      </c>
      <c r="C120" s="43">
        <f>($F$22+B120)*$F$23/Main!$K$3</f>
        <v>265.34541117591181</v>
      </c>
    </row>
    <row r="121" spans="1:3" x14ac:dyDescent="0.2">
      <c r="A121" s="43">
        <f t="shared" si="1"/>
        <v>111</v>
      </c>
      <c r="B121" s="43">
        <v>11051.435576413727</v>
      </c>
      <c r="C121" s="43">
        <f>($F$22+B121)*$F$23/Main!$K$3</f>
        <v>333.71583593674268</v>
      </c>
    </row>
    <row r="122" spans="1:3" x14ac:dyDescent="0.2">
      <c r="A122" s="43">
        <f t="shared" si="1"/>
        <v>112</v>
      </c>
      <c r="B122" s="43">
        <v>2247.2635778740087</v>
      </c>
      <c r="C122" s="43">
        <f>($F$22+B122)*$F$23/Main!$K$3</f>
        <v>257.36296793479045</v>
      </c>
    </row>
    <row r="123" spans="1:3" x14ac:dyDescent="0.2">
      <c r="A123" s="43">
        <f t="shared" si="1"/>
        <v>113</v>
      </c>
      <c r="B123" s="43">
        <v>10535.484217917045</v>
      </c>
      <c r="C123" s="43">
        <f>($F$22+B123)*$F$23/Main!$K$3</f>
        <v>329.24132476439627</v>
      </c>
    </row>
    <row r="124" spans="1:3" x14ac:dyDescent="0.2">
      <c r="A124" s="43">
        <f t="shared" si="1"/>
        <v>114</v>
      </c>
      <c r="B124" s="43">
        <v>10608.096646668719</v>
      </c>
      <c r="C124" s="43">
        <f>($F$22+B124)*$F$23/Main!$K$3</f>
        <v>329.87104521836937</v>
      </c>
    </row>
    <row r="125" spans="1:3" x14ac:dyDescent="0.2">
      <c r="A125" s="43">
        <f t="shared" si="1"/>
        <v>115</v>
      </c>
      <c r="B125" s="43">
        <v>6440.6446773409061</v>
      </c>
      <c r="C125" s="43">
        <f>($F$22+B125)*$F$23/Main!$K$3</f>
        <v>293.72943983272501</v>
      </c>
    </row>
    <row r="126" spans="1:3" x14ac:dyDescent="0.2">
      <c r="A126" s="43">
        <f t="shared" si="1"/>
        <v>116</v>
      </c>
      <c r="B126" s="43">
        <v>6990.1765252579353</v>
      </c>
      <c r="C126" s="43">
        <f>($F$22+B126)*$F$23/Main!$K$3</f>
        <v>298.49517278908223</v>
      </c>
    </row>
    <row r="127" spans="1:3" x14ac:dyDescent="0.2">
      <c r="A127" s="43">
        <f t="shared" si="1"/>
        <v>117</v>
      </c>
      <c r="B127" s="43">
        <v>3430.2368268250325</v>
      </c>
      <c r="C127" s="43">
        <f>($F$22+B127)*$F$23/Main!$K$3</f>
        <v>267.62212692691139</v>
      </c>
    </row>
    <row r="128" spans="1:3" x14ac:dyDescent="0.2">
      <c r="A128" s="43">
        <f t="shared" si="1"/>
        <v>118</v>
      </c>
      <c r="B128" s="43">
        <v>19510.478350936748</v>
      </c>
      <c r="C128" s="43">
        <f>($F$22+B128)*$F$23/Main!$K$3</f>
        <v>407.07562223954892</v>
      </c>
    </row>
    <row r="129" spans="1:3" x14ac:dyDescent="0.2">
      <c r="A129" s="43">
        <f t="shared" si="1"/>
        <v>119</v>
      </c>
      <c r="B129" s="43">
        <v>4689.7689571249912</v>
      </c>
      <c r="C129" s="43">
        <f>($F$22+B129)*$F$23/Main!$K$3</f>
        <v>278.54523139431171</v>
      </c>
    </row>
    <row r="130" spans="1:3" x14ac:dyDescent="0.2">
      <c r="A130" s="43">
        <f t="shared" si="1"/>
        <v>120</v>
      </c>
      <c r="B130" s="43">
        <v>436.02677861364833</v>
      </c>
      <c r="C130" s="43">
        <f>($F$22+B130)*$F$23/Main!$K$3</f>
        <v>241.65528704473715</v>
      </c>
    </row>
    <row r="131" spans="1:3" x14ac:dyDescent="0.2">
      <c r="A131" s="43">
        <f t="shared" si="1"/>
        <v>121</v>
      </c>
      <c r="B131" s="43">
        <v>6299.7521003040965</v>
      </c>
      <c r="C131" s="43">
        <f>($F$22+B131)*$F$23/Main!$K$3</f>
        <v>292.50756998071273</v>
      </c>
    </row>
    <row r="132" spans="1:3" x14ac:dyDescent="0.2">
      <c r="A132" s="43">
        <f t="shared" si="1"/>
        <v>122</v>
      </c>
      <c r="B132" s="43">
        <v>-2996.0258438475867</v>
      </c>
      <c r="C132" s="43">
        <f>($F$22+B132)*$F$23/Main!$K$3</f>
        <v>211.89132276711959</v>
      </c>
    </row>
    <row r="133" spans="1:3" x14ac:dyDescent="0.2">
      <c r="A133" s="43">
        <f t="shared" si="1"/>
        <v>123</v>
      </c>
      <c r="B133" s="43">
        <v>11335.290525505108</v>
      </c>
      <c r="C133" s="43">
        <f>($F$22+B133)*$F$23/Main!$K$3</f>
        <v>336.17752562922828</v>
      </c>
    </row>
    <row r="134" spans="1:3" x14ac:dyDescent="0.2">
      <c r="A134" s="43">
        <f t="shared" si="1"/>
        <v>124</v>
      </c>
      <c r="B134" s="43">
        <v>18648.716622680513</v>
      </c>
      <c r="C134" s="43">
        <f>($F$22+B134)*$F$23/Main!$K$3</f>
        <v>399.60212223323413</v>
      </c>
    </row>
    <row r="135" spans="1:3" x14ac:dyDescent="0.2">
      <c r="A135" s="43">
        <f t="shared" si="1"/>
        <v>125</v>
      </c>
      <c r="B135" s="43">
        <v>6956.9166303727234</v>
      </c>
      <c r="C135" s="43">
        <f>($F$22+B135)*$F$23/Main!$K$3</f>
        <v>298.206731313342</v>
      </c>
    </row>
    <row r="136" spans="1:3" x14ac:dyDescent="0.2">
      <c r="A136" s="43">
        <f t="shared" si="1"/>
        <v>126</v>
      </c>
      <c r="B136" s="43">
        <v>9264.4622343843093</v>
      </c>
      <c r="C136" s="43">
        <f>($F$22+B136)*$F$23/Main!$K$3</f>
        <v>318.21857625921592</v>
      </c>
    </row>
    <row r="137" spans="1:3" x14ac:dyDescent="0.2">
      <c r="A137" s="43">
        <f t="shared" si="1"/>
        <v>127</v>
      </c>
      <c r="B137" s="43">
        <v>3618.8226383410133</v>
      </c>
      <c r="C137" s="43">
        <f>($F$22+B137)*$F$23/Main!$K$3</f>
        <v>269.25760923871866</v>
      </c>
    </row>
    <row r="138" spans="1:3" x14ac:dyDescent="0.2">
      <c r="A138" s="43">
        <f t="shared" si="1"/>
        <v>128</v>
      </c>
      <c r="B138" s="43">
        <v>6519.4914894784433</v>
      </c>
      <c r="C138" s="43">
        <f>($F$22+B138)*$F$23/Main!$K$3</f>
        <v>294.41322704639043</v>
      </c>
    </row>
    <row r="139" spans="1:3" x14ac:dyDescent="0.2">
      <c r="A139" s="43">
        <f t="shared" si="1"/>
        <v>129</v>
      </c>
      <c r="B139" s="43">
        <v>14129.850006425606</v>
      </c>
      <c r="C139" s="43">
        <f>($F$22+B139)*$F$23/Main!$K$3</f>
        <v>360.41292575609054</v>
      </c>
    </row>
    <row r="140" spans="1:3" x14ac:dyDescent="0.2">
      <c r="A140" s="43">
        <f t="shared" si="1"/>
        <v>130</v>
      </c>
      <c r="B140" s="43">
        <v>271.98308790152953</v>
      </c>
      <c r="C140" s="43">
        <f>($F$22+B140)*$F$23/Main!$K$3</f>
        <v>240.23264261371364</v>
      </c>
    </row>
    <row r="141" spans="1:3" x14ac:dyDescent="0.2">
      <c r="A141" s="43">
        <f t="shared" ref="A141:A204" si="2">A140+1</f>
        <v>131</v>
      </c>
      <c r="B141" s="43">
        <v>2973.9435086910603</v>
      </c>
      <c r="C141" s="43">
        <f>($F$22+B141)*$F$23/Main!$K$3</f>
        <v>263.66499120813683</v>
      </c>
    </row>
    <row r="142" spans="1:3" x14ac:dyDescent="0.2">
      <c r="A142" s="43">
        <f t="shared" si="2"/>
        <v>132</v>
      </c>
      <c r="B142" s="43">
        <v>-1584.1355238146757</v>
      </c>
      <c r="C142" s="43">
        <f>($F$22+B142)*$F$23/Main!$K$3</f>
        <v>224.13573090187515</v>
      </c>
    </row>
    <row r="143" spans="1:3" x14ac:dyDescent="0.2">
      <c r="A143" s="43">
        <f t="shared" si="2"/>
        <v>133</v>
      </c>
      <c r="B143" s="43">
        <v>15969.354941172918</v>
      </c>
      <c r="C143" s="43">
        <f>($F$22+B143)*$F$23/Main!$K$3</f>
        <v>376.36575783331443</v>
      </c>
    </row>
    <row r="144" spans="1:3" x14ac:dyDescent="0.2">
      <c r="A144" s="43">
        <f t="shared" si="2"/>
        <v>134</v>
      </c>
      <c r="B144" s="43">
        <v>9024.2251343224361</v>
      </c>
      <c r="C144" s="43">
        <f>($F$22+B144)*$F$23/Main!$K$3</f>
        <v>316.13515585429445</v>
      </c>
    </row>
    <row r="145" spans="1:3" x14ac:dyDescent="0.2">
      <c r="A145" s="43">
        <f t="shared" si="2"/>
        <v>135</v>
      </c>
      <c r="B145" s="43">
        <v>14110.078317288388</v>
      </c>
      <c r="C145" s="43">
        <f>($F$22+B145)*$F$23/Main!$K$3</f>
        <v>360.24145873214781</v>
      </c>
    </row>
    <row r="146" spans="1:3" x14ac:dyDescent="0.2">
      <c r="A146" s="43">
        <f t="shared" si="2"/>
        <v>136</v>
      </c>
      <c r="B146" s="43">
        <v>17600.808165514642</v>
      </c>
      <c r="C146" s="43">
        <f>($F$22+B146)*$F$23/Main!$K$3</f>
        <v>390.51429249508431</v>
      </c>
    </row>
    <row r="147" spans="1:3" x14ac:dyDescent="0.2">
      <c r="A147" s="43">
        <f t="shared" si="2"/>
        <v>137</v>
      </c>
      <c r="B147" s="43">
        <v>2558.6489231786773</v>
      </c>
      <c r="C147" s="43">
        <f>($F$22+B147)*$F$23/Main!$K$3</f>
        <v>260.06341088067256</v>
      </c>
    </row>
    <row r="148" spans="1:3" x14ac:dyDescent="0.2">
      <c r="A148" s="43">
        <f t="shared" si="2"/>
        <v>138</v>
      </c>
      <c r="B148" s="43">
        <v>-4243.4326553996952</v>
      </c>
      <c r="C148" s="43">
        <f>($F$22+B148)*$F$23/Main!$K$3</f>
        <v>201.07337331736196</v>
      </c>
    </row>
    <row r="149" spans="1:3" x14ac:dyDescent="0.2">
      <c r="A149" s="43">
        <f t="shared" si="2"/>
        <v>139</v>
      </c>
      <c r="B149" s="43">
        <v>3271.653715107444</v>
      </c>
      <c r="C149" s="43">
        <f>($F$22+B149)*$F$23/Main!$K$3</f>
        <v>266.24683855245434</v>
      </c>
    </row>
    <row r="150" spans="1:3" x14ac:dyDescent="0.2">
      <c r="A150" s="43">
        <f t="shared" si="2"/>
        <v>140</v>
      </c>
      <c r="B150" s="43">
        <v>4596.4524752610532</v>
      </c>
      <c r="C150" s="43">
        <f>($F$22+B150)*$F$23/Main!$K$3</f>
        <v>277.73595812893871</v>
      </c>
    </row>
    <row r="151" spans="1:3" x14ac:dyDescent="0.2">
      <c r="A151" s="43">
        <f t="shared" si="2"/>
        <v>141</v>
      </c>
      <c r="B151" s="43">
        <v>3118.9287593656727</v>
      </c>
      <c r="C151" s="43">
        <f>($F$22+B151)*$F$23/Main!$K$3</f>
        <v>264.92235416161219</v>
      </c>
    </row>
    <row r="152" spans="1:3" x14ac:dyDescent="0.2">
      <c r="A152" s="43">
        <f t="shared" si="2"/>
        <v>142</v>
      </c>
      <c r="B152" s="43">
        <v>12057.831270243067</v>
      </c>
      <c r="C152" s="43">
        <f>($F$22+B152)*$F$23/Main!$K$3</f>
        <v>342.44365242890456</v>
      </c>
    </row>
    <row r="153" spans="1:3" x14ac:dyDescent="0.2">
      <c r="A153" s="43">
        <f t="shared" si="2"/>
        <v>143</v>
      </c>
      <c r="B153" s="43">
        <v>757.46548261296914</v>
      </c>
      <c r="C153" s="43">
        <f>($F$22+B153)*$F$23/Main!$K$3</f>
        <v>244.44291624385426</v>
      </c>
    </row>
    <row r="154" spans="1:3" x14ac:dyDescent="0.2">
      <c r="A154" s="43">
        <f t="shared" si="2"/>
        <v>144</v>
      </c>
      <c r="B154" s="43">
        <v>10933.862696034077</v>
      </c>
      <c r="C154" s="43">
        <f>($F$22+B154)*$F$23/Main!$K$3</f>
        <v>332.69620267449773</v>
      </c>
    </row>
    <row r="155" spans="1:3" x14ac:dyDescent="0.2">
      <c r="A155" s="43">
        <f t="shared" si="2"/>
        <v>145</v>
      </c>
      <c r="B155" s="43">
        <v>3197.8168787576183</v>
      </c>
      <c r="C155" s="43">
        <f>($F$22+B155)*$F$23/Main!$K$3</f>
        <v>265.60649960627802</v>
      </c>
    </row>
    <row r="156" spans="1:3" x14ac:dyDescent="0.2">
      <c r="A156" s="43">
        <f t="shared" si="2"/>
        <v>146</v>
      </c>
      <c r="B156" s="43">
        <v>7696.5074096765356</v>
      </c>
      <c r="C156" s="43">
        <f>($F$22+B156)*$F$23/Main!$K$3</f>
        <v>304.62072199378434</v>
      </c>
    </row>
    <row r="157" spans="1:3" x14ac:dyDescent="0.2">
      <c r="A157" s="43">
        <f t="shared" si="2"/>
        <v>147</v>
      </c>
      <c r="B157" s="43">
        <v>7638.2316734897968</v>
      </c>
      <c r="C157" s="43">
        <f>($F$22+B157)*$F$23/Main!$K$3</f>
        <v>304.11533436692736</v>
      </c>
    </row>
    <row r="158" spans="1:3" x14ac:dyDescent="0.2">
      <c r="A158" s="43">
        <f t="shared" si="2"/>
        <v>148</v>
      </c>
      <c r="B158" s="43">
        <v>10919.693466523637</v>
      </c>
      <c r="C158" s="43">
        <f>($F$22+B158)*$F$23/Main!$K$3</f>
        <v>332.57332214573483</v>
      </c>
    </row>
    <row r="159" spans="1:3" x14ac:dyDescent="0.2">
      <c r="A159" s="43">
        <f t="shared" si="2"/>
        <v>149</v>
      </c>
      <c r="B159" s="43">
        <v>15577.987069131601</v>
      </c>
      <c r="C159" s="43">
        <f>($F$22+B159)*$F$23/Main!$K$3</f>
        <v>372.97167835836422</v>
      </c>
    </row>
    <row r="160" spans="1:3" x14ac:dyDescent="0.2">
      <c r="A160" s="43">
        <f t="shared" si="2"/>
        <v>150</v>
      </c>
      <c r="B160" s="43">
        <v>3177.2422452399046</v>
      </c>
      <c r="C160" s="43">
        <f>($F$22+B160)*$F$23/Main!$K$3</f>
        <v>265.42806916700135</v>
      </c>
    </row>
    <row r="161" spans="1:3" x14ac:dyDescent="0.2">
      <c r="A161" s="43">
        <f t="shared" si="2"/>
        <v>151</v>
      </c>
      <c r="B161" s="43">
        <v>2667.4886750457126</v>
      </c>
      <c r="C161" s="43">
        <f>($F$22+B161)*$F$23/Main!$K$3</f>
        <v>261.00730738894697</v>
      </c>
    </row>
    <row r="162" spans="1:3" x14ac:dyDescent="0.2">
      <c r="A162" s="43">
        <f t="shared" si="2"/>
        <v>152</v>
      </c>
      <c r="B162" s="43">
        <v>22558.391496407461</v>
      </c>
      <c r="C162" s="43">
        <f>($F$22+B162)*$F$23/Main!$K$3</f>
        <v>433.5081942197578</v>
      </c>
    </row>
    <row r="163" spans="1:3" x14ac:dyDescent="0.2">
      <c r="A163" s="43">
        <f t="shared" si="2"/>
        <v>153</v>
      </c>
      <c r="B163" s="43">
        <v>6991.7497277099492</v>
      </c>
      <c r="C163" s="43">
        <f>($F$22+B163)*$F$23/Main!$K$3</f>
        <v>298.50881615261244</v>
      </c>
    </row>
    <row r="164" spans="1:3" x14ac:dyDescent="0.2">
      <c r="A164" s="43">
        <f t="shared" si="2"/>
        <v>154</v>
      </c>
      <c r="B164" s="43">
        <v>7947.6905665931054</v>
      </c>
      <c r="C164" s="43">
        <f>($F$22+B164)*$F$23/Main!$K$3</f>
        <v>306.79907044353581</v>
      </c>
    </row>
    <row r="165" spans="1:3" x14ac:dyDescent="0.2">
      <c r="A165" s="43">
        <f t="shared" si="2"/>
        <v>155</v>
      </c>
      <c r="B165" s="43">
        <v>12310.982607587346</v>
      </c>
      <c r="C165" s="43">
        <f>($F$22+B165)*$F$23/Main!$K$3</f>
        <v>344.63906962974653</v>
      </c>
    </row>
    <row r="166" spans="1:3" x14ac:dyDescent="0.2">
      <c r="A166" s="43">
        <f t="shared" si="2"/>
        <v>156</v>
      </c>
      <c r="B166" s="43">
        <v>4536.6126622143829</v>
      </c>
      <c r="C166" s="43">
        <f>($F$22+B166)*$F$23/Main!$K$3</f>
        <v>277.2170062788872</v>
      </c>
    </row>
    <row r="167" spans="1:3" x14ac:dyDescent="0.2">
      <c r="A167" s="43">
        <f t="shared" si="2"/>
        <v>157</v>
      </c>
      <c r="B167" s="43">
        <v>9720.4793181181867</v>
      </c>
      <c r="C167" s="43">
        <f>($F$22+B167)*$F$23/Main!$K$3</f>
        <v>322.1733163763721</v>
      </c>
    </row>
    <row r="168" spans="1:3" x14ac:dyDescent="0.2">
      <c r="A168" s="43">
        <f t="shared" si="2"/>
        <v>158</v>
      </c>
      <c r="B168" s="43">
        <v>32297.768039721159</v>
      </c>
      <c r="C168" s="43">
        <f>($F$22+B168)*$F$23/Main!$K$3</f>
        <v>517.97148409599833</v>
      </c>
    </row>
    <row r="169" spans="1:3" x14ac:dyDescent="0.2">
      <c r="A169" s="43">
        <f t="shared" si="2"/>
        <v>159</v>
      </c>
      <c r="B169" s="43">
        <v>-547.03292007062146</v>
      </c>
      <c r="C169" s="43">
        <f>($F$22+B169)*$F$23/Main!$K$3</f>
        <v>233.12984848854711</v>
      </c>
    </row>
    <row r="170" spans="1:3" x14ac:dyDescent="0.2">
      <c r="A170" s="43">
        <f t="shared" si="2"/>
        <v>160</v>
      </c>
      <c r="B170" s="43">
        <v>3137.5209801846527</v>
      </c>
      <c r="C170" s="43">
        <f>($F$22+B170)*$F$23/Main!$K$3</f>
        <v>265.08359242255148</v>
      </c>
    </row>
    <row r="171" spans="1:3" x14ac:dyDescent="0.2">
      <c r="A171" s="43">
        <f t="shared" si="2"/>
        <v>161</v>
      </c>
      <c r="B171" s="43">
        <v>7382.7215482143565</v>
      </c>
      <c r="C171" s="43">
        <f>($F$22+B171)*$F$23/Main!$K$3</f>
        <v>301.89946092970308</v>
      </c>
    </row>
    <row r="172" spans="1:3" x14ac:dyDescent="0.2">
      <c r="A172" s="43">
        <f t="shared" si="2"/>
        <v>162</v>
      </c>
      <c r="B172" s="43">
        <v>2405.7231164842074</v>
      </c>
      <c r="C172" s="43">
        <f>($F$22+B172)*$F$23/Main!$K$3</f>
        <v>258.73718463991179</v>
      </c>
    </row>
    <row r="173" spans="1:3" x14ac:dyDescent="0.2">
      <c r="A173" s="43">
        <f t="shared" si="2"/>
        <v>163</v>
      </c>
      <c r="B173" s="43">
        <v>58.044797054004718</v>
      </c>
      <c r="C173" s="43">
        <f>($F$22+B173)*$F$23/Main!$K$3</f>
        <v>238.37729470770341</v>
      </c>
    </row>
    <row r="174" spans="1:3" x14ac:dyDescent="0.2">
      <c r="A174" s="43">
        <f t="shared" si="2"/>
        <v>164</v>
      </c>
      <c r="B174" s="43">
        <v>16656.505600830322</v>
      </c>
      <c r="C174" s="43">
        <f>($F$22+B174)*$F$23/Main!$K$3</f>
        <v>382.32496940062356</v>
      </c>
    </row>
    <row r="175" spans="1:3" x14ac:dyDescent="0.2">
      <c r="A175" s="43">
        <f t="shared" si="2"/>
        <v>165</v>
      </c>
      <c r="B175" s="43">
        <v>-1628.8320830613536</v>
      </c>
      <c r="C175" s="43">
        <f>($F$22+B175)*$F$23/Main!$K$3</f>
        <v>223.74810666090519</v>
      </c>
    </row>
    <row r="176" spans="1:3" x14ac:dyDescent="0.2">
      <c r="A176" s="43">
        <f t="shared" si="2"/>
        <v>166</v>
      </c>
      <c r="B176" s="43">
        <v>13124.778961182597</v>
      </c>
      <c r="C176" s="43">
        <f>($F$22+B176)*$F$23/Main!$K$3</f>
        <v>351.69659708114511</v>
      </c>
    </row>
    <row r="177" spans="1:3" x14ac:dyDescent="0.2">
      <c r="A177" s="43">
        <f t="shared" si="2"/>
        <v>167</v>
      </c>
      <c r="B177" s="43">
        <v>5384.7844181401379</v>
      </c>
      <c r="C177" s="43">
        <f>($F$22+B177)*$F$23/Main!$K$3</f>
        <v>284.57264927790231</v>
      </c>
    </row>
    <row r="178" spans="1:3" x14ac:dyDescent="0.2">
      <c r="A178" s="43">
        <f t="shared" si="2"/>
        <v>168</v>
      </c>
      <c r="B178" s="43">
        <v>-2935.8158193026952</v>
      </c>
      <c r="C178" s="43">
        <f>($F$22+B178)*$F$23/Main!$K$3</f>
        <v>212.41348522115084</v>
      </c>
    </row>
    <row r="179" spans="1:3" x14ac:dyDescent="0.2">
      <c r="A179" s="43">
        <f t="shared" si="2"/>
        <v>169</v>
      </c>
      <c r="B179" s="43">
        <v>6000.8738812040965</v>
      </c>
      <c r="C179" s="43">
        <f>($F$22+B179)*$F$23/Main!$K$3</f>
        <v>289.91559322067377</v>
      </c>
    </row>
    <row r="180" spans="1:3" x14ac:dyDescent="0.2">
      <c r="A180" s="43">
        <f t="shared" si="2"/>
        <v>170</v>
      </c>
      <c r="B180" s="43">
        <v>17849.788544517869</v>
      </c>
      <c r="C180" s="43">
        <f>($F$22+B180)*$F$23/Main!$K$3</f>
        <v>392.6735376820551</v>
      </c>
    </row>
    <row r="181" spans="1:3" x14ac:dyDescent="0.2">
      <c r="A181" s="43">
        <f t="shared" si="2"/>
        <v>171</v>
      </c>
      <c r="B181" s="43">
        <v>-2769.4951191034961</v>
      </c>
      <c r="C181" s="43">
        <f>($F$22+B181)*$F$23/Main!$K$3</f>
        <v>213.85587667720233</v>
      </c>
    </row>
    <row r="182" spans="1:3" x14ac:dyDescent="0.2">
      <c r="A182" s="43">
        <f t="shared" si="2"/>
        <v>172</v>
      </c>
      <c r="B182" s="43">
        <v>5642.3883750708474</v>
      </c>
      <c r="C182" s="43">
        <f>($F$22+B182)*$F$23/Main!$K$3</f>
        <v>286.80668115773989</v>
      </c>
    </row>
    <row r="183" spans="1:3" x14ac:dyDescent="0.2">
      <c r="A183" s="43">
        <f t="shared" si="2"/>
        <v>173</v>
      </c>
      <c r="B183" s="43">
        <v>1070.8243708471377</v>
      </c>
      <c r="C183" s="43">
        <f>($F$22+B183)*$F$23/Main!$K$3</f>
        <v>247.16047444632355</v>
      </c>
    </row>
    <row r="184" spans="1:3" x14ac:dyDescent="0.2">
      <c r="A184" s="43">
        <f t="shared" si="2"/>
        <v>174</v>
      </c>
      <c r="B184" s="43">
        <v>6794.6069740897155</v>
      </c>
      <c r="C184" s="43">
        <f>($F$22+B184)*$F$23/Main!$K$3</f>
        <v>296.79912503717264</v>
      </c>
    </row>
    <row r="185" spans="1:3" x14ac:dyDescent="0.2">
      <c r="A185" s="43">
        <f t="shared" si="2"/>
        <v>175</v>
      </c>
      <c r="B185" s="43">
        <v>11574.686371561485</v>
      </c>
      <c r="C185" s="43">
        <f>($F$22+B185)*$F$23/Main!$K$3</f>
        <v>338.25365038430914</v>
      </c>
    </row>
    <row r="186" spans="1:3" x14ac:dyDescent="0.2">
      <c r="A186" s="43">
        <f t="shared" si="2"/>
        <v>176</v>
      </c>
      <c r="B186" s="43">
        <v>9442.3587524255836</v>
      </c>
      <c r="C186" s="43">
        <f>($F$22+B186)*$F$23/Main!$K$3</f>
        <v>319.761357268295</v>
      </c>
    </row>
    <row r="187" spans="1:3" x14ac:dyDescent="0.2">
      <c r="A187" s="43">
        <f t="shared" si="2"/>
        <v>177</v>
      </c>
      <c r="B187" s="43">
        <v>6047.2516962450936</v>
      </c>
      <c r="C187" s="43">
        <f>($F$22+B187)*$F$23/Main!$K$3</f>
        <v>290.31779790166263</v>
      </c>
    </row>
    <row r="188" spans="1:3" x14ac:dyDescent="0.2">
      <c r="A188" s="43">
        <f t="shared" si="2"/>
        <v>178</v>
      </c>
      <c r="B188" s="43">
        <v>-325.30832667221682</v>
      </c>
      <c r="C188" s="43">
        <f>($F$22+B188)*$F$23/Main!$K$3</f>
        <v>235.05272194164897</v>
      </c>
    </row>
    <row r="189" spans="1:3" x14ac:dyDescent="0.2">
      <c r="A189" s="43">
        <f t="shared" si="2"/>
        <v>179</v>
      </c>
      <c r="B189" s="43">
        <v>1793.908607903908</v>
      </c>
      <c r="C189" s="43">
        <f>($F$22+B189)*$F$23/Main!$K$3</f>
        <v>253.4313146020412</v>
      </c>
    </row>
    <row r="190" spans="1:3" x14ac:dyDescent="0.2">
      <c r="A190" s="43">
        <f t="shared" si="2"/>
        <v>180</v>
      </c>
      <c r="B190" s="43">
        <v>3511.430949742848</v>
      </c>
      <c r="C190" s="43">
        <f>($F$22+B190)*$F$23/Main!$K$3</f>
        <v>268.32627084308047</v>
      </c>
    </row>
    <row r="191" spans="1:3" x14ac:dyDescent="0.2">
      <c r="A191" s="43">
        <f t="shared" si="2"/>
        <v>181</v>
      </c>
      <c r="B191" s="43">
        <v>748.44816928368721</v>
      </c>
      <c r="C191" s="43">
        <f>($F$22+B191)*$F$23/Main!$K$3</f>
        <v>244.36471493946391</v>
      </c>
    </row>
    <row r="192" spans="1:3" x14ac:dyDescent="0.2">
      <c r="A192" s="43">
        <f t="shared" si="2"/>
        <v>182</v>
      </c>
      <c r="B192" s="43">
        <v>-623.60199174201171</v>
      </c>
      <c r="C192" s="43">
        <f>($F$22+B192)*$F$23/Main!$K$3</f>
        <v>232.46581463921666</v>
      </c>
    </row>
    <row r="193" spans="1:3" x14ac:dyDescent="0.2">
      <c r="A193" s="43">
        <f t="shared" si="2"/>
        <v>183</v>
      </c>
      <c r="B193" s="43">
        <v>10378.423464164176</v>
      </c>
      <c r="C193" s="43">
        <f>($F$22+B193)*$F$23/Main!$K$3</f>
        <v>327.87923881223986</v>
      </c>
    </row>
    <row r="194" spans="1:3" x14ac:dyDescent="0.2">
      <c r="A194" s="43">
        <f t="shared" si="2"/>
        <v>184</v>
      </c>
      <c r="B194" s="43">
        <v>15508.613203054123</v>
      </c>
      <c r="C194" s="43">
        <f>($F$22+B194)*$F$23/Main!$K$3</f>
        <v>372.37004385596259</v>
      </c>
    </row>
    <row r="195" spans="1:3" x14ac:dyDescent="0.2">
      <c r="A195" s="43">
        <f t="shared" si="2"/>
        <v>185</v>
      </c>
      <c r="B195" s="43">
        <v>2044.539402741193</v>
      </c>
      <c r="C195" s="43">
        <f>($F$22+B195)*$F$23/Main!$K$3</f>
        <v>255.60487277407711</v>
      </c>
    </row>
    <row r="196" spans="1:3" x14ac:dyDescent="0.2">
      <c r="A196" s="43">
        <f t="shared" si="2"/>
        <v>186</v>
      </c>
      <c r="B196" s="43">
        <v>402.73114495739759</v>
      </c>
      <c r="C196" s="43">
        <f>($F$22+B196)*$F$23/Main!$K$3</f>
        <v>241.36653562983759</v>
      </c>
    </row>
    <row r="197" spans="1:3" x14ac:dyDescent="0.2">
      <c r="A197" s="43">
        <f t="shared" si="2"/>
        <v>187</v>
      </c>
      <c r="B197" s="43">
        <v>1400.8880460113994</v>
      </c>
      <c r="C197" s="43">
        <f>($F$22+B197)*$F$23/Main!$K$3</f>
        <v>250.02290242095148</v>
      </c>
    </row>
    <row r="198" spans="1:3" x14ac:dyDescent="0.2">
      <c r="A198" s="43">
        <f t="shared" si="2"/>
        <v>188</v>
      </c>
      <c r="B198" s="43">
        <v>3198.761221421943</v>
      </c>
      <c r="C198" s="43">
        <f>($F$22+B198)*$F$23/Main!$K$3</f>
        <v>265.61468927713065</v>
      </c>
    </row>
    <row r="199" spans="1:3" x14ac:dyDescent="0.2">
      <c r="A199" s="43">
        <f t="shared" si="2"/>
        <v>189</v>
      </c>
      <c r="B199" s="43">
        <v>2238.3473182719154</v>
      </c>
      <c r="C199" s="43">
        <f>($F$22+B199)*$F$23/Main!$K$3</f>
        <v>257.2856430037711</v>
      </c>
    </row>
    <row r="200" spans="1:3" x14ac:dyDescent="0.2">
      <c r="A200" s="43">
        <f t="shared" si="2"/>
        <v>190</v>
      </c>
      <c r="B200" s="43">
        <v>5515.5700669538555</v>
      </c>
      <c r="C200" s="43">
        <f>($F$22+B200)*$F$23/Main!$K$3</f>
        <v>285.70686830293721</v>
      </c>
    </row>
    <row r="201" spans="1:3" x14ac:dyDescent="0.2">
      <c r="A201" s="43">
        <f t="shared" si="2"/>
        <v>191</v>
      </c>
      <c r="B201" s="43">
        <v>2411.1775705844398</v>
      </c>
      <c r="C201" s="43">
        <f>($F$22+B201)*$F$23/Main!$K$3</f>
        <v>258.78448757924633</v>
      </c>
    </row>
    <row r="202" spans="1:3" x14ac:dyDescent="0.2">
      <c r="A202" s="43">
        <f t="shared" si="2"/>
        <v>192</v>
      </c>
      <c r="B202" s="43">
        <v>4539.7423482102104</v>
      </c>
      <c r="C202" s="43">
        <f>($F$22+B202)*$F$23/Main!$K$3</f>
        <v>277.24414801371097</v>
      </c>
    </row>
    <row r="203" spans="1:3" x14ac:dyDescent="0.2">
      <c r="A203" s="43">
        <f t="shared" si="2"/>
        <v>193</v>
      </c>
      <c r="B203" s="43">
        <v>1408.6735057095827</v>
      </c>
      <c r="C203" s="43">
        <f>($F$22+B203)*$F$23/Main!$K$3</f>
        <v>250.0904206585289</v>
      </c>
    </row>
    <row r="204" spans="1:3" x14ac:dyDescent="0.2">
      <c r="A204" s="43">
        <f t="shared" si="2"/>
        <v>194</v>
      </c>
      <c r="B204" s="43">
        <v>3393.6475661837708</v>
      </c>
      <c r="C204" s="43">
        <f>($F$22+B204)*$F$23/Main!$K$3</f>
        <v>267.30481202342077</v>
      </c>
    </row>
    <row r="205" spans="1:3" x14ac:dyDescent="0.2">
      <c r="A205" s="43">
        <f t="shared" ref="A205:A268" si="3">A204+1</f>
        <v>195</v>
      </c>
      <c r="B205" s="43">
        <v>8147.623835242438</v>
      </c>
      <c r="C205" s="43">
        <f>($F$22+B205)*$F$23/Main!$K$3</f>
        <v>308.53296188419756</v>
      </c>
    </row>
    <row r="206" spans="1:3" x14ac:dyDescent="0.2">
      <c r="A206" s="43">
        <f t="shared" si="3"/>
        <v>196</v>
      </c>
      <c r="B206" s="43">
        <v>7371.8583200377434</v>
      </c>
      <c r="C206" s="43">
        <f>($F$22+B206)*$F$23/Main!$K$3</f>
        <v>301.80525120422504</v>
      </c>
    </row>
    <row r="207" spans="1:3" x14ac:dyDescent="0.2">
      <c r="A207" s="43">
        <f t="shared" si="3"/>
        <v>197</v>
      </c>
      <c r="B207" s="43">
        <v>5709.1018704186199</v>
      </c>
      <c r="C207" s="43">
        <f>($F$22+B207)*$F$23/Main!$K$3</f>
        <v>287.38524399193739</v>
      </c>
    </row>
    <row r="208" spans="1:3" x14ac:dyDescent="0.2">
      <c r="A208" s="43">
        <f t="shared" si="3"/>
        <v>198</v>
      </c>
      <c r="B208" s="43">
        <v>12107.237309828708</v>
      </c>
      <c r="C208" s="43">
        <f>($F$22+B208)*$F$23/Main!$K$3</f>
        <v>342.8721189354207</v>
      </c>
    </row>
    <row r="209" spans="1:3" x14ac:dyDescent="0.2">
      <c r="A209" s="43">
        <f t="shared" si="3"/>
        <v>199</v>
      </c>
      <c r="B209" s="43">
        <v>-2903.2661968247976</v>
      </c>
      <c r="C209" s="43">
        <f>($F$22+B209)*$F$23/Main!$K$3</f>
        <v>212.69576696541708</v>
      </c>
    </row>
    <row r="210" spans="1:3" x14ac:dyDescent="0.2">
      <c r="A210" s="43">
        <f t="shared" si="3"/>
        <v>200</v>
      </c>
      <c r="B210" s="43">
        <v>4295.0278265489542</v>
      </c>
      <c r="C210" s="43">
        <f>($F$22+B210)*$F$23/Main!$K$3</f>
        <v>275.12189783803723</v>
      </c>
    </row>
    <row r="211" spans="1:3" x14ac:dyDescent="0.2">
      <c r="A211" s="43">
        <f t="shared" si="3"/>
        <v>201</v>
      </c>
      <c r="B211" s="43">
        <v>-53.311507671892443</v>
      </c>
      <c r="C211" s="43">
        <f>($F$22+B211)*$F$23/Main!$K$3</f>
        <v>237.41157377025104</v>
      </c>
    </row>
    <row r="212" spans="1:3" x14ac:dyDescent="0.2">
      <c r="A212" s="43">
        <f t="shared" ref="A212:A275" si="4">A211+1</f>
        <v>202</v>
      </c>
      <c r="B212" s="43">
        <v>146.43835142155928</v>
      </c>
      <c r="C212" s="43">
        <f>($F$22+B212)*$F$23/Main!$K$3</f>
        <v>239.14387461890561</v>
      </c>
    </row>
    <row r="213" spans="1:3" x14ac:dyDescent="0.2">
      <c r="A213" s="43">
        <f t="shared" si="4"/>
        <v>203</v>
      </c>
      <c r="B213" s="43">
        <v>10183.936182255766</v>
      </c>
      <c r="C213" s="43">
        <f>($F$22+B213)*$F$23/Main!$K$3</f>
        <v>326.19257687900256</v>
      </c>
    </row>
    <row r="214" spans="1:3" x14ac:dyDescent="0.2">
      <c r="A214" s="43">
        <f t="shared" si="4"/>
        <v>204</v>
      </c>
      <c r="B214" s="43">
        <v>11598.291370049283</v>
      </c>
      <c r="C214" s="43">
        <f>($F$22+B214)*$F$23/Main!$K$3</f>
        <v>338.45836121163319</v>
      </c>
    </row>
    <row r="215" spans="1:3" x14ac:dyDescent="0.2">
      <c r="A215" s="43">
        <f t="shared" si="4"/>
        <v>205</v>
      </c>
      <c r="B215" s="43">
        <v>5576.0507733806198</v>
      </c>
      <c r="C215" s="43">
        <f>($F$22+B215)*$F$23/Main!$K$3</f>
        <v>286.23137820520105</v>
      </c>
    </row>
    <row r="216" spans="1:3" x14ac:dyDescent="0.2">
      <c r="A216" s="43">
        <f t="shared" si="4"/>
        <v>206</v>
      </c>
      <c r="B216" s="43">
        <v>1950.0937289532781</v>
      </c>
      <c r="C216" s="43">
        <f>($F$22+B216)*$F$23/Main!$K$3</f>
        <v>254.78580676022818</v>
      </c>
    </row>
    <row r="217" spans="1:3" x14ac:dyDescent="0.2">
      <c r="A217" s="43">
        <f t="shared" si="4"/>
        <v>207</v>
      </c>
      <c r="B217" s="43">
        <v>-2386.0934633463339</v>
      </c>
      <c r="C217" s="43">
        <f>($F$22+B217)*$F$23/Main!$K$3</f>
        <v>217.18087033005375</v>
      </c>
    </row>
    <row r="218" spans="1:3" x14ac:dyDescent="0.2">
      <c r="A218" s="43">
        <f t="shared" si="4"/>
        <v>208</v>
      </c>
      <c r="B218" s="43">
        <v>753.60334358706712</v>
      </c>
      <c r="C218" s="43">
        <f>($F$22+B218)*$F$23/Main!$K$3</f>
        <v>244.40942241941525</v>
      </c>
    </row>
    <row r="219" spans="1:3" x14ac:dyDescent="0.2">
      <c r="A219" s="43">
        <f t="shared" si="4"/>
        <v>209</v>
      </c>
      <c r="B219" s="43">
        <v>6440.1294587746306</v>
      </c>
      <c r="C219" s="43">
        <f>($F$22+B219)*$F$23/Main!$K$3</f>
        <v>293.72497167658389</v>
      </c>
    </row>
    <row r="220" spans="1:3" x14ac:dyDescent="0.2">
      <c r="A220" s="43">
        <f t="shared" si="4"/>
        <v>210</v>
      </c>
      <c r="B220" s="43">
        <v>4344.3056559252254</v>
      </c>
      <c r="C220" s="43">
        <f>($F$22+B220)*$F$23/Main!$K$3</f>
        <v>275.54925246064266</v>
      </c>
    </row>
    <row r="221" spans="1:3" x14ac:dyDescent="0.2">
      <c r="A221" s="43">
        <f t="shared" si="4"/>
        <v>211</v>
      </c>
      <c r="B221" s="43">
        <v>3802.9115750487299</v>
      </c>
      <c r="C221" s="43">
        <f>($F$22+B221)*$F$23/Main!$K$3</f>
        <v>270.85409307472224</v>
      </c>
    </row>
    <row r="222" spans="1:3" x14ac:dyDescent="0.2">
      <c r="A222" s="43">
        <f t="shared" si="4"/>
        <v>212</v>
      </c>
      <c r="B222" s="43">
        <v>11352.767422620662</v>
      </c>
      <c r="C222" s="43">
        <f>($F$22+B222)*$F$23/Main!$K$3</f>
        <v>336.32909141176503</v>
      </c>
    </row>
    <row r="223" spans="1:3" x14ac:dyDescent="0.2">
      <c r="A223" s="43">
        <f t="shared" si="4"/>
        <v>213</v>
      </c>
      <c r="B223" s="43">
        <v>9845.9353367451477</v>
      </c>
      <c r="C223" s="43">
        <f>($F$22+B223)*$F$23/Main!$K$3</f>
        <v>323.26131497883733</v>
      </c>
    </row>
    <row r="224" spans="1:3" x14ac:dyDescent="0.2">
      <c r="A224" s="43">
        <f t="shared" si="4"/>
        <v>214</v>
      </c>
      <c r="B224" s="43">
        <v>-1494.010897185093</v>
      </c>
      <c r="C224" s="43">
        <f>($F$22+B224)*$F$23/Main!$K$3</f>
        <v>224.91732327897947</v>
      </c>
    </row>
    <row r="225" spans="1:3" x14ac:dyDescent="0.2">
      <c r="A225" s="43">
        <f t="shared" si="4"/>
        <v>215</v>
      </c>
      <c r="B225" s="43">
        <v>2902.9683444545053</v>
      </c>
      <c r="C225" s="43">
        <f>($F$22+B225)*$F$23/Main!$K$3</f>
        <v>263.04946968637768</v>
      </c>
    </row>
    <row r="226" spans="1:3" x14ac:dyDescent="0.2">
      <c r="A226" s="43">
        <f t="shared" si="4"/>
        <v>216</v>
      </c>
      <c r="B226" s="43">
        <v>10980.01309932786</v>
      </c>
      <c r="C226" s="43">
        <f>($F$22+B226)*$F$23/Main!$K$3</f>
        <v>333.09643516104057</v>
      </c>
    </row>
    <row r="227" spans="1:3" x14ac:dyDescent="0.2">
      <c r="A227" s="43">
        <f t="shared" si="4"/>
        <v>217</v>
      </c>
      <c r="B227" s="43">
        <v>12213.71211416086</v>
      </c>
      <c r="C227" s="43">
        <f>($F$22+B227)*$F$23/Main!$K$3</f>
        <v>343.79550578906861</v>
      </c>
    </row>
    <row r="228" spans="1:3" x14ac:dyDescent="0.2">
      <c r="A228" s="43">
        <f t="shared" si="4"/>
        <v>218</v>
      </c>
      <c r="B228" s="43">
        <v>4737.8099657946486</v>
      </c>
      <c r="C228" s="43">
        <f>($F$22+B228)*$F$23/Main!$K$3</f>
        <v>278.96185987388293</v>
      </c>
    </row>
    <row r="229" spans="1:3" x14ac:dyDescent="0.2">
      <c r="A229" s="43">
        <f t="shared" si="4"/>
        <v>219</v>
      </c>
      <c r="B229" s="43">
        <v>514.01054973963232</v>
      </c>
      <c r="C229" s="43">
        <f>($F$22+B229)*$F$23/Main!$K$3</f>
        <v>242.33158966400268</v>
      </c>
    </row>
    <row r="230" spans="1:3" x14ac:dyDescent="0.2">
      <c r="A230" s="43">
        <f t="shared" si="4"/>
        <v>220</v>
      </c>
      <c r="B230" s="43">
        <v>3849.0129523785681</v>
      </c>
      <c r="C230" s="43">
        <f>($F$22+B230)*$F$23/Main!$K$3</f>
        <v>271.25390039090792</v>
      </c>
    </row>
    <row r="231" spans="1:3" x14ac:dyDescent="0.2">
      <c r="A231" s="43">
        <f t="shared" si="4"/>
        <v>221</v>
      </c>
      <c r="B231" s="43">
        <v>4069.2726420253857</v>
      </c>
      <c r="C231" s="43">
        <f>($F$22+B231)*$F$23/Main!$K$3</f>
        <v>273.16406968479993</v>
      </c>
    </row>
    <row r="232" spans="1:3" x14ac:dyDescent="0.2">
      <c r="A232" s="43">
        <f t="shared" si="4"/>
        <v>222</v>
      </c>
      <c r="B232" s="43">
        <v>14725.520327761466</v>
      </c>
      <c r="C232" s="43">
        <f>($F$22+B232)*$F$23/Main!$K$3</f>
        <v>365.57878773893015</v>
      </c>
    </row>
    <row r="233" spans="1:3" x14ac:dyDescent="0.2">
      <c r="A233" s="43">
        <f t="shared" si="4"/>
        <v>223</v>
      </c>
      <c r="B233" s="43">
        <v>5126.9801023389155</v>
      </c>
      <c r="C233" s="43">
        <f>($F$22+B233)*$F$23/Main!$K$3</f>
        <v>282.33687981565544</v>
      </c>
    </row>
    <row r="234" spans="1:3" x14ac:dyDescent="0.2">
      <c r="A234" s="43">
        <f t="shared" si="4"/>
        <v>224</v>
      </c>
      <c r="B234" s="43">
        <v>6127.9007063046784</v>
      </c>
      <c r="C234" s="43">
        <f>($F$22+B234)*$F$23/Main!$K$3</f>
        <v>291.01721440790419</v>
      </c>
    </row>
    <row r="235" spans="1:3" x14ac:dyDescent="0.2">
      <c r="A235" s="43">
        <f t="shared" si="4"/>
        <v>225</v>
      </c>
      <c r="B235" s="43">
        <v>7828.9457402342196</v>
      </c>
      <c r="C235" s="43">
        <f>($F$22+B235)*$F$23/Main!$K$3</f>
        <v>305.76927365465002</v>
      </c>
    </row>
    <row r="236" spans="1:3" x14ac:dyDescent="0.2">
      <c r="A236" s="43">
        <f t="shared" si="4"/>
        <v>226</v>
      </c>
      <c r="B236" s="43">
        <v>5681.3752587651616</v>
      </c>
      <c r="C236" s="43">
        <f>($F$22+B236)*$F$23/Main!$K$3</f>
        <v>287.14478908941282</v>
      </c>
    </row>
    <row r="237" spans="1:3" x14ac:dyDescent="0.2">
      <c r="A237" s="43">
        <f t="shared" si="4"/>
        <v>227</v>
      </c>
      <c r="B237" s="43">
        <v>794.79934578768859</v>
      </c>
      <c r="C237" s="43">
        <f>($F$22+B237)*$F$23/Main!$K$3</f>
        <v>244.7666886017154</v>
      </c>
    </row>
    <row r="238" spans="1:3" x14ac:dyDescent="0.2">
      <c r="A238" s="43">
        <f t="shared" si="4"/>
        <v>228</v>
      </c>
      <c r="B238" s="43">
        <v>-12681.957771473173</v>
      </c>
      <c r="C238" s="43">
        <f>($F$22+B238)*$F$23/Main!$K$3</f>
        <v>127.89152334605481</v>
      </c>
    </row>
    <row r="239" spans="1:3" x14ac:dyDescent="0.2">
      <c r="A239" s="43">
        <f t="shared" si="4"/>
        <v>229</v>
      </c>
      <c r="B239" s="43">
        <v>57.371428948613477</v>
      </c>
      <c r="C239" s="43">
        <f>($F$22+B239)*$F$23/Main!$K$3</f>
        <v>238.37145502328153</v>
      </c>
    </row>
    <row r="240" spans="1:3" x14ac:dyDescent="0.2">
      <c r="A240" s="43">
        <f t="shared" si="4"/>
        <v>230</v>
      </c>
      <c r="B240" s="43">
        <v>-4273.988299005453</v>
      </c>
      <c r="C240" s="43">
        <f>($F$22+B240)*$F$23/Main!$K$3</f>
        <v>200.80838405734613</v>
      </c>
    </row>
    <row r="241" spans="1:3" x14ac:dyDescent="0.2">
      <c r="A241" s="43">
        <f t="shared" si="4"/>
        <v>231</v>
      </c>
      <c r="B241" s="43">
        <v>15274.994482016453</v>
      </c>
      <c r="C241" s="43">
        <f>($F$22+B241)*$F$23/Main!$K$3</f>
        <v>370.34402035561163</v>
      </c>
    </row>
    <row r="242" spans="1:3" x14ac:dyDescent="0.2">
      <c r="A242" s="43">
        <f t="shared" si="4"/>
        <v>232</v>
      </c>
      <c r="B242" s="43">
        <v>15759.311154807307</v>
      </c>
      <c r="C242" s="43">
        <f>($F$22+B242)*$F$23/Main!$K$3</f>
        <v>374.54418443633136</v>
      </c>
    </row>
    <row r="243" spans="1:3" x14ac:dyDescent="0.2">
      <c r="A243" s="43">
        <f t="shared" si="4"/>
        <v>233</v>
      </c>
      <c r="B243" s="43">
        <v>20008.362706918175</v>
      </c>
      <c r="C243" s="43">
        <f>($F$22+B243)*$F$23/Main!$K$3</f>
        <v>411.39345002832812</v>
      </c>
    </row>
    <row r="244" spans="1:3" x14ac:dyDescent="0.2">
      <c r="A244" s="43">
        <f t="shared" si="4"/>
        <v>234</v>
      </c>
      <c r="B244" s="43">
        <v>3055.0595687725558</v>
      </c>
      <c r="C244" s="43">
        <f>($F$22+B244)*$F$23/Main!$K$3</f>
        <v>264.36845813600559</v>
      </c>
    </row>
    <row r="245" spans="1:3" x14ac:dyDescent="0.2">
      <c r="A245" s="43">
        <f t="shared" si="4"/>
        <v>235</v>
      </c>
      <c r="B245" s="43">
        <v>364.66889231610247</v>
      </c>
      <c r="C245" s="43">
        <f>($F$22+B245)*$F$23/Main!$K$3</f>
        <v>241.03644642300932</v>
      </c>
    </row>
    <row r="246" spans="1:3" x14ac:dyDescent="0.2">
      <c r="A246" s="43">
        <f t="shared" si="4"/>
        <v>236</v>
      </c>
      <c r="B246" s="43">
        <v>1275.4007587334493</v>
      </c>
      <c r="C246" s="43">
        <f>($F$22+B246)*$F$23/Main!$K$3</f>
        <v>248.93463264577608</v>
      </c>
    </row>
    <row r="247" spans="1:3" x14ac:dyDescent="0.2">
      <c r="A247" s="43">
        <f t="shared" si="4"/>
        <v>237</v>
      </c>
      <c r="B247" s="43">
        <v>-992.10459715021864</v>
      </c>
      <c r="C247" s="43">
        <f>($F$22+B247)*$F$23/Main!$K$3</f>
        <v>229.27003077745491</v>
      </c>
    </row>
    <row r="248" spans="1:3" x14ac:dyDescent="0.2">
      <c r="A248" s="43">
        <f t="shared" si="4"/>
        <v>238</v>
      </c>
      <c r="B248" s="43">
        <v>10529.72099712238</v>
      </c>
      <c r="C248" s="43">
        <f>($F$22+B248)*$F$23/Main!$K$3</f>
        <v>329.19134409197488</v>
      </c>
    </row>
    <row r="249" spans="1:3" x14ac:dyDescent="0.2">
      <c r="A249" s="43">
        <f t="shared" si="4"/>
        <v>239</v>
      </c>
      <c r="B249" s="43">
        <v>13477.926625061089</v>
      </c>
      <c r="C249" s="43">
        <f>($F$22+B249)*$F$23/Main!$K$3</f>
        <v>354.75921750357486</v>
      </c>
    </row>
    <row r="250" spans="1:3" x14ac:dyDescent="0.2">
      <c r="A250" s="43">
        <f t="shared" si="4"/>
        <v>240</v>
      </c>
      <c r="B250" s="43">
        <v>17592.418478746858</v>
      </c>
      <c r="C250" s="43">
        <f>($F$22+B250)*$F$23/Main!$K$3</f>
        <v>390.44153418840148</v>
      </c>
    </row>
    <row r="251" spans="1:3" x14ac:dyDescent="0.2">
      <c r="A251" s="43">
        <f t="shared" si="4"/>
        <v>241</v>
      </c>
      <c r="B251" s="43">
        <v>7062.7592702656239</v>
      </c>
      <c r="C251" s="43">
        <f>($F$22+B251)*$F$23/Main!$K$3</f>
        <v>299.12463581521467</v>
      </c>
    </row>
    <row r="252" spans="1:3" x14ac:dyDescent="0.2">
      <c r="A252" s="43">
        <f t="shared" si="4"/>
        <v>242</v>
      </c>
      <c r="B252" s="43">
        <v>7826.7398770709906</v>
      </c>
      <c r="C252" s="43">
        <f>($F$22+B252)*$F$23/Main!$K$3</f>
        <v>305.75014363549997</v>
      </c>
    </row>
    <row r="253" spans="1:3" x14ac:dyDescent="0.2">
      <c r="A253" s="43">
        <f t="shared" si="4"/>
        <v>243</v>
      </c>
      <c r="B253" s="43">
        <v>5317.1595066841064</v>
      </c>
      <c r="C253" s="43">
        <f>($F$22+B253)*$F$23/Main!$K$3</f>
        <v>283.98618232349679</v>
      </c>
    </row>
    <row r="254" spans="1:3" x14ac:dyDescent="0.2">
      <c r="A254" s="43">
        <f t="shared" si="4"/>
        <v>244</v>
      </c>
      <c r="B254" s="43">
        <v>-2860.0366454469208</v>
      </c>
      <c r="C254" s="43">
        <f>($F$22+B254)*$F$23/Main!$K$3</f>
        <v>213.07066879953462</v>
      </c>
    </row>
    <row r="255" spans="1:3" x14ac:dyDescent="0.2">
      <c r="A255" s="43">
        <f t="shared" si="4"/>
        <v>245</v>
      </c>
      <c r="B255" s="43">
        <v>1603.2327923398709</v>
      </c>
      <c r="C255" s="43">
        <f>($F$22+B255)*$F$23/Main!$K$3</f>
        <v>251.77770704197303</v>
      </c>
    </row>
    <row r="256" spans="1:3" x14ac:dyDescent="0.2">
      <c r="A256" s="43">
        <f t="shared" si="4"/>
        <v>246</v>
      </c>
      <c r="B256" s="43">
        <v>17698.195730563155</v>
      </c>
      <c r="C256" s="43">
        <f>($F$22+B256)*$F$23/Main!$K$3</f>
        <v>391.3588716219362</v>
      </c>
    </row>
    <row r="257" spans="1:3" x14ac:dyDescent="0.2">
      <c r="A257" s="43">
        <f t="shared" si="4"/>
        <v>247</v>
      </c>
      <c r="B257" s="43">
        <v>858.61384383419545</v>
      </c>
      <c r="C257" s="43">
        <f>($F$22+B257)*$F$23/Main!$K$3</f>
        <v>245.32011031437207</v>
      </c>
    </row>
    <row r="258" spans="1:3" x14ac:dyDescent="0.2">
      <c r="A258" s="43">
        <f t="shared" si="4"/>
        <v>248</v>
      </c>
      <c r="B258" s="43">
        <v>17175.219979670248</v>
      </c>
      <c r="C258" s="43">
        <f>($F$22+B258)*$F$23/Main!$K$3</f>
        <v>386.82344245463111</v>
      </c>
    </row>
    <row r="259" spans="1:3" x14ac:dyDescent="0.2">
      <c r="A259" s="43">
        <f t="shared" si="4"/>
        <v>249</v>
      </c>
      <c r="B259" s="43">
        <v>-1776.0652807449346</v>
      </c>
      <c r="C259" s="43">
        <f>($F$22+B259)*$F$23/Main!$K$3</f>
        <v>222.47124872240693</v>
      </c>
    </row>
    <row r="260" spans="1:3" x14ac:dyDescent="0.2">
      <c r="A260" s="43">
        <f t="shared" si="4"/>
        <v>250</v>
      </c>
      <c r="B260" s="43">
        <v>3131.3812972076003</v>
      </c>
      <c r="C260" s="43">
        <f>($F$22+B260)*$F$23/Main!$K$3</f>
        <v>265.03034693802448</v>
      </c>
    </row>
    <row r="261" spans="1:3" x14ac:dyDescent="0.2">
      <c r="A261" s="43">
        <f t="shared" si="4"/>
        <v>251</v>
      </c>
      <c r="B261" s="43">
        <v>1053.7290826074059</v>
      </c>
      <c r="C261" s="43">
        <f>($F$22+B261)*$F$23/Main!$K$3</f>
        <v>247.01221810982307</v>
      </c>
    </row>
    <row r="262" spans="1:3" x14ac:dyDescent="0.2">
      <c r="A262" s="43">
        <f t="shared" si="4"/>
        <v>252</v>
      </c>
      <c r="B262" s="43">
        <v>1839.9447571569597</v>
      </c>
      <c r="C262" s="43">
        <f>($F$22+B262)*$F$23/Main!$K$3</f>
        <v>253.83055623746353</v>
      </c>
    </row>
    <row r="263" spans="1:3" x14ac:dyDescent="0.2">
      <c r="A263" s="43">
        <f t="shared" si="4"/>
        <v>253</v>
      </c>
      <c r="B263" s="43">
        <v>25691.380098833641</v>
      </c>
      <c r="C263" s="43">
        <f>($F$22+B263)*$F$23/Main!$K$3</f>
        <v>460.67857040645009</v>
      </c>
    </row>
    <row r="264" spans="1:3" x14ac:dyDescent="0.2">
      <c r="A264" s="43">
        <f t="shared" si="4"/>
        <v>254</v>
      </c>
      <c r="B264" s="43">
        <v>12933.791855817983</v>
      </c>
      <c r="C264" s="43">
        <f>($F$22+B264)*$F$23/Main!$K$3</f>
        <v>350.04028990672839</v>
      </c>
    </row>
    <row r="265" spans="1:3" x14ac:dyDescent="0.2">
      <c r="A265" s="43">
        <f t="shared" si="4"/>
        <v>255</v>
      </c>
      <c r="B265" s="43">
        <v>12905.826319678014</v>
      </c>
      <c r="C265" s="43">
        <f>($F$22+B265)*$F$23/Main!$K$3</f>
        <v>349.79776296724418</v>
      </c>
    </row>
    <row r="266" spans="1:3" x14ac:dyDescent="0.2">
      <c r="A266" s="43">
        <f t="shared" si="4"/>
        <v>256</v>
      </c>
      <c r="B266" s="43">
        <v>25408.365302921051</v>
      </c>
      <c r="C266" s="43">
        <f>($F$22+B266)*$F$23/Main!$K$3</f>
        <v>458.22416681704982</v>
      </c>
    </row>
    <row r="267" spans="1:3" x14ac:dyDescent="0.2">
      <c r="A267" s="43">
        <f t="shared" si="4"/>
        <v>257</v>
      </c>
      <c r="B267" s="43">
        <v>18804.496653386461</v>
      </c>
      <c r="C267" s="43">
        <f>($F$22+B267)*$F$23/Main!$K$3</f>
        <v>400.95310130586074</v>
      </c>
    </row>
    <row r="268" spans="1:3" x14ac:dyDescent="0.2">
      <c r="A268" s="43">
        <f t="shared" si="4"/>
        <v>258</v>
      </c>
      <c r="B268" s="43">
        <v>7282.8418109306122</v>
      </c>
      <c r="C268" s="43">
        <f>($F$22+B268)*$F$23/Main!$K$3</f>
        <v>301.03326881099389</v>
      </c>
    </row>
    <row r="269" spans="1:3" x14ac:dyDescent="0.2">
      <c r="A269" s="43">
        <f t="shared" si="4"/>
        <v>259</v>
      </c>
      <c r="B269" s="43">
        <v>-5309.2404384552328</v>
      </c>
      <c r="C269" s="43">
        <f>($F$22+B269)*$F$23/Main!$K$3</f>
        <v>191.83031434616171</v>
      </c>
    </row>
    <row r="270" spans="1:3" x14ac:dyDescent="0.2">
      <c r="A270" s="43">
        <f t="shared" si="4"/>
        <v>260</v>
      </c>
      <c r="B270" s="43">
        <v>25043.620960093282</v>
      </c>
      <c r="C270" s="43">
        <f>($F$22+B270)*$F$23/Main!$K$3</f>
        <v>455.06097592675292</v>
      </c>
    </row>
    <row r="271" spans="1:3" x14ac:dyDescent="0.2">
      <c r="A271" s="43">
        <f t="shared" si="4"/>
        <v>261</v>
      </c>
      <c r="B271" s="43">
        <v>18084.27192770605</v>
      </c>
      <c r="C271" s="43">
        <f>($F$22+B271)*$F$23/Main!$K$3</f>
        <v>394.70705983589176</v>
      </c>
    </row>
    <row r="272" spans="1:3" x14ac:dyDescent="0.2">
      <c r="A272" s="43">
        <f t="shared" si="4"/>
        <v>262</v>
      </c>
      <c r="B272" s="43">
        <v>2027.2549053933549</v>
      </c>
      <c r="C272" s="43">
        <f>($F$22+B272)*$F$23/Main!$K$3</f>
        <v>255.45497554981813</v>
      </c>
    </row>
    <row r="273" spans="1:3" x14ac:dyDescent="0.2">
      <c r="A273" s="43">
        <f t="shared" si="4"/>
        <v>263</v>
      </c>
      <c r="B273" s="43">
        <v>7199.2752483200575</v>
      </c>
      <c r="C273" s="43">
        <f>($F$22+B273)*$F$23/Main!$K$3</f>
        <v>300.30855026557714</v>
      </c>
    </row>
    <row r="274" spans="1:3" x14ac:dyDescent="0.2">
      <c r="A274" s="43">
        <f t="shared" si="4"/>
        <v>264</v>
      </c>
      <c r="B274" s="43">
        <v>85.659580551936529</v>
      </c>
      <c r="C274" s="43">
        <f>($F$22+B274)*$F$23/Main!$K$3</f>
        <v>238.61677979723481</v>
      </c>
    </row>
    <row r="275" spans="1:3" x14ac:dyDescent="0.2">
      <c r="A275" s="43">
        <f t="shared" si="4"/>
        <v>265</v>
      </c>
      <c r="B275" s="43">
        <v>5953.2341759738356</v>
      </c>
      <c r="C275" s="43">
        <f>($F$22+B275)*$F$23/Main!$K$3</f>
        <v>289.50244498530293</v>
      </c>
    </row>
    <row r="276" spans="1:3" x14ac:dyDescent="0.2">
      <c r="A276" s="43">
        <f t="shared" ref="A276:A339" si="5">A275+1</f>
        <v>266</v>
      </c>
      <c r="B276" s="43">
        <v>2287.6071104381822</v>
      </c>
      <c r="C276" s="43">
        <f>($F$22+B276)*$F$23/Main!$K$3</f>
        <v>257.71284120136397</v>
      </c>
    </row>
    <row r="277" spans="1:3" x14ac:dyDescent="0.2">
      <c r="A277" s="43">
        <f t="shared" si="5"/>
        <v>267</v>
      </c>
      <c r="B277" s="43">
        <v>14744.458411271193</v>
      </c>
      <c r="C277" s="43">
        <f>($F$22+B277)*$F$23/Main!$K$3</f>
        <v>365.74302544244932</v>
      </c>
    </row>
    <row r="278" spans="1:3" x14ac:dyDescent="0.2">
      <c r="A278" s="43">
        <f t="shared" si="5"/>
        <v>268</v>
      </c>
      <c r="B278" s="43">
        <v>4227.1257893788752</v>
      </c>
      <c r="C278" s="43">
        <f>($F$22+B278)*$F$23/Main!$K$3</f>
        <v>274.53302755222603</v>
      </c>
    </row>
    <row r="279" spans="1:3" x14ac:dyDescent="0.2">
      <c r="A279" s="43">
        <f t="shared" si="5"/>
        <v>269</v>
      </c>
      <c r="B279" s="43">
        <v>11884.060511160942</v>
      </c>
      <c r="C279" s="43">
        <f>($F$22+B279)*$F$23/Main!$K$3</f>
        <v>340.93665144880129</v>
      </c>
    </row>
    <row r="280" spans="1:3" x14ac:dyDescent="0.2">
      <c r="A280" s="43">
        <f t="shared" si="5"/>
        <v>270</v>
      </c>
      <c r="B280" s="43">
        <v>3397.7017491660399</v>
      </c>
      <c r="C280" s="43">
        <f>($F$22+B280)*$F$23/Main!$K$3</f>
        <v>267.33997132041685</v>
      </c>
    </row>
    <row r="281" spans="1:3" x14ac:dyDescent="0.2">
      <c r="A281" s="43">
        <f t="shared" si="5"/>
        <v>271</v>
      </c>
      <c r="B281" s="43">
        <v>0.72425965790020563</v>
      </c>
      <c r="C281" s="43">
        <f>($F$22+B281)*$F$23/Main!$K$3</f>
        <v>237.88019089983464</v>
      </c>
    </row>
    <row r="282" spans="1:3" x14ac:dyDescent="0.2">
      <c r="A282" s="43">
        <f t="shared" si="5"/>
        <v>272</v>
      </c>
      <c r="B282" s="43">
        <v>-3076.2510231599304</v>
      </c>
      <c r="C282" s="43">
        <f>($F$22+B282)*$F$23/Main!$K$3</f>
        <v>211.19558186979452</v>
      </c>
    </row>
    <row r="283" spans="1:3" x14ac:dyDescent="0.2">
      <c r="A283" s="43">
        <f t="shared" si="5"/>
        <v>273</v>
      </c>
      <c r="B283" s="43">
        <v>-334.26574797145139</v>
      </c>
      <c r="C283" s="43">
        <f>($F$22+B283)*$F$23/Main!$K$3</f>
        <v>234.97504004195284</v>
      </c>
    </row>
    <row r="284" spans="1:3" x14ac:dyDescent="0.2">
      <c r="A284" s="43">
        <f t="shared" si="5"/>
        <v>274</v>
      </c>
      <c r="B284" s="43">
        <v>4266.1400284287156</v>
      </c>
      <c r="C284" s="43">
        <f>($F$22+B284)*$F$23/Main!$K$3</f>
        <v>274.87137271913821</v>
      </c>
    </row>
    <row r="285" spans="1:3" x14ac:dyDescent="0.2">
      <c r="A285" s="43">
        <f t="shared" si="5"/>
        <v>275</v>
      </c>
      <c r="B285" s="43">
        <v>18717.604864287958</v>
      </c>
      <c r="C285" s="43">
        <f>($F$22+B285)*$F$23/Main!$K$3</f>
        <v>400.19954522987854</v>
      </c>
    </row>
    <row r="286" spans="1:3" x14ac:dyDescent="0.2">
      <c r="A286" s="43">
        <f t="shared" si="5"/>
        <v>276</v>
      </c>
      <c r="B286" s="43">
        <v>17068.636974393183</v>
      </c>
      <c r="C286" s="43">
        <f>($F$22+B286)*$F$23/Main!$K$3</f>
        <v>385.899117244433</v>
      </c>
    </row>
    <row r="287" spans="1:3" x14ac:dyDescent="0.2">
      <c r="A287" s="43">
        <f t="shared" si="5"/>
        <v>277</v>
      </c>
      <c r="B287" s="43">
        <v>7773.8769891040993</v>
      </c>
      <c r="C287" s="43">
        <f>($F$22+B287)*$F$23/Main!$K$3</f>
        <v>305.29169812718783</v>
      </c>
    </row>
    <row r="288" spans="1:3" x14ac:dyDescent="0.2">
      <c r="A288" s="43">
        <f t="shared" si="5"/>
        <v>278</v>
      </c>
      <c r="B288" s="43">
        <v>-595.61413727105742</v>
      </c>
      <c r="C288" s="43">
        <f>($F$22+B288)*$F$23/Main!$K$3</f>
        <v>232.70853513109628</v>
      </c>
    </row>
    <row r="289" spans="1:3" x14ac:dyDescent="0.2">
      <c r="A289" s="43">
        <f t="shared" si="5"/>
        <v>279</v>
      </c>
      <c r="B289" s="43">
        <v>1153.8402481014489</v>
      </c>
      <c r="C289" s="43">
        <f>($F$22+B289)*$F$23/Main!$K$3</f>
        <v>247.88041725515509</v>
      </c>
    </row>
    <row r="290" spans="1:3" x14ac:dyDescent="0.2">
      <c r="A290" s="43">
        <f t="shared" si="5"/>
        <v>280</v>
      </c>
      <c r="B290" s="43">
        <v>26060.957560745232</v>
      </c>
      <c r="C290" s="43">
        <f>($F$22+B290)*$F$23/Main!$K$3</f>
        <v>463.88367580085998</v>
      </c>
    </row>
    <row r="291" spans="1:3" x14ac:dyDescent="0.2">
      <c r="A291" s="43">
        <f t="shared" si="5"/>
        <v>281</v>
      </c>
      <c r="B291" s="43">
        <v>-477.06986270132273</v>
      </c>
      <c r="C291" s="43">
        <f>($F$22+B291)*$F$23/Main!$K$3</f>
        <v>233.73659266451472</v>
      </c>
    </row>
    <row r="292" spans="1:3" x14ac:dyDescent="0.2">
      <c r="A292" s="43">
        <f t="shared" si="5"/>
        <v>282</v>
      </c>
      <c r="B292" s="43">
        <v>2535.5782247921461</v>
      </c>
      <c r="C292" s="43">
        <f>($F$22+B292)*$F$23/Main!$K$3</f>
        <v>259.86333369125464</v>
      </c>
    </row>
    <row r="293" spans="1:3" x14ac:dyDescent="0.2">
      <c r="A293" s="43">
        <f t="shared" si="5"/>
        <v>283</v>
      </c>
      <c r="B293" s="43">
        <v>4607.8298718340347</v>
      </c>
      <c r="C293" s="43">
        <f>($F$22+B293)*$F$23/Main!$K$3</f>
        <v>277.83462690311609</v>
      </c>
    </row>
    <row r="294" spans="1:3" x14ac:dyDescent="0.2">
      <c r="A294" s="43">
        <f t="shared" si="5"/>
        <v>284</v>
      </c>
      <c r="B294" s="43">
        <v>-1646.1753219074685</v>
      </c>
      <c r="C294" s="43">
        <f>($F$22+B294)*$F$23/Main!$K$3</f>
        <v>223.59770000976718</v>
      </c>
    </row>
    <row r="295" spans="1:3" x14ac:dyDescent="0.2">
      <c r="A295" s="43">
        <f t="shared" si="5"/>
        <v>285</v>
      </c>
      <c r="B295" s="43">
        <v>15401.747958868167</v>
      </c>
      <c r="C295" s="43">
        <f>($F$22+B295)*$F$23/Main!$K$3</f>
        <v>371.44327097093958</v>
      </c>
    </row>
    <row r="296" spans="1:3" x14ac:dyDescent="0.2">
      <c r="A296" s="43">
        <f t="shared" si="5"/>
        <v>286</v>
      </c>
      <c r="B296" s="43">
        <v>8345.7315020734313</v>
      </c>
      <c r="C296" s="43">
        <f>($F$22+B296)*$F$23/Main!$K$3</f>
        <v>310.25102106548457</v>
      </c>
    </row>
    <row r="297" spans="1:3" x14ac:dyDescent="0.2">
      <c r="A297" s="43">
        <f t="shared" si="5"/>
        <v>287</v>
      </c>
      <c r="B297" s="43">
        <v>6143.943386955284</v>
      </c>
      <c r="C297" s="43">
        <f>($F$22+B297)*$F$23/Main!$K$3</f>
        <v>291.15634216214568</v>
      </c>
    </row>
    <row r="298" spans="1:3" x14ac:dyDescent="0.2">
      <c r="A298" s="43">
        <f t="shared" si="5"/>
        <v>288</v>
      </c>
      <c r="B298" s="43">
        <v>4938.1597470861643</v>
      </c>
      <c r="C298" s="43">
        <f>($F$22+B298)*$F$23/Main!$K$3</f>
        <v>280.69936345828683</v>
      </c>
    </row>
    <row r="299" spans="1:3" x14ac:dyDescent="0.2">
      <c r="A299" s="43">
        <f t="shared" si="5"/>
        <v>289</v>
      </c>
      <c r="B299" s="43">
        <v>3917.4440336121447</v>
      </c>
      <c r="C299" s="43">
        <f>($F$22+B299)*$F$23/Main!$K$3</f>
        <v>271.84735873242198</v>
      </c>
    </row>
    <row r="300" spans="1:3" x14ac:dyDescent="0.2">
      <c r="A300" s="43">
        <f t="shared" si="5"/>
        <v>290</v>
      </c>
      <c r="B300" s="43">
        <v>6546.1892041251285</v>
      </c>
      <c r="C300" s="43">
        <f>($F$22+B300)*$F$23/Main!$K$3</f>
        <v>294.64475899314363</v>
      </c>
    </row>
    <row r="301" spans="1:3" x14ac:dyDescent="0.2">
      <c r="A301" s="43">
        <f t="shared" si="5"/>
        <v>291</v>
      </c>
      <c r="B301" s="43">
        <v>5909.4109970609898</v>
      </c>
      <c r="C301" s="43">
        <f>($F$22+B301)*$F$23/Main!$K$3</f>
        <v>289.12239500496253</v>
      </c>
    </row>
    <row r="302" spans="1:3" x14ac:dyDescent="0.2">
      <c r="A302" s="43">
        <f t="shared" si="5"/>
        <v>292</v>
      </c>
      <c r="B302" s="43">
        <v>12698.016727236409</v>
      </c>
      <c r="C302" s="43">
        <f>($F$22+B302)*$F$23/Main!$K$3</f>
        <v>347.9955652837067</v>
      </c>
    </row>
    <row r="303" spans="1:3" x14ac:dyDescent="0.2">
      <c r="A303" s="43">
        <f t="shared" si="5"/>
        <v>293</v>
      </c>
      <c r="B303" s="43">
        <v>8597.1095981335093</v>
      </c>
      <c r="C303" s="43">
        <f>($F$22+B303)*$F$23/Main!$K$3</f>
        <v>312.4310600958716</v>
      </c>
    </row>
    <row r="304" spans="1:3" x14ac:dyDescent="0.2">
      <c r="A304" s="43">
        <f t="shared" si="5"/>
        <v>294</v>
      </c>
      <c r="B304" s="43">
        <v>1299.2077048479559</v>
      </c>
      <c r="C304" s="43">
        <f>($F$22+B304)*$F$23/Main!$K$3</f>
        <v>249.14109483376058</v>
      </c>
    </row>
    <row r="305" spans="1:3" x14ac:dyDescent="0.2">
      <c r="A305" s="43">
        <f t="shared" si="5"/>
        <v>295</v>
      </c>
      <c r="B305" s="43">
        <v>3637.0772834736795</v>
      </c>
      <c r="C305" s="43">
        <f>($F$22+B305)*$F$23/Main!$K$3</f>
        <v>269.41591992488742</v>
      </c>
    </row>
    <row r="306" spans="1:3" x14ac:dyDescent="0.2">
      <c r="A306" s="43">
        <f t="shared" si="5"/>
        <v>296</v>
      </c>
      <c r="B306" s="43">
        <v>744.31081470666948</v>
      </c>
      <c r="C306" s="43">
        <f>($F$22+B306)*$F$23/Main!$K$3</f>
        <v>244.32883434922229</v>
      </c>
    </row>
    <row r="307" spans="1:3" x14ac:dyDescent="0.2">
      <c r="A307" s="43">
        <f t="shared" si="5"/>
        <v>297</v>
      </c>
      <c r="B307" s="43">
        <v>741.04796624311302</v>
      </c>
      <c r="C307" s="43">
        <f>($F$22+B307)*$F$23/Main!$K$3</f>
        <v>244.3005377827661</v>
      </c>
    </row>
    <row r="308" spans="1:3" x14ac:dyDescent="0.2">
      <c r="A308" s="43">
        <f t="shared" si="5"/>
        <v>298</v>
      </c>
      <c r="B308" s="43">
        <v>-118.99568991228725</v>
      </c>
      <c r="C308" s="43">
        <f>($F$22+B308)*$F$23/Main!$K$3</f>
        <v>236.84193750039526</v>
      </c>
    </row>
    <row r="309" spans="1:3" x14ac:dyDescent="0.2">
      <c r="A309" s="43">
        <f t="shared" si="5"/>
        <v>299</v>
      </c>
      <c r="B309" s="43">
        <v>12709.002732584027</v>
      </c>
      <c r="C309" s="43">
        <f>($F$22+B309)*$F$23/Main!$K$3</f>
        <v>348.09083977588097</v>
      </c>
    </row>
    <row r="310" spans="1:3" x14ac:dyDescent="0.2">
      <c r="A310" s="43">
        <f t="shared" si="5"/>
        <v>300</v>
      </c>
      <c r="B310" s="43">
        <v>3576.0321594130651</v>
      </c>
      <c r="C310" s="43">
        <f>($F$22+B310)*$F$23/Main!$K$3</f>
        <v>268.88651519490992</v>
      </c>
    </row>
    <row r="311" spans="1:3" x14ac:dyDescent="0.2">
      <c r="A311" s="43">
        <f t="shared" si="5"/>
        <v>301</v>
      </c>
      <c r="B311" s="43">
        <v>18426.081763635342</v>
      </c>
      <c r="C311" s="43">
        <f>($F$22+B311)*$F$23/Main!$K$3</f>
        <v>397.67135463712992</v>
      </c>
    </row>
    <row r="312" spans="1:3" x14ac:dyDescent="0.2">
      <c r="A312" s="43">
        <f t="shared" si="5"/>
        <v>302</v>
      </c>
      <c r="B312" s="43">
        <v>15307.945180234454</v>
      </c>
      <c r="C312" s="43">
        <f>($F$22+B312)*$F$23/Main!$K$3</f>
        <v>370.62978036939018</v>
      </c>
    </row>
    <row r="313" spans="1:3" x14ac:dyDescent="0.2">
      <c r="A313" s="43">
        <f t="shared" si="5"/>
        <v>303</v>
      </c>
      <c r="B313" s="43">
        <v>-2846.408537291516</v>
      </c>
      <c r="C313" s="43">
        <f>($F$22+B313)*$F$23/Main!$K$3</f>
        <v>213.18885653408577</v>
      </c>
    </row>
    <row r="314" spans="1:3" x14ac:dyDescent="0.2">
      <c r="A314" s="43">
        <f t="shared" si="5"/>
        <v>304</v>
      </c>
      <c r="B314" s="43">
        <v>20138.783839393003</v>
      </c>
      <c r="C314" s="43">
        <f>($F$22+B314)*$F$23/Main!$K$3</f>
        <v>412.52450783980282</v>
      </c>
    </row>
    <row r="315" spans="1:3" x14ac:dyDescent="0.2">
      <c r="A315" s="43">
        <f t="shared" si="5"/>
        <v>305</v>
      </c>
      <c r="B315" s="43">
        <v>3452.3360126621501</v>
      </c>
      <c r="C315" s="43">
        <f>($F$22+B315)*$F$23/Main!$K$3</f>
        <v>267.81377881870219</v>
      </c>
    </row>
    <row r="316" spans="1:3" x14ac:dyDescent="0.2">
      <c r="A316" s="43">
        <f t="shared" si="5"/>
        <v>306</v>
      </c>
      <c r="B316" s="43">
        <v>13794.283861777698</v>
      </c>
      <c r="C316" s="43">
        <f>($F$22+B316)*$F$23/Main!$K$3</f>
        <v>357.50277843587975</v>
      </c>
    </row>
    <row r="317" spans="1:3" x14ac:dyDescent="0.2">
      <c r="A317" s="43">
        <f t="shared" si="5"/>
        <v>307</v>
      </c>
      <c r="B317" s="43">
        <v>6883.0056891788072</v>
      </c>
      <c r="C317" s="43">
        <f>($F$22+B317)*$F$23/Main!$K$3</f>
        <v>297.56574970396235</v>
      </c>
    </row>
    <row r="318" spans="1:3" x14ac:dyDescent="0.2">
      <c r="A318" s="43">
        <f t="shared" si="5"/>
        <v>308</v>
      </c>
      <c r="B318" s="43">
        <v>5473.9806926964593</v>
      </c>
      <c r="C318" s="43">
        <f>($F$22+B318)*$F$23/Main!$K$3</f>
        <v>285.34619066016904</v>
      </c>
    </row>
    <row r="319" spans="1:3" x14ac:dyDescent="0.2">
      <c r="A319" s="43">
        <f t="shared" si="5"/>
        <v>309</v>
      </c>
      <c r="B319" s="43">
        <v>2435.3920643775386</v>
      </c>
      <c r="C319" s="43">
        <f>($F$22+B319)*$F$23/Main!$K$3</f>
        <v>258.99448416366391</v>
      </c>
    </row>
    <row r="320" spans="1:3" x14ac:dyDescent="0.2">
      <c r="A320" s="43">
        <f t="shared" si="5"/>
        <v>310</v>
      </c>
      <c r="B320" s="43">
        <v>2049.6324561711704</v>
      </c>
      <c r="C320" s="43">
        <f>($F$22+B320)*$F$23/Main!$K$3</f>
        <v>255.64904152002279</v>
      </c>
    </row>
    <row r="321" spans="1:3" x14ac:dyDescent="0.2">
      <c r="A321" s="43">
        <f t="shared" si="5"/>
        <v>311</v>
      </c>
      <c r="B321" s="43">
        <v>4200.5987992870932</v>
      </c>
      <c r="C321" s="43">
        <f>($F$22+B321)*$F$23/Main!$K$3</f>
        <v>274.30297618870173</v>
      </c>
    </row>
    <row r="322" spans="1:3" x14ac:dyDescent="0.2">
      <c r="A322" s="43">
        <f t="shared" si="5"/>
        <v>312</v>
      </c>
      <c r="B322" s="43">
        <v>32335.378184583966</v>
      </c>
      <c r="C322" s="43">
        <f>($F$22+B322)*$F$23/Main!$K$3</f>
        <v>518.29765246557599</v>
      </c>
    </row>
    <row r="323" spans="1:3" x14ac:dyDescent="0.2">
      <c r="A323" s="43">
        <f t="shared" si="5"/>
        <v>313</v>
      </c>
      <c r="B323" s="43">
        <v>6794.0274533711972</v>
      </c>
      <c r="C323" s="43">
        <f>($F$22+B323)*$F$23/Main!$K$3</f>
        <v>296.79409923021063</v>
      </c>
    </row>
    <row r="324" spans="1:3" x14ac:dyDescent="0.2">
      <c r="A324" s="43">
        <f t="shared" si="5"/>
        <v>314</v>
      </c>
      <c r="B324" s="43">
        <v>9979.5413936853765</v>
      </c>
      <c r="C324" s="43">
        <f>($F$22+B324)*$F$23/Main!$K$3</f>
        <v>324.41999357252115</v>
      </c>
    </row>
    <row r="325" spans="1:3" x14ac:dyDescent="0.2">
      <c r="A325" s="43">
        <f t="shared" si="5"/>
        <v>315</v>
      </c>
      <c r="B325" s="43">
        <v>-2912.9603717049113</v>
      </c>
      <c r="C325" s="43">
        <f>($F$22+B325)*$F$23/Main!$K$3</f>
        <v>212.61169568022052</v>
      </c>
    </row>
    <row r="326" spans="1:3" x14ac:dyDescent="0.2">
      <c r="A326" s="43">
        <f t="shared" si="5"/>
        <v>316</v>
      </c>
      <c r="B326" s="43">
        <v>18238.101563490472</v>
      </c>
      <c r="C326" s="43">
        <f>($F$22+B326)*$F$23/Main!$K$3</f>
        <v>396.0411243995764</v>
      </c>
    </row>
    <row r="327" spans="1:3" x14ac:dyDescent="0.2">
      <c r="A327" s="43">
        <f t="shared" si="5"/>
        <v>317</v>
      </c>
      <c r="B327" s="43">
        <v>13689.859531741618</v>
      </c>
      <c r="C327" s="43">
        <f>($F$22+B327)*$F$23/Main!$K$3</f>
        <v>356.59717401461677</v>
      </c>
    </row>
    <row r="328" spans="1:3" x14ac:dyDescent="0.2">
      <c r="A328" s="43">
        <f t="shared" si="5"/>
        <v>318</v>
      </c>
      <c r="B328" s="43">
        <v>11545.831650826489</v>
      </c>
      <c r="C328" s="43">
        <f>($F$22+B328)*$F$23/Main!$K$3</f>
        <v>338.00341212409819</v>
      </c>
    </row>
    <row r="329" spans="1:3" x14ac:dyDescent="0.2">
      <c r="A329" s="43">
        <f t="shared" si="5"/>
        <v>319</v>
      </c>
      <c r="B329" s="43">
        <v>3423.2750041380259</v>
      </c>
      <c r="C329" s="43">
        <f>($F$22+B329)*$F$23/Main!$K$3</f>
        <v>267.56175155841993</v>
      </c>
    </row>
    <row r="330" spans="1:3" x14ac:dyDescent="0.2">
      <c r="A330" s="43">
        <f t="shared" si="5"/>
        <v>320</v>
      </c>
      <c r="B330" s="43">
        <v>7358.06395082173</v>
      </c>
      <c r="C330" s="43">
        <f>($F$22+B330)*$F$23/Main!$K$3</f>
        <v>301.68562159543325</v>
      </c>
    </row>
    <row r="331" spans="1:3" x14ac:dyDescent="0.2">
      <c r="A331" s="43">
        <f t="shared" si="5"/>
        <v>321</v>
      </c>
      <c r="B331" s="43">
        <v>161.99769658324274</v>
      </c>
      <c r="C331" s="43">
        <f>($F$22+B331)*$F$23/Main!$K$3</f>
        <v>239.27881071823714</v>
      </c>
    </row>
    <row r="332" spans="1:3" x14ac:dyDescent="0.2">
      <c r="A332" s="43">
        <f t="shared" si="5"/>
        <v>322</v>
      </c>
      <c r="B332" s="43">
        <v>5222.0675679001088</v>
      </c>
      <c r="C332" s="43">
        <f>($F$22+B332)*$F$23/Main!$K$3</f>
        <v>283.1615116728974</v>
      </c>
    </row>
    <row r="333" spans="1:3" x14ac:dyDescent="0.2">
      <c r="A333" s="43">
        <f t="shared" si="5"/>
        <v>323</v>
      </c>
      <c r="B333" s="43">
        <v>10096.233752455855</v>
      </c>
      <c r="C333" s="43">
        <f>($F$22+B333)*$F$23/Main!$K$3</f>
        <v>325.43199064249171</v>
      </c>
    </row>
    <row r="334" spans="1:3" x14ac:dyDescent="0.2">
      <c r="A334" s="43">
        <f t="shared" si="5"/>
        <v>324</v>
      </c>
      <c r="B334" s="43">
        <v>1998.0529366435605</v>
      </c>
      <c r="C334" s="43">
        <f>($F$22+B334)*$F$23/Main!$K$3</f>
        <v>255.20172583301115</v>
      </c>
    </row>
    <row r="335" spans="1:3" x14ac:dyDescent="0.2">
      <c r="A335" s="43">
        <f t="shared" si="5"/>
        <v>325</v>
      </c>
      <c r="B335" s="43">
        <v>23.008146144461797</v>
      </c>
      <c r="C335" s="43">
        <f>($F$22+B335)*$F$23/Main!$K$3</f>
        <v>238.07344458044892</v>
      </c>
    </row>
    <row r="336" spans="1:3" x14ac:dyDescent="0.2">
      <c r="A336" s="43">
        <f t="shared" si="5"/>
        <v>326</v>
      </c>
      <c r="B336" s="43">
        <v>7679.7051944452887</v>
      </c>
      <c r="C336" s="43">
        <f>($F$22+B336)*$F$23/Main!$K$3</f>
        <v>304.47500728922103</v>
      </c>
    </row>
    <row r="337" spans="1:3" x14ac:dyDescent="0.2">
      <c r="A337" s="43">
        <f t="shared" si="5"/>
        <v>327</v>
      </c>
      <c r="B337" s="43">
        <v>5767.8076210304998</v>
      </c>
      <c r="C337" s="43">
        <f>($F$22+B337)*$F$23/Main!$K$3</f>
        <v>287.89436085473466</v>
      </c>
    </row>
    <row r="338" spans="1:3" x14ac:dyDescent="0.2">
      <c r="A338" s="43">
        <f t="shared" si="5"/>
        <v>328</v>
      </c>
      <c r="B338" s="43">
        <v>7665.0845421655986</v>
      </c>
      <c r="C338" s="43">
        <f>($F$22+B338)*$F$23/Main!$K$3</f>
        <v>304.34821186384784</v>
      </c>
    </row>
    <row r="339" spans="1:3" x14ac:dyDescent="0.2">
      <c r="A339" s="43">
        <f t="shared" si="5"/>
        <v>329</v>
      </c>
      <c r="B339" s="43">
        <v>13106.305050895962</v>
      </c>
      <c r="C339" s="43">
        <f>($F$22+B339)*$F$23/Main!$K$3</f>
        <v>351.53638485064465</v>
      </c>
    </row>
    <row r="340" spans="1:3" x14ac:dyDescent="0.2">
      <c r="A340" s="43">
        <f t="shared" ref="A340:A403" si="6">A339+1</f>
        <v>330</v>
      </c>
      <c r="B340" s="43">
        <v>-68.449983593128863</v>
      </c>
      <c r="C340" s="43">
        <f>($F$22+B340)*$F$23/Main!$K$3</f>
        <v>237.28028759661015</v>
      </c>
    </row>
    <row r="341" spans="1:3" x14ac:dyDescent="0.2">
      <c r="A341" s="43">
        <f t="shared" si="6"/>
        <v>331</v>
      </c>
      <c r="B341" s="43">
        <v>2233.7126575638417</v>
      </c>
      <c r="C341" s="43">
        <f>($F$22+B341)*$F$23/Main!$K$3</f>
        <v>257.24544960031005</v>
      </c>
    </row>
    <row r="342" spans="1:3" x14ac:dyDescent="0.2">
      <c r="A342" s="43">
        <f t="shared" si="6"/>
        <v>332</v>
      </c>
      <c r="B342" s="43">
        <v>18023.184162879894</v>
      </c>
      <c r="C342" s="43">
        <f>($F$22+B342)*$F$23/Main!$K$3</f>
        <v>394.17728531023732</v>
      </c>
    </row>
    <row r="343" spans="1:3" x14ac:dyDescent="0.2">
      <c r="A343" s="43">
        <f t="shared" si="6"/>
        <v>333</v>
      </c>
      <c r="B343" s="43">
        <v>5905.1169144693395</v>
      </c>
      <c r="C343" s="43">
        <f>($F$22+B343)*$F$23/Main!$K$3</f>
        <v>289.08515521439915</v>
      </c>
    </row>
    <row r="344" spans="1:3" x14ac:dyDescent="0.2">
      <c r="A344" s="43">
        <f t="shared" si="6"/>
        <v>334</v>
      </c>
      <c r="B344" s="43">
        <v>-74.9418303046955</v>
      </c>
      <c r="C344" s="43">
        <f>($F$22+B344)*$F$23/Main!$K$3</f>
        <v>237.22398802464139</v>
      </c>
    </row>
    <row r="345" spans="1:3" x14ac:dyDescent="0.2">
      <c r="A345" s="43">
        <f t="shared" si="6"/>
        <v>335</v>
      </c>
      <c r="B345" s="43">
        <v>5872.3614724571016</v>
      </c>
      <c r="C345" s="43">
        <f>($F$22+B345)*$F$23/Main!$K$3</f>
        <v>288.80108853093122</v>
      </c>
    </row>
    <row r="346" spans="1:3" x14ac:dyDescent="0.2">
      <c r="A346" s="43">
        <f t="shared" si="6"/>
        <v>336</v>
      </c>
      <c r="B346" s="43">
        <v>15197.119988289527</v>
      </c>
      <c r="C346" s="43">
        <f>($F$22+B346)*$F$23/Main!$K$3</f>
        <v>369.66866542828438</v>
      </c>
    </row>
    <row r="347" spans="1:3" x14ac:dyDescent="0.2">
      <c r="A347" s="43">
        <f t="shared" si="6"/>
        <v>337</v>
      </c>
      <c r="B347" s="43">
        <v>15362.182565175304</v>
      </c>
      <c r="C347" s="43">
        <f>($F$22+B347)*$F$23/Main!$K$3</f>
        <v>371.10014599762263</v>
      </c>
    </row>
    <row r="348" spans="1:3" x14ac:dyDescent="0.2">
      <c r="A348" s="43">
        <f t="shared" si="6"/>
        <v>338</v>
      </c>
      <c r="B348" s="43">
        <v>7600.5265817904565</v>
      </c>
      <c r="C348" s="43">
        <f>($F$22+B348)*$F$23/Main!$K$3</f>
        <v>303.7883425850768</v>
      </c>
    </row>
    <row r="349" spans="1:3" x14ac:dyDescent="0.2">
      <c r="A349" s="43">
        <f t="shared" si="6"/>
        <v>339</v>
      </c>
      <c r="B349" s="43">
        <v>39458.667506924023</v>
      </c>
      <c r="C349" s="43">
        <f>($F$22+B349)*$F$23/Main!$K$3</f>
        <v>580.07331625980385</v>
      </c>
    </row>
    <row r="350" spans="1:3" x14ac:dyDescent="0.2">
      <c r="A350" s="43">
        <f t="shared" si="6"/>
        <v>340</v>
      </c>
      <c r="B350" s="43">
        <v>-47.488606567866135</v>
      </c>
      <c r="C350" s="43">
        <f>($F$22+B350)*$F$23/Main!$K$3</f>
        <v>237.46207201125068</v>
      </c>
    </row>
    <row r="351" spans="1:3" x14ac:dyDescent="0.2">
      <c r="A351" s="43">
        <f t="shared" si="6"/>
        <v>341</v>
      </c>
      <c r="B351" s="43">
        <v>18665.864229186314</v>
      </c>
      <c r="C351" s="43">
        <f>($F$22+B351)*$F$23/Main!$K$3</f>
        <v>399.75083229209082</v>
      </c>
    </row>
    <row r="352" spans="1:3" x14ac:dyDescent="0.2">
      <c r="A352" s="43">
        <f t="shared" si="6"/>
        <v>342</v>
      </c>
      <c r="B352" s="43">
        <v>2574.2342272613291</v>
      </c>
      <c r="C352" s="43">
        <f>($F$22+B352)*$F$23/Main!$K$3</f>
        <v>260.19857210487294</v>
      </c>
    </row>
    <row r="353" spans="1:3" x14ac:dyDescent="0.2">
      <c r="A353" s="43">
        <f t="shared" si="6"/>
        <v>343</v>
      </c>
      <c r="B353" s="43">
        <v>6964.0567512360949</v>
      </c>
      <c r="C353" s="43">
        <f>($F$22+B353)*$F$23/Main!$K$3</f>
        <v>298.26865294616442</v>
      </c>
    </row>
    <row r="354" spans="1:3" x14ac:dyDescent="0.2">
      <c r="A354" s="43">
        <f t="shared" si="6"/>
        <v>344</v>
      </c>
      <c r="B354" s="43">
        <v>1302.3992833525476</v>
      </c>
      <c r="C354" s="43">
        <f>($F$22+B354)*$F$23/Main!$K$3</f>
        <v>249.16877332213173</v>
      </c>
    </row>
    <row r="355" spans="1:3" x14ac:dyDescent="0.2">
      <c r="A355" s="43">
        <f t="shared" si="6"/>
        <v>345</v>
      </c>
      <c r="B355" s="43">
        <v>30196.305317979532</v>
      </c>
      <c r="C355" s="43">
        <f>($F$22+B355)*$F$23/Main!$K$3</f>
        <v>499.74686219733775</v>
      </c>
    </row>
    <row r="356" spans="1:3" x14ac:dyDescent="0.2">
      <c r="A356" s="43">
        <f t="shared" si="6"/>
        <v>346</v>
      </c>
      <c r="B356" s="43">
        <v>1246.5474743707375</v>
      </c>
      <c r="C356" s="43">
        <f>($F$22+B356)*$F$23/Main!$K$3</f>
        <v>248.68440684228946</v>
      </c>
    </row>
    <row r="357" spans="1:3" x14ac:dyDescent="0.2">
      <c r="A357" s="43">
        <f t="shared" si="6"/>
        <v>347</v>
      </c>
      <c r="B357" s="43">
        <v>6343.8394367319816</v>
      </c>
      <c r="C357" s="43">
        <f>($F$22+B357)*$F$23/Main!$K$3</f>
        <v>292.88991082768786</v>
      </c>
    </row>
    <row r="358" spans="1:3" x14ac:dyDescent="0.2">
      <c r="A358" s="43">
        <f t="shared" si="6"/>
        <v>348</v>
      </c>
      <c r="B358" s="43">
        <v>13896.762459854843</v>
      </c>
      <c r="C358" s="43">
        <f>($F$22+B358)*$F$23/Main!$K$3</f>
        <v>358.39150878704811</v>
      </c>
    </row>
    <row r="359" spans="1:3" x14ac:dyDescent="0.2">
      <c r="A359" s="43">
        <f t="shared" si="6"/>
        <v>349</v>
      </c>
      <c r="B359" s="43">
        <v>1515.9330995873881</v>
      </c>
      <c r="C359" s="43">
        <f>($F$22+B359)*$F$23/Main!$K$3</f>
        <v>251.02061348241438</v>
      </c>
    </row>
    <row r="360" spans="1:3" x14ac:dyDescent="0.2">
      <c r="A360" s="43">
        <f t="shared" si="6"/>
        <v>350</v>
      </c>
      <c r="B360" s="43">
        <v>2396.3000387983275</v>
      </c>
      <c r="C360" s="43">
        <f>($F$22+B360)*$F$23/Main!$K$3</f>
        <v>258.65546440468222</v>
      </c>
    </row>
    <row r="361" spans="1:3" x14ac:dyDescent="0.2">
      <c r="A361" s="43">
        <f t="shared" si="6"/>
        <v>351</v>
      </c>
      <c r="B361" s="43">
        <v>1604.6596921753287</v>
      </c>
      <c r="C361" s="43">
        <f>($F$22+B361)*$F$23/Main!$K$3</f>
        <v>251.79008161789079</v>
      </c>
    </row>
    <row r="362" spans="1:3" x14ac:dyDescent="0.2">
      <c r="A362" s="43">
        <f t="shared" si="6"/>
        <v>352</v>
      </c>
      <c r="B362" s="43">
        <v>2300.7470027041854</v>
      </c>
      <c r="C362" s="43">
        <f>($F$22+B362)*$F$23/Main!$K$3</f>
        <v>257.82679495646016</v>
      </c>
    </row>
    <row r="363" spans="1:3" x14ac:dyDescent="0.2">
      <c r="A363" s="43">
        <f t="shared" si="6"/>
        <v>353</v>
      </c>
      <c r="B363" s="43">
        <v>2172.3520912090116</v>
      </c>
      <c r="C363" s="43">
        <f>($F$22+B363)*$F$23/Main!$K$3</f>
        <v>256.7133092441025</v>
      </c>
    </row>
    <row r="364" spans="1:3" x14ac:dyDescent="0.2">
      <c r="A364" s="43">
        <f t="shared" si="6"/>
        <v>354</v>
      </c>
      <c r="B364" s="43">
        <v>10196.265427052871</v>
      </c>
      <c r="C364" s="43">
        <f>($F$22+B364)*$F$23/Main!$K$3</f>
        <v>326.29950041487996</v>
      </c>
    </row>
    <row r="365" spans="1:3" x14ac:dyDescent="0.2">
      <c r="A365" s="43">
        <f t="shared" si="6"/>
        <v>355</v>
      </c>
      <c r="B365" s="43">
        <v>10176.926019218232</v>
      </c>
      <c r="C365" s="43">
        <f>($F$22+B365)*$F$23/Main!$K$3</f>
        <v>326.13178228603391</v>
      </c>
    </row>
    <row r="366" spans="1:3" x14ac:dyDescent="0.2">
      <c r="A366" s="43">
        <f t="shared" si="6"/>
        <v>356</v>
      </c>
      <c r="B366" s="43">
        <v>10227.62935779681</v>
      </c>
      <c r="C366" s="43">
        <f>($F$22+B366)*$F$23/Main!$K$3</f>
        <v>326.57149942449854</v>
      </c>
    </row>
    <row r="367" spans="1:3" x14ac:dyDescent="0.2">
      <c r="A367" s="43">
        <f t="shared" si="6"/>
        <v>357</v>
      </c>
      <c r="B367" s="43">
        <v>12.042671136778848</v>
      </c>
      <c r="C367" s="43">
        <f>($F$22+B367)*$F$23/Main!$K$3</f>
        <v>237.97834813458451</v>
      </c>
    </row>
    <row r="368" spans="1:3" x14ac:dyDescent="0.2">
      <c r="A368" s="43">
        <f t="shared" si="6"/>
        <v>358</v>
      </c>
      <c r="B368" s="43">
        <v>15056.863150582325</v>
      </c>
      <c r="C368" s="43">
        <f>($F$22+B368)*$F$23/Main!$K$3</f>
        <v>368.45230893075052</v>
      </c>
    </row>
    <row r="369" spans="1:3" x14ac:dyDescent="0.2">
      <c r="A369" s="43">
        <f t="shared" si="6"/>
        <v>359</v>
      </c>
      <c r="B369" s="43">
        <v>1728.5093300732835</v>
      </c>
      <c r="C369" s="43">
        <f>($F$22+B369)*$F$23/Main!$K$3</f>
        <v>252.86414912316906</v>
      </c>
    </row>
    <row r="370" spans="1:3" x14ac:dyDescent="0.2">
      <c r="A370" s="43">
        <f t="shared" si="6"/>
        <v>360</v>
      </c>
      <c r="B370" s="43">
        <v>315.72824349594055</v>
      </c>
      <c r="C370" s="43">
        <f>($F$22+B370)*$F$23/Main!$K$3</f>
        <v>240.61201594846662</v>
      </c>
    </row>
    <row r="371" spans="1:3" x14ac:dyDescent="0.2">
      <c r="A371" s="43">
        <f t="shared" si="6"/>
        <v>361</v>
      </c>
      <c r="B371" s="43">
        <v>36830.555971727525</v>
      </c>
      <c r="C371" s="43">
        <f>($F$22+B371)*$F$23/Main!$K$3</f>
        <v>557.281411106821</v>
      </c>
    </row>
    <row r="372" spans="1:3" x14ac:dyDescent="0.2">
      <c r="A372" s="43">
        <f t="shared" si="6"/>
        <v>362</v>
      </c>
      <c r="B372" s="43">
        <v>2010.5275796406595</v>
      </c>
      <c r="C372" s="43">
        <f>($F$22+B372)*$F$23/Main!$K$3</f>
        <v>255.30991031308346</v>
      </c>
    </row>
    <row r="373" spans="1:3" x14ac:dyDescent="0.2">
      <c r="A373" s="43">
        <f t="shared" si="6"/>
        <v>363</v>
      </c>
      <c r="B373" s="43">
        <v>13188.899914260377</v>
      </c>
      <c r="C373" s="43">
        <f>($F$22+B373)*$F$23/Main!$K$3</f>
        <v>352.25267647933487</v>
      </c>
    </row>
    <row r="374" spans="1:3" x14ac:dyDescent="0.2">
      <c r="A374" s="43">
        <f t="shared" si="6"/>
        <v>364</v>
      </c>
      <c r="B374" s="43">
        <v>-772.49191762328803</v>
      </c>
      <c r="C374" s="43">
        <f>($F$22+B374)*$F$23/Main!$K$3</f>
        <v>231.17458897262145</v>
      </c>
    </row>
    <row r="375" spans="1:3" x14ac:dyDescent="0.2">
      <c r="A375" s="43">
        <f t="shared" si="6"/>
        <v>365</v>
      </c>
      <c r="B375" s="43">
        <v>28603.0564036863</v>
      </c>
      <c r="C375" s="43">
        <f>($F$22+B375)*$F$23/Main!$K$3</f>
        <v>485.92964871406389</v>
      </c>
    </row>
    <row r="376" spans="1:3" x14ac:dyDescent="0.2">
      <c r="A376" s="43">
        <f t="shared" si="6"/>
        <v>366</v>
      </c>
      <c r="B376" s="43">
        <v>-561.9456142065593</v>
      </c>
      <c r="C376" s="43">
        <f>($F$22+B376)*$F$23/Main!$K$3</f>
        <v>233.00052037375065</v>
      </c>
    </row>
    <row r="377" spans="1:3" x14ac:dyDescent="0.2">
      <c r="A377" s="43">
        <f t="shared" si="6"/>
        <v>367</v>
      </c>
      <c r="B377" s="43">
        <v>-636.98559219103061</v>
      </c>
      <c r="C377" s="43">
        <f>($F$22+B377)*$F$23/Main!$K$3</f>
        <v>232.34974736126659</v>
      </c>
    </row>
    <row r="378" spans="1:3" x14ac:dyDescent="0.2">
      <c r="A378" s="43">
        <f t="shared" si="6"/>
        <v>368</v>
      </c>
      <c r="B378" s="43">
        <v>-189.78213975751981</v>
      </c>
      <c r="C378" s="43">
        <f>($F$22+B378)*$F$23/Main!$K$3</f>
        <v>236.2280525760371</v>
      </c>
    </row>
    <row r="379" spans="1:3" x14ac:dyDescent="0.2">
      <c r="A379" s="43">
        <f t="shared" si="6"/>
        <v>369</v>
      </c>
      <c r="B379" s="43">
        <v>13900.214576109394</v>
      </c>
      <c r="C379" s="43">
        <f>($F$22+B379)*$F$23/Main!$K$3</f>
        <v>358.42144675018136</v>
      </c>
    </row>
    <row r="380" spans="1:3" x14ac:dyDescent="0.2">
      <c r="A380" s="43">
        <f t="shared" si="6"/>
        <v>370</v>
      </c>
      <c r="B380" s="43">
        <v>5898.12945696314</v>
      </c>
      <c r="C380" s="43">
        <f>($F$22+B380)*$F$23/Main!$K$3</f>
        <v>289.02455753176321</v>
      </c>
    </row>
    <row r="381" spans="1:3" x14ac:dyDescent="0.2">
      <c r="A381" s="43">
        <f t="shared" si="6"/>
        <v>371</v>
      </c>
      <c r="B381" s="43">
        <v>51707.14112476154</v>
      </c>
      <c r="C381" s="43">
        <f>($F$22+B381)*$F$23/Main!$K$3</f>
        <v>686.2963761367871</v>
      </c>
    </row>
    <row r="382" spans="1:3" x14ac:dyDescent="0.2">
      <c r="A382" s="43">
        <f t="shared" si="6"/>
        <v>372</v>
      </c>
      <c r="B382" s="43">
        <v>14798.826801200466</v>
      </c>
      <c r="C382" s="43">
        <f>($F$22+B382)*$F$23/Main!$K$3</f>
        <v>366.21452719189693</v>
      </c>
    </row>
    <row r="383" spans="1:3" x14ac:dyDescent="0.2">
      <c r="A383" s="43">
        <f t="shared" si="6"/>
        <v>373</v>
      </c>
      <c r="B383" s="43">
        <v>12663.782128220591</v>
      </c>
      <c r="C383" s="43">
        <f>($F$22+B383)*$F$23/Main!$K$3</f>
        <v>347.69867083182777</v>
      </c>
    </row>
    <row r="384" spans="1:3" x14ac:dyDescent="0.2">
      <c r="A384" s="43">
        <f t="shared" si="6"/>
        <v>374</v>
      </c>
      <c r="B384" s="43">
        <v>-638.01786631530001</v>
      </c>
      <c r="C384" s="43">
        <f>($F$22+B384)*$F$23/Main!$K$3</f>
        <v>232.34079511794775</v>
      </c>
    </row>
    <row r="385" spans="1:3" x14ac:dyDescent="0.2">
      <c r="A385" s="43">
        <f t="shared" si="6"/>
        <v>375</v>
      </c>
      <c r="B385" s="43">
        <v>7573.1315253860075</v>
      </c>
      <c r="C385" s="43">
        <f>($F$22+B385)*$F$23/Main!$K$3</f>
        <v>303.55076304597856</v>
      </c>
    </row>
    <row r="386" spans="1:3" x14ac:dyDescent="0.2">
      <c r="A386" s="43">
        <f t="shared" si="6"/>
        <v>376</v>
      </c>
      <c r="B386" s="43">
        <v>5397.370052359438</v>
      </c>
      <c r="C386" s="43">
        <f>($F$22+B386)*$F$23/Main!$K$3</f>
        <v>284.68179631278832</v>
      </c>
    </row>
    <row r="387" spans="1:3" x14ac:dyDescent="0.2">
      <c r="A387" s="43">
        <f t="shared" si="6"/>
        <v>377</v>
      </c>
      <c r="B387" s="43">
        <v>43437.30275625897</v>
      </c>
      <c r="C387" s="43">
        <f>($F$22+B387)*$F$23/Main!$K$3</f>
        <v>614.57743681432873</v>
      </c>
    </row>
    <row r="388" spans="1:3" x14ac:dyDescent="0.2">
      <c r="A388" s="43">
        <f t="shared" si="6"/>
        <v>378</v>
      </c>
      <c r="B388" s="43">
        <v>415.8305210436427</v>
      </c>
      <c r="C388" s="43">
        <f>($F$22+B388)*$F$23/Main!$K$3</f>
        <v>241.48013801441016</v>
      </c>
    </row>
    <row r="389" spans="1:3" x14ac:dyDescent="0.2">
      <c r="A389" s="43">
        <f t="shared" si="6"/>
        <v>379</v>
      </c>
      <c r="B389" s="43">
        <v>9427.912379542282</v>
      </c>
      <c r="C389" s="43">
        <f>($F$22+B389)*$F$23/Main!$K$3</f>
        <v>319.63607325498299</v>
      </c>
    </row>
    <row r="390" spans="1:3" x14ac:dyDescent="0.2">
      <c r="A390" s="43">
        <f t="shared" si="6"/>
        <v>380</v>
      </c>
      <c r="B390" s="43">
        <v>4165.387771077947</v>
      </c>
      <c r="C390" s="43">
        <f>($F$22+B390)*$F$23/Main!$K$3</f>
        <v>273.99761380033493</v>
      </c>
    </row>
    <row r="391" spans="1:3" x14ac:dyDescent="0.2">
      <c r="A391" s="43">
        <f t="shared" si="6"/>
        <v>381</v>
      </c>
      <c r="B391" s="43">
        <v>14209.856438973839</v>
      </c>
      <c r="C391" s="43">
        <f>($F$22+B391)*$F$23/Main!$K$3</f>
        <v>361.10676960474268</v>
      </c>
    </row>
    <row r="392" spans="1:3" x14ac:dyDescent="0.2">
      <c r="A392" s="43">
        <f t="shared" si="6"/>
        <v>382</v>
      </c>
      <c r="B392" s="43">
        <v>19457.072719110092</v>
      </c>
      <c r="C392" s="43">
        <f>($F$22+B392)*$F$23/Main!$K$3</f>
        <v>406.61246986609478</v>
      </c>
    </row>
    <row r="393" spans="1:3" x14ac:dyDescent="0.2">
      <c r="A393" s="43">
        <f t="shared" si="6"/>
        <v>383</v>
      </c>
      <c r="B393" s="43">
        <v>19203.019599653726</v>
      </c>
      <c r="C393" s="43">
        <f>($F$22+B393)*$F$23/Main!$K$3</f>
        <v>404.40923209443912</v>
      </c>
    </row>
    <row r="394" spans="1:3" x14ac:dyDescent="0.2">
      <c r="A394" s="43">
        <f t="shared" si="6"/>
        <v>384</v>
      </c>
      <c r="B394" s="43">
        <v>-1088.92378956317</v>
      </c>
      <c r="C394" s="43">
        <f>($F$22+B394)*$F$23/Main!$K$3</f>
        <v>228.43038077747897</v>
      </c>
    </row>
    <row r="395" spans="1:3" x14ac:dyDescent="0.2">
      <c r="A395" s="43">
        <f t="shared" si="6"/>
        <v>385</v>
      </c>
      <c r="B395" s="43">
        <v>1074.2456404599943</v>
      </c>
      <c r="C395" s="43">
        <f>($F$22+B395)*$F$23/Main!$K$3</f>
        <v>247.19014489655927</v>
      </c>
    </row>
    <row r="396" spans="1:3" x14ac:dyDescent="0.2">
      <c r="A396" s="43">
        <f t="shared" si="6"/>
        <v>386</v>
      </c>
      <c r="B396" s="43">
        <v>2727.0167787973132</v>
      </c>
      <c r="C396" s="43">
        <f>($F$22+B396)*$F$23/Main!$K$3</f>
        <v>261.52355598664661</v>
      </c>
    </row>
    <row r="397" spans="1:3" x14ac:dyDescent="0.2">
      <c r="A397" s="43">
        <f t="shared" si="6"/>
        <v>387</v>
      </c>
      <c r="B397" s="43">
        <v>2357.7739260307358</v>
      </c>
      <c r="C397" s="43">
        <f>($F$22+B397)*$F$23/Main!$K$3</f>
        <v>258.32135244012039</v>
      </c>
    </row>
    <row r="398" spans="1:3" x14ac:dyDescent="0.2">
      <c r="A398" s="43">
        <f t="shared" si="6"/>
        <v>388</v>
      </c>
      <c r="B398" s="43">
        <v>-11714.296261157671</v>
      </c>
      <c r="C398" s="43">
        <f>($F$22+B398)*$F$23/Main!$K$3</f>
        <v>136.28342341115393</v>
      </c>
    </row>
    <row r="399" spans="1:3" x14ac:dyDescent="0.2">
      <c r="A399" s="43">
        <f t="shared" si="6"/>
        <v>389</v>
      </c>
      <c r="B399" s="43">
        <v>-59.332898374604902</v>
      </c>
      <c r="C399" s="43">
        <f>($F$22+B399)*$F$23/Main!$K$3</f>
        <v>237.35935415782316</v>
      </c>
    </row>
    <row r="400" spans="1:3" x14ac:dyDescent="0.2">
      <c r="A400" s="43">
        <f t="shared" si="6"/>
        <v>390</v>
      </c>
      <c r="B400" s="43">
        <v>8991.9832440435621</v>
      </c>
      <c r="C400" s="43">
        <f>($F$22+B400)*$F$23/Main!$K$3</f>
        <v>315.85554287160801</v>
      </c>
    </row>
    <row r="401" spans="1:3" x14ac:dyDescent="0.2">
      <c r="A401" s="43">
        <f t="shared" si="6"/>
        <v>391</v>
      </c>
      <c r="B401" s="43">
        <v>1914.3893137244922</v>
      </c>
      <c r="C401" s="43">
        <f>($F$22+B401)*$F$23/Main!$K$3</f>
        <v>254.47616554655102</v>
      </c>
    </row>
    <row r="402" spans="1:3" x14ac:dyDescent="0.2">
      <c r="A402" s="43">
        <f t="shared" si="6"/>
        <v>392</v>
      </c>
      <c r="B402" s="43">
        <v>2319.1543081664709</v>
      </c>
      <c r="C402" s="43">
        <f>($F$22+B402)*$F$23/Main!$K$3</f>
        <v>257.98642956655942</v>
      </c>
    </row>
    <row r="403" spans="1:3" x14ac:dyDescent="0.2">
      <c r="A403" s="43">
        <f t="shared" si="6"/>
        <v>393</v>
      </c>
      <c r="B403" s="43">
        <v>-4276.8229899606768</v>
      </c>
      <c r="C403" s="43">
        <f>($F$22+B403)*$F$23/Main!$K$3</f>
        <v>200.78380062299632</v>
      </c>
    </row>
    <row r="404" spans="1:3" x14ac:dyDescent="0.2">
      <c r="A404" s="43">
        <f t="shared" ref="A404:A467" si="7">A403+1</f>
        <v>394</v>
      </c>
      <c r="B404" s="43">
        <v>41285.700611070228</v>
      </c>
      <c r="C404" s="43">
        <f>($F$22+B404)*$F$23/Main!$K$3</f>
        <v>595.91798824704028</v>
      </c>
    </row>
    <row r="405" spans="1:3" x14ac:dyDescent="0.2">
      <c r="A405" s="43">
        <f t="shared" si="7"/>
        <v>395</v>
      </c>
      <c r="B405" s="43">
        <v>11680.800810564166</v>
      </c>
      <c r="C405" s="43">
        <f>($F$22+B405)*$F$23/Main!$K$3</f>
        <v>339.17391202340661</v>
      </c>
    </row>
    <row r="406" spans="1:3" x14ac:dyDescent="0.2">
      <c r="A406" s="43">
        <f t="shared" si="7"/>
        <v>396</v>
      </c>
      <c r="B406" s="43">
        <v>-10301.985510096245</v>
      </c>
      <c r="C406" s="43">
        <f>($F$22+B406)*$F$23/Main!$K$3</f>
        <v>148.53147767127251</v>
      </c>
    </row>
    <row r="407" spans="1:3" x14ac:dyDescent="0.2">
      <c r="A407" s="43">
        <f t="shared" si="7"/>
        <v>397</v>
      </c>
      <c r="B407" s="43">
        <v>-56.519442885994259</v>
      </c>
      <c r="C407" s="43">
        <f>($F$22+B407)*$F$23/Main!$K$3</f>
        <v>237.38375343075725</v>
      </c>
    </row>
    <row r="408" spans="1:3" x14ac:dyDescent="0.2">
      <c r="A408" s="43">
        <f t="shared" si="7"/>
        <v>398</v>
      </c>
      <c r="B408" s="43">
        <v>15647.448970556796</v>
      </c>
      <c r="C408" s="43">
        <f>($F$22+B408)*$F$23/Main!$K$3</f>
        <v>373.57407633418319</v>
      </c>
    </row>
    <row r="409" spans="1:3" x14ac:dyDescent="0.2">
      <c r="A409" s="43">
        <f t="shared" si="7"/>
        <v>399</v>
      </c>
      <c r="B409" s="43">
        <v>10030.363513259797</v>
      </c>
      <c r="C409" s="43">
        <f>($F$22+B409)*$F$23/Main!$K$3</f>
        <v>324.86074082144921</v>
      </c>
    </row>
    <row r="410" spans="1:3" x14ac:dyDescent="0.2">
      <c r="A410" s="43">
        <f t="shared" si="7"/>
        <v>400</v>
      </c>
      <c r="B410" s="43">
        <v>-1622.4830147030227</v>
      </c>
      <c r="C410" s="43">
        <f>($F$22+B410)*$F$23/Main!$K$3</f>
        <v>223.80316800890924</v>
      </c>
    </row>
    <row r="411" spans="1:3" x14ac:dyDescent="0.2">
      <c r="A411" s="43">
        <f t="shared" si="7"/>
        <v>401</v>
      </c>
      <c r="B411" s="43">
        <v>24872.285948705667</v>
      </c>
      <c r="C411" s="43">
        <f>($F$22+B411)*$F$23/Main!$K$3</f>
        <v>453.57509860509668</v>
      </c>
    </row>
    <row r="412" spans="1:3" x14ac:dyDescent="0.2">
      <c r="A412" s="43">
        <f t="shared" si="7"/>
        <v>402</v>
      </c>
      <c r="B412" s="43">
        <v>3770.0286297505681</v>
      </c>
      <c r="C412" s="43">
        <f>($F$22+B412)*$F$23/Main!$K$3</f>
        <v>270.56892063803173</v>
      </c>
    </row>
    <row r="413" spans="1:3" x14ac:dyDescent="0.2">
      <c r="A413" s="43">
        <f t="shared" si="7"/>
        <v>403</v>
      </c>
      <c r="B413" s="43">
        <v>-3350.325352902209</v>
      </c>
      <c r="C413" s="43">
        <f>($F$22+B413)*$F$23/Main!$K$3</f>
        <v>208.81871313926464</v>
      </c>
    </row>
    <row r="414" spans="1:3" x14ac:dyDescent="0.2">
      <c r="A414" s="43">
        <f t="shared" si="7"/>
        <v>404</v>
      </c>
      <c r="B414" s="43">
        <v>25116.657897485031</v>
      </c>
      <c r="C414" s="43">
        <f>($F$22+B414)*$F$23/Main!$K$3</f>
        <v>455.69437786856685</v>
      </c>
    </row>
    <row r="415" spans="1:3" x14ac:dyDescent="0.2">
      <c r="A415" s="43">
        <f t="shared" si="7"/>
        <v>405</v>
      </c>
      <c r="B415" s="43">
        <v>22672.641551151908</v>
      </c>
      <c r="C415" s="43">
        <f>($F$22+B415)*$F$23/Main!$K$3</f>
        <v>434.49901077247449</v>
      </c>
    </row>
    <row r="416" spans="1:3" x14ac:dyDescent="0.2">
      <c r="A416" s="43">
        <f t="shared" si="7"/>
        <v>406</v>
      </c>
      <c r="B416" s="43">
        <v>7445.0629934974195</v>
      </c>
      <c r="C416" s="43">
        <f>($F$22+B416)*$F$23/Main!$K$3</f>
        <v>302.44010781206049</v>
      </c>
    </row>
    <row r="417" spans="1:3" x14ac:dyDescent="0.2">
      <c r="A417" s="43">
        <f t="shared" si="7"/>
        <v>407</v>
      </c>
      <c r="B417" s="43">
        <v>21237.062916630068</v>
      </c>
      <c r="C417" s="43">
        <f>($F$22+B417)*$F$23/Main!$K$3</f>
        <v>422.04916926480638</v>
      </c>
    </row>
    <row r="418" spans="1:3" x14ac:dyDescent="0.2">
      <c r="A418" s="43">
        <f t="shared" si="7"/>
        <v>408</v>
      </c>
      <c r="B418" s="43">
        <v>6847.1694775861115</v>
      </c>
      <c r="C418" s="43">
        <f>($F$22+B418)*$F$23/Main!$K$3</f>
        <v>297.25496550598427</v>
      </c>
    </row>
    <row r="419" spans="1:3" x14ac:dyDescent="0.2">
      <c r="A419" s="43">
        <f t="shared" si="7"/>
        <v>409</v>
      </c>
      <c r="B419" s="43">
        <v>3080.1160067741012</v>
      </c>
      <c r="C419" s="43">
        <f>($F$22+B419)*$F$23/Main!$K$3</f>
        <v>264.58575635594588</v>
      </c>
    </row>
    <row r="420" spans="1:3" x14ac:dyDescent="0.2">
      <c r="A420" s="43">
        <f t="shared" si="7"/>
        <v>410</v>
      </c>
      <c r="B420" s="43">
        <v>634.00450879053778</v>
      </c>
      <c r="C420" s="43">
        <f>($F$22+B420)*$F$23/Main!$K$3</f>
        <v>243.37221936977912</v>
      </c>
    </row>
    <row r="421" spans="1:3" x14ac:dyDescent="0.2">
      <c r="A421" s="43">
        <f t="shared" si="7"/>
        <v>411</v>
      </c>
      <c r="B421" s="43">
        <v>11763.312537307889</v>
      </c>
      <c r="C421" s="43">
        <f>($F$22+B421)*$F$23/Main!$K$3</f>
        <v>339.88948266215857</v>
      </c>
    </row>
    <row r="422" spans="1:3" x14ac:dyDescent="0.2">
      <c r="A422" s="43">
        <f t="shared" si="7"/>
        <v>412</v>
      </c>
      <c r="B422" s="43">
        <v>18.623191560596347</v>
      </c>
      <c r="C422" s="43">
        <f>($F$22+B422)*$F$23/Main!$K$3</f>
        <v>238.0354167160919</v>
      </c>
    </row>
    <row r="423" spans="1:3" x14ac:dyDescent="0.2">
      <c r="A423" s="43">
        <f t="shared" si="7"/>
        <v>413</v>
      </c>
      <c r="B423" s="43">
        <v>11433.058063825058</v>
      </c>
      <c r="C423" s="43">
        <f>($F$22+B423)*$F$23/Main!$K$3</f>
        <v>337.02540001758149</v>
      </c>
    </row>
    <row r="424" spans="1:3" x14ac:dyDescent="0.2">
      <c r="A424" s="43">
        <f t="shared" si="7"/>
        <v>414</v>
      </c>
      <c r="B424" s="43">
        <v>3743.1516114625456</v>
      </c>
      <c r="C424" s="43">
        <f>($F$22+B424)*$F$23/Main!$K$3</f>
        <v>270.3358337072026</v>
      </c>
    </row>
    <row r="425" spans="1:3" x14ac:dyDescent="0.2">
      <c r="A425" s="43">
        <f t="shared" si="7"/>
        <v>415</v>
      </c>
      <c r="B425" s="43">
        <v>4830.8644777098552</v>
      </c>
      <c r="C425" s="43">
        <f>($F$22+B425)*$F$23/Main!$K$3</f>
        <v>279.76886124396367</v>
      </c>
    </row>
    <row r="426" spans="1:3" x14ac:dyDescent="0.2">
      <c r="A426" s="43">
        <f t="shared" si="7"/>
        <v>416</v>
      </c>
      <c r="B426" s="43">
        <v>28983.97369823456</v>
      </c>
      <c r="C426" s="43">
        <f>($F$22+B426)*$F$23/Main!$K$3</f>
        <v>489.23309711501838</v>
      </c>
    </row>
    <row r="427" spans="1:3" x14ac:dyDescent="0.2">
      <c r="A427" s="43">
        <f t="shared" si="7"/>
        <v>417</v>
      </c>
      <c r="B427" s="43">
        <v>9446.8906402050779</v>
      </c>
      <c r="C427" s="43">
        <f>($F$22+B427)*$F$23/Main!$K$3</f>
        <v>319.80065938886742</v>
      </c>
    </row>
    <row r="428" spans="1:3" x14ac:dyDescent="0.2">
      <c r="A428" s="43">
        <f t="shared" si="7"/>
        <v>418</v>
      </c>
      <c r="B428" s="43">
        <v>6088.9269613527631</v>
      </c>
      <c r="C428" s="43">
        <f>($F$22+B428)*$F$23/Main!$K$3</f>
        <v>290.67922042001425</v>
      </c>
    </row>
    <row r="429" spans="1:3" x14ac:dyDescent="0.2">
      <c r="A429" s="43">
        <f t="shared" si="7"/>
        <v>419</v>
      </c>
      <c r="B429" s="43">
        <v>5053.7074502417818</v>
      </c>
      <c r="C429" s="43">
        <f>($F$22+B429)*$F$23/Main!$K$3</f>
        <v>281.70143367322959</v>
      </c>
    </row>
    <row r="430" spans="1:3" x14ac:dyDescent="0.2">
      <c r="A430" s="43">
        <f t="shared" si="7"/>
        <v>420</v>
      </c>
      <c r="B430" s="43">
        <v>8449.5340083945139</v>
      </c>
      <c r="C430" s="43">
        <f>($F$22+B430)*$F$23/Main!$K$3</f>
        <v>311.15123281336042</v>
      </c>
    </row>
    <row r="431" spans="1:3" x14ac:dyDescent="0.2">
      <c r="A431" s="43">
        <f t="shared" si="7"/>
        <v>421</v>
      </c>
      <c r="B431" s="43">
        <v>2043.9311917152711</v>
      </c>
      <c r="C431" s="43">
        <f>($F$22+B431)*$F$23/Main!$K$3</f>
        <v>255.59959815470489</v>
      </c>
    </row>
    <row r="432" spans="1:3" x14ac:dyDescent="0.2">
      <c r="A432" s="43">
        <f t="shared" si="7"/>
        <v>422</v>
      </c>
      <c r="B432" s="43">
        <v>7395.8482460994037</v>
      </c>
      <c r="C432" s="43">
        <f>($F$22+B432)*$F$23/Main!$K$3</f>
        <v>302.0133002584991</v>
      </c>
    </row>
    <row r="433" spans="1:3" x14ac:dyDescent="0.2">
      <c r="A433" s="43">
        <f t="shared" si="7"/>
        <v>423</v>
      </c>
      <c r="B433" s="43">
        <v>6113.5201551362425</v>
      </c>
      <c r="C433" s="43">
        <f>($F$22+B433)*$F$23/Main!$K$3</f>
        <v>290.89250122359323</v>
      </c>
    </row>
    <row r="434" spans="1:3" x14ac:dyDescent="0.2">
      <c r="A434" s="43">
        <f t="shared" si="7"/>
        <v>424</v>
      </c>
      <c r="B434" s="43">
        <v>17984.803815273095</v>
      </c>
      <c r="C434" s="43">
        <f>($F$22+B434)*$F$23/Main!$K$3</f>
        <v>393.84443747228312</v>
      </c>
    </row>
    <row r="435" spans="1:3" x14ac:dyDescent="0.2">
      <c r="A435" s="43">
        <f t="shared" si="7"/>
        <v>425</v>
      </c>
      <c r="B435" s="43">
        <v>1511.5307967790793</v>
      </c>
      <c r="C435" s="43">
        <f>($F$22+B435)*$F$23/Main!$K$3</f>
        <v>250.98243516816936</v>
      </c>
    </row>
    <row r="436" spans="1:3" x14ac:dyDescent="0.2">
      <c r="A436" s="43">
        <f t="shared" si="7"/>
        <v>426</v>
      </c>
      <c r="B436" s="43">
        <v>-1551.1280820570234</v>
      </c>
      <c r="C436" s="43">
        <f>($F$22+B436)*$F$23/Main!$K$3</f>
        <v>224.42198301553469</v>
      </c>
    </row>
    <row r="437" spans="1:3" x14ac:dyDescent="0.2">
      <c r="A437" s="43">
        <f t="shared" si="7"/>
        <v>427</v>
      </c>
      <c r="B437" s="43">
        <v>7693.2108666195736</v>
      </c>
      <c r="C437" s="43">
        <f>($F$22+B437)*$F$23/Main!$K$3</f>
        <v>304.59213321599435</v>
      </c>
    </row>
    <row r="438" spans="1:3" x14ac:dyDescent="0.2">
      <c r="A438" s="43">
        <f t="shared" si="7"/>
        <v>428</v>
      </c>
      <c r="B438" s="43">
        <v>5806.3837794714655</v>
      </c>
      <c r="C438" s="43">
        <f>($F$22+B438)*$F$23/Main!$K$3</f>
        <v>288.22890683293156</v>
      </c>
    </row>
    <row r="439" spans="1:3" x14ac:dyDescent="0.2">
      <c r="A439" s="43">
        <f t="shared" si="7"/>
        <v>429</v>
      </c>
      <c r="B439" s="43">
        <v>33847.63600720519</v>
      </c>
      <c r="C439" s="43">
        <f>($F$22+B439)*$F$23/Main!$K$3</f>
        <v>531.41248279086597</v>
      </c>
    </row>
    <row r="440" spans="1:3" x14ac:dyDescent="0.2">
      <c r="A440" s="43">
        <f t="shared" si="7"/>
        <v>430</v>
      </c>
      <c r="B440" s="43">
        <v>7018.0472424494992</v>
      </c>
      <c r="C440" s="43">
        <f>($F$22+B440)*$F$23/Main!$K$3</f>
        <v>298.73687742538419</v>
      </c>
    </row>
    <row r="441" spans="1:3" x14ac:dyDescent="0.2">
      <c r="A441" s="43">
        <f t="shared" si="7"/>
        <v>431</v>
      </c>
      <c r="B441" s="43">
        <v>10206.684711818836</v>
      </c>
      <c r="C441" s="43">
        <f>($F$22+B441)*$F$23/Main!$K$3</f>
        <v>326.38986010736926</v>
      </c>
    </row>
    <row r="442" spans="1:3" x14ac:dyDescent="0.2">
      <c r="A442" s="43">
        <f t="shared" si="7"/>
        <v>432</v>
      </c>
      <c r="B442" s="43">
        <v>1998.0131646905527</v>
      </c>
      <c r="C442" s="43">
        <f>($F$22+B442)*$F$23/Main!$K$3</f>
        <v>255.20138091668301</v>
      </c>
    </row>
    <row r="443" spans="1:3" x14ac:dyDescent="0.2">
      <c r="A443" s="43">
        <f t="shared" si="7"/>
        <v>433</v>
      </c>
      <c r="B443" s="43">
        <v>13412.031440343353</v>
      </c>
      <c r="C443" s="43">
        <f>($F$22+B443)*$F$23/Main!$K$3</f>
        <v>354.18775134621762</v>
      </c>
    </row>
    <row r="444" spans="1:3" x14ac:dyDescent="0.2">
      <c r="A444" s="43">
        <f t="shared" si="7"/>
        <v>434</v>
      </c>
      <c r="B444" s="43">
        <v>10007.84162598408</v>
      </c>
      <c r="C444" s="43">
        <f>($F$22+B444)*$F$23/Main!$K$3</f>
        <v>324.66542311450269</v>
      </c>
    </row>
    <row r="445" spans="1:3" x14ac:dyDescent="0.2">
      <c r="A445" s="43">
        <f t="shared" si="7"/>
        <v>435</v>
      </c>
      <c r="B445" s="43">
        <v>10343.085535578173</v>
      </c>
      <c r="C445" s="43">
        <f>($F$22+B445)*$F$23/Main!$K$3</f>
        <v>327.57277589928941</v>
      </c>
    </row>
    <row r="446" spans="1:3" x14ac:dyDescent="0.2">
      <c r="A446" s="43">
        <f t="shared" si="7"/>
        <v>436</v>
      </c>
      <c r="B446" s="43">
        <v>17240.648202844612</v>
      </c>
      <c r="C446" s="43">
        <f>($F$22+B446)*$F$23/Main!$K$3</f>
        <v>387.39085895767795</v>
      </c>
    </row>
    <row r="447" spans="1:3" x14ac:dyDescent="0.2">
      <c r="A447" s="43">
        <f t="shared" si="7"/>
        <v>437</v>
      </c>
      <c r="B447" s="43">
        <v>-1093.311073131106</v>
      </c>
      <c r="C447" s="43">
        <f>($F$22+B447)*$F$23/Main!$K$3</f>
        <v>228.39233271535508</v>
      </c>
    </row>
    <row r="448" spans="1:3" x14ac:dyDescent="0.2">
      <c r="A448" s="43">
        <f t="shared" si="7"/>
        <v>438</v>
      </c>
      <c r="B448" s="43">
        <v>592.49335597852269</v>
      </c>
      <c r="C448" s="43">
        <f>($F$22+B448)*$F$23/Main!$K$3</f>
        <v>243.01222009082471</v>
      </c>
    </row>
    <row r="449" spans="1:3" x14ac:dyDescent="0.2">
      <c r="A449" s="43">
        <f t="shared" si="7"/>
        <v>439</v>
      </c>
      <c r="B449" s="43">
        <v>13932.351384741825</v>
      </c>
      <c r="C449" s="43">
        <f>($F$22+B449)*$F$23/Main!$K$3</f>
        <v>358.70014842796809</v>
      </c>
    </row>
    <row r="450" spans="1:3" x14ac:dyDescent="0.2">
      <c r="A450" s="43">
        <f t="shared" si="7"/>
        <v>440</v>
      </c>
      <c r="B450" s="43">
        <v>4023.7276257121293</v>
      </c>
      <c r="C450" s="43">
        <f>($F$22+B450)*$F$23/Main!$K$3</f>
        <v>272.76908732651691</v>
      </c>
    </row>
    <row r="451" spans="1:3" x14ac:dyDescent="0.2">
      <c r="A451" s="43">
        <f t="shared" si="7"/>
        <v>441</v>
      </c>
      <c r="B451" s="43">
        <v>8899.9857121986497</v>
      </c>
      <c r="C451" s="43">
        <f>($F$22+B451)*$F$23/Main!$K$3</f>
        <v>315.05770800347671</v>
      </c>
    </row>
    <row r="452" spans="1:3" x14ac:dyDescent="0.2">
      <c r="A452" s="43">
        <f t="shared" si="7"/>
        <v>442</v>
      </c>
      <c r="B452" s="43">
        <v>753.91561598745318</v>
      </c>
      <c r="C452" s="43">
        <f>($F$22+B452)*$F$23/Main!$K$3</f>
        <v>244.41213055521399</v>
      </c>
    </row>
    <row r="453" spans="1:3" x14ac:dyDescent="0.2">
      <c r="A453" s="43">
        <f t="shared" si="7"/>
        <v>443</v>
      </c>
      <c r="B453" s="43">
        <v>926.70021283348729</v>
      </c>
      <c r="C453" s="43">
        <f>($F$22+B453)*$F$23/Main!$K$3</f>
        <v>245.91057919046824</v>
      </c>
    </row>
    <row r="454" spans="1:3" x14ac:dyDescent="0.2">
      <c r="A454" s="43">
        <f t="shared" si="7"/>
        <v>444</v>
      </c>
      <c r="B454" s="43">
        <v>-18073.735791443858</v>
      </c>
      <c r="C454" s="43">
        <f>($F$22+B454)*$F$23/Main!$K$3</f>
        <v>81.132132965797481</v>
      </c>
    </row>
    <row r="455" spans="1:3" x14ac:dyDescent="0.2">
      <c r="A455" s="43">
        <f t="shared" si="7"/>
        <v>445</v>
      </c>
      <c r="B455" s="43">
        <v>12273.091322700326</v>
      </c>
      <c r="C455" s="43">
        <f>($F$22+B455)*$F$23/Main!$K$3</f>
        <v>344.31046311525745</v>
      </c>
    </row>
    <row r="456" spans="1:3" x14ac:dyDescent="0.2">
      <c r="A456" s="43">
        <f t="shared" si="7"/>
        <v>446</v>
      </c>
      <c r="B456" s="43">
        <v>59.41302352840345</v>
      </c>
      <c r="C456" s="43">
        <f>($F$22+B456)*$F$23/Main!$K$3</f>
        <v>238.38916044765193</v>
      </c>
    </row>
    <row r="457" spans="1:3" x14ac:dyDescent="0.2">
      <c r="A457" s="43">
        <f t="shared" si="7"/>
        <v>447</v>
      </c>
      <c r="B457" s="43">
        <v>11231.402196989251</v>
      </c>
      <c r="C457" s="43">
        <f>($F$22+B457)*$F$23/Main!$K$3</f>
        <v>335.27656960117355</v>
      </c>
    </row>
    <row r="458" spans="1:3" x14ac:dyDescent="0.2">
      <c r="A458" s="43">
        <f t="shared" si="7"/>
        <v>448</v>
      </c>
      <c r="B458" s="43">
        <v>12828.548936484025</v>
      </c>
      <c r="C458" s="43">
        <f>($F$22+B458)*$F$23/Main!$K$3</f>
        <v>349.12758639191992</v>
      </c>
    </row>
    <row r="459" spans="1:3" x14ac:dyDescent="0.2">
      <c r="A459" s="43">
        <f t="shared" si="7"/>
        <v>449</v>
      </c>
      <c r="B459" s="43">
        <v>6899.0823516614701</v>
      </c>
      <c r="C459" s="43">
        <f>($F$22+B459)*$F$23/Main!$K$3</f>
        <v>297.70517216057203</v>
      </c>
    </row>
    <row r="460" spans="1:3" x14ac:dyDescent="0.2">
      <c r="A460" s="43">
        <f t="shared" si="7"/>
        <v>450</v>
      </c>
      <c r="B460" s="43">
        <v>9564.7346120496968</v>
      </c>
      <c r="C460" s="43">
        <f>($F$22+B460)*$F$23/Main!$K$3</f>
        <v>320.82264365139326</v>
      </c>
    </row>
    <row r="461" spans="1:3" x14ac:dyDescent="0.2">
      <c r="A461" s="43">
        <f t="shared" si="7"/>
        <v>451</v>
      </c>
      <c r="B461" s="43">
        <v>330.57772777634597</v>
      </c>
      <c r="C461" s="43">
        <f>($F$22+B461)*$F$23/Main!$K$3</f>
        <v>240.74079588522241</v>
      </c>
    </row>
    <row r="462" spans="1:3" x14ac:dyDescent="0.2">
      <c r="A462" s="43">
        <f t="shared" si="7"/>
        <v>452</v>
      </c>
      <c r="B462" s="43">
        <v>-4554.328616800517</v>
      </c>
      <c r="C462" s="43">
        <f>($F$22+B462)*$F$23/Main!$K$3</f>
        <v>198.3771744803658</v>
      </c>
    </row>
    <row r="463" spans="1:3" x14ac:dyDescent="0.2">
      <c r="A463" s="43">
        <f t="shared" si="7"/>
        <v>453</v>
      </c>
      <c r="B463" s="43">
        <v>2.8853500680929303</v>
      </c>
      <c r="C463" s="43">
        <f>($F$22+B463)*$F$23/Main!$K$3</f>
        <v>237.89893263396448</v>
      </c>
    </row>
    <row r="464" spans="1:3" x14ac:dyDescent="0.2">
      <c r="A464" s="43">
        <f t="shared" si="7"/>
        <v>454</v>
      </c>
      <c r="B464" s="43">
        <v>1481.8069822534462</v>
      </c>
      <c r="C464" s="43">
        <f>($F$22+B464)*$F$23/Main!$K$3</f>
        <v>250.72465982173512</v>
      </c>
    </row>
    <row r="465" spans="1:3" x14ac:dyDescent="0.2">
      <c r="A465" s="43">
        <f t="shared" si="7"/>
        <v>455</v>
      </c>
      <c r="B465" s="43">
        <v>7263.8807192445956</v>
      </c>
      <c r="C465" s="43">
        <f>($F$22+B465)*$F$23/Main!$K$3</f>
        <v>300.86883157249883</v>
      </c>
    </row>
    <row r="466" spans="1:3" x14ac:dyDescent="0.2">
      <c r="A466" s="43">
        <f t="shared" si="7"/>
        <v>456</v>
      </c>
      <c r="B466" s="43">
        <v>5366.5440750762164</v>
      </c>
      <c r="C466" s="43">
        <f>($F$22+B466)*$F$23/Main!$K$3</f>
        <v>284.41446262429071</v>
      </c>
    </row>
    <row r="467" spans="1:3" x14ac:dyDescent="0.2">
      <c r="A467" s="43">
        <f t="shared" si="7"/>
        <v>457</v>
      </c>
      <c r="B467" s="43">
        <v>1685.8454933597404</v>
      </c>
      <c r="C467" s="43">
        <f>($F$22+B467)*$F$23/Main!$K$3</f>
        <v>252.49415336506863</v>
      </c>
    </row>
    <row r="468" spans="1:3" x14ac:dyDescent="0.2">
      <c r="A468" s="43">
        <f t="shared" ref="A468:A531" si="8">A467+1</f>
        <v>458</v>
      </c>
      <c r="B468" s="43">
        <v>445.59270270010973</v>
      </c>
      <c r="C468" s="43">
        <f>($F$22+B468)*$F$23/Main!$K$3</f>
        <v>241.73824609406185</v>
      </c>
    </row>
    <row r="469" spans="1:3" x14ac:dyDescent="0.2">
      <c r="A469" s="43">
        <f t="shared" si="8"/>
        <v>459</v>
      </c>
      <c r="B469" s="43">
        <v>4554.4701574521714</v>
      </c>
      <c r="C469" s="43">
        <f>($F$22+B469)*$F$23/Main!$K$3</f>
        <v>277.37187274185078</v>
      </c>
    </row>
    <row r="470" spans="1:3" x14ac:dyDescent="0.2">
      <c r="A470" s="43">
        <f t="shared" si="8"/>
        <v>460</v>
      </c>
      <c r="B470" s="43">
        <v>3918.3549290944757</v>
      </c>
      <c r="C470" s="43">
        <f>($F$22+B470)*$F$23/Main!$K$3</f>
        <v>271.85525833757936</v>
      </c>
    </row>
    <row r="471" spans="1:3" x14ac:dyDescent="0.2">
      <c r="A471" s="43">
        <f t="shared" si="8"/>
        <v>461</v>
      </c>
      <c r="B471" s="43">
        <v>5598.1294750863881</v>
      </c>
      <c r="C471" s="43">
        <f>($F$22+B471)*$F$23/Main!$K$3</f>
        <v>286.42285245141909</v>
      </c>
    </row>
    <row r="472" spans="1:3" x14ac:dyDescent="0.2">
      <c r="A472" s="43">
        <f t="shared" si="8"/>
        <v>462</v>
      </c>
      <c r="B472" s="43">
        <v>4908.2016555973969</v>
      </c>
      <c r="C472" s="43">
        <f>($F$22+B472)*$F$23/Main!$K$3</f>
        <v>280.4395563798459</v>
      </c>
    </row>
    <row r="473" spans="1:3" x14ac:dyDescent="0.2">
      <c r="A473" s="43">
        <f t="shared" si="8"/>
        <v>463</v>
      </c>
      <c r="B473" s="43">
        <v>26120.950274522882</v>
      </c>
      <c r="C473" s="43">
        <f>($F$22+B473)*$F$23/Main!$K$3</f>
        <v>464.40395365968686</v>
      </c>
    </row>
    <row r="474" spans="1:3" x14ac:dyDescent="0.2">
      <c r="A474" s="43">
        <f t="shared" si="8"/>
        <v>464</v>
      </c>
      <c r="B474" s="43">
        <v>36.313122835645075</v>
      </c>
      <c r="C474" s="43">
        <f>($F$22+B474)*$F$23/Main!$K$3</f>
        <v>238.18883000559049</v>
      </c>
    </row>
    <row r="475" spans="1:3" x14ac:dyDescent="0.2">
      <c r="A475" s="43">
        <f t="shared" si="8"/>
        <v>465</v>
      </c>
      <c r="B475" s="43">
        <v>5795.5505217627169</v>
      </c>
      <c r="C475" s="43">
        <f>($F$22+B475)*$F$23/Main!$K$3</f>
        <v>288.13495702186424</v>
      </c>
    </row>
    <row r="476" spans="1:3" x14ac:dyDescent="0.2">
      <c r="A476" s="43">
        <f t="shared" si="8"/>
        <v>466</v>
      </c>
      <c r="B476" s="43">
        <v>-214.43704310378669</v>
      </c>
      <c r="C476" s="43">
        <f>($F$22+B476)*$F$23/Main!$K$3</f>
        <v>236.01423660548241</v>
      </c>
    </row>
    <row r="477" spans="1:3" x14ac:dyDescent="0.2">
      <c r="A477" s="43">
        <f t="shared" si="8"/>
        <v>467</v>
      </c>
      <c r="B477" s="43">
        <v>13841.456315004532</v>
      </c>
      <c r="C477" s="43">
        <f>($F$22+B477)*$F$23/Main!$K$3</f>
        <v>357.9118744979686</v>
      </c>
    </row>
    <row r="478" spans="1:3" x14ac:dyDescent="0.2">
      <c r="A478" s="43">
        <f t="shared" si="8"/>
        <v>468</v>
      </c>
      <c r="B478" s="43">
        <v>15951.553780220978</v>
      </c>
      <c r="C478" s="43">
        <f>($F$22+B478)*$F$23/Main!$K$3</f>
        <v>376.21137992103945</v>
      </c>
    </row>
    <row r="479" spans="1:3" x14ac:dyDescent="0.2">
      <c r="A479" s="43">
        <f t="shared" si="8"/>
        <v>469</v>
      </c>
      <c r="B479" s="43">
        <v>-767.42109853876002</v>
      </c>
      <c r="C479" s="43">
        <f>($F$22+B479)*$F$23/Main!$K$3</f>
        <v>231.21856489452378</v>
      </c>
    </row>
    <row r="480" spans="1:3" x14ac:dyDescent="0.2">
      <c r="A480" s="43">
        <f t="shared" si="8"/>
        <v>470</v>
      </c>
      <c r="B480" s="43">
        <v>28238.941969033647</v>
      </c>
      <c r="C480" s="43">
        <f>($F$22+B480)*$F$23/Main!$K$3</f>
        <v>482.77192060842827</v>
      </c>
    </row>
    <row r="481" spans="1:3" x14ac:dyDescent="0.2">
      <c r="A481" s="43">
        <f t="shared" si="8"/>
        <v>471</v>
      </c>
      <c r="B481" s="43">
        <v>1095.0802919027853</v>
      </c>
      <c r="C481" s="43">
        <f>($F$22+B481)*$F$23/Main!$K$3</f>
        <v>247.37083030249431</v>
      </c>
    </row>
    <row r="482" spans="1:3" x14ac:dyDescent="0.2">
      <c r="A482" s="43">
        <f t="shared" si="8"/>
        <v>472</v>
      </c>
      <c r="B482" s="43">
        <v>16034.496124659987</v>
      </c>
      <c r="C482" s="43">
        <f>($F$22+B482)*$F$23/Main!$K$3</f>
        <v>376.93068502750197</v>
      </c>
    </row>
    <row r="483" spans="1:3" x14ac:dyDescent="0.2">
      <c r="A483" s="43">
        <f t="shared" si="8"/>
        <v>473</v>
      </c>
      <c r="B483" s="43">
        <v>-1697.9817018906047</v>
      </c>
      <c r="C483" s="43">
        <f>($F$22+B483)*$F$23/Main!$K$3</f>
        <v>223.14841690930442</v>
      </c>
    </row>
    <row r="484" spans="1:3" x14ac:dyDescent="0.2">
      <c r="A484" s="43">
        <f t="shared" si="8"/>
        <v>474</v>
      </c>
      <c r="B484" s="43">
        <v>2879.2832995644994</v>
      </c>
      <c r="C484" s="43">
        <f>($F$22+B484)*$F$23/Main!$K$3</f>
        <v>262.84406466857399</v>
      </c>
    </row>
    <row r="485" spans="1:3" x14ac:dyDescent="0.2">
      <c r="A485" s="43">
        <f t="shared" si="8"/>
        <v>475</v>
      </c>
      <c r="B485" s="43">
        <v>6032.0556862135136</v>
      </c>
      <c r="C485" s="43">
        <f>($F$22+B485)*$F$23/Main!$K$3</f>
        <v>290.18601277203436</v>
      </c>
    </row>
    <row r="486" spans="1:3" x14ac:dyDescent="0.2">
      <c r="A486" s="43">
        <f t="shared" si="8"/>
        <v>476</v>
      </c>
      <c r="B486" s="43">
        <v>5649.2346269876552</v>
      </c>
      <c r="C486" s="43">
        <f>($F$22+B486)*$F$23/Main!$K$3</f>
        <v>286.86605425597094</v>
      </c>
    </row>
    <row r="487" spans="1:3" x14ac:dyDescent="0.2">
      <c r="A487" s="43">
        <f t="shared" si="8"/>
        <v>477</v>
      </c>
      <c r="B487" s="43">
        <v>12324.079613590447</v>
      </c>
      <c r="C487" s="43">
        <f>($F$22+B487)*$F$23/Main!$K$3</f>
        <v>344.75265146012663</v>
      </c>
    </row>
    <row r="488" spans="1:3" x14ac:dyDescent="0.2">
      <c r="A488" s="43">
        <f t="shared" si="8"/>
        <v>478</v>
      </c>
      <c r="B488" s="43">
        <v>15983.514976629696</v>
      </c>
      <c r="C488" s="43">
        <f>($F$22+B488)*$F$23/Main!$K$3</f>
        <v>376.48855862801884</v>
      </c>
    </row>
    <row r="489" spans="1:3" x14ac:dyDescent="0.2">
      <c r="A489" s="43">
        <f t="shared" si="8"/>
        <v>479</v>
      </c>
      <c r="B489" s="43">
        <v>14222.563849581409</v>
      </c>
      <c r="C489" s="43">
        <f>($F$22+B489)*$F$23/Main!$K$3</f>
        <v>361.21697272718592</v>
      </c>
    </row>
    <row r="490" spans="1:3" x14ac:dyDescent="0.2">
      <c r="A490" s="43">
        <f t="shared" si="8"/>
        <v>480</v>
      </c>
      <c r="B490" s="43">
        <v>26506.415031259006</v>
      </c>
      <c r="C490" s="43">
        <f>($F$22+B490)*$F$23/Main!$K$3</f>
        <v>467.74683924794653</v>
      </c>
    </row>
    <row r="491" spans="1:3" x14ac:dyDescent="0.2">
      <c r="A491" s="43">
        <f t="shared" si="8"/>
        <v>481</v>
      </c>
      <c r="B491" s="43">
        <v>6135.335773062212</v>
      </c>
      <c r="C491" s="43">
        <f>($F$22+B491)*$F$23/Main!$K$3</f>
        <v>291.08169391498529</v>
      </c>
    </row>
    <row r="492" spans="1:3" x14ac:dyDescent="0.2">
      <c r="A492" s="43">
        <f t="shared" si="8"/>
        <v>482</v>
      </c>
      <c r="B492" s="43">
        <v>16846.320250928606</v>
      </c>
      <c r="C492" s="43">
        <f>($F$22+B492)*$F$23/Main!$K$3</f>
        <v>383.97110863168297</v>
      </c>
    </row>
    <row r="493" spans="1:3" x14ac:dyDescent="0.2">
      <c r="A493" s="43">
        <f t="shared" si="8"/>
        <v>483</v>
      </c>
      <c r="B493" s="43">
        <v>8335.4961449786115</v>
      </c>
      <c r="C493" s="43">
        <f>($F$22+B493)*$F$23/Main!$K$3</f>
        <v>310.16225645827984</v>
      </c>
    </row>
    <row r="494" spans="1:3" x14ac:dyDescent="0.2">
      <c r="A494" s="43">
        <f t="shared" si="8"/>
        <v>484</v>
      </c>
      <c r="B494" s="43">
        <v>7225.6363964361635</v>
      </c>
      <c r="C494" s="43">
        <f>($F$22+B494)*$F$23/Main!$K$3</f>
        <v>300.53716338931241</v>
      </c>
    </row>
    <row r="495" spans="1:3" x14ac:dyDescent="0.2">
      <c r="A495" s="43">
        <f t="shared" si="8"/>
        <v>485</v>
      </c>
      <c r="B495" s="43">
        <v>4609.5458186962524</v>
      </c>
      <c r="C495" s="43">
        <f>($F$22+B495)*$F$23/Main!$K$3</f>
        <v>277.84950819624521</v>
      </c>
    </row>
    <row r="496" spans="1:3" x14ac:dyDescent="0.2">
      <c r="A496" s="43">
        <f t="shared" si="8"/>
        <v>486</v>
      </c>
      <c r="B496" s="43">
        <v>5835.227191670574</v>
      </c>
      <c r="C496" s="43">
        <f>($F$22+B496)*$F$23/Main!$K$3</f>
        <v>288.47904702155233</v>
      </c>
    </row>
    <row r="497" spans="1:3" x14ac:dyDescent="0.2">
      <c r="A497" s="43">
        <f t="shared" si="8"/>
        <v>487</v>
      </c>
      <c r="B497" s="43">
        <v>1795.7377590153028</v>
      </c>
      <c r="C497" s="43">
        <f>($F$22+B497)*$F$23/Main!$K$3</f>
        <v>253.4471776421303</v>
      </c>
    </row>
    <row r="498" spans="1:3" x14ac:dyDescent="0.2">
      <c r="A498" s="43">
        <f t="shared" si="8"/>
        <v>488</v>
      </c>
      <c r="B498" s="43">
        <v>11051.954180286082</v>
      </c>
      <c r="C498" s="43">
        <f>($F$22+B498)*$F$23/Main!$K$3</f>
        <v>333.7203334514457</v>
      </c>
    </row>
    <row r="499" spans="1:3" x14ac:dyDescent="0.2">
      <c r="A499" s="43">
        <f t="shared" si="8"/>
        <v>489</v>
      </c>
      <c r="B499" s="43">
        <v>456.56004590983309</v>
      </c>
      <c r="C499" s="43">
        <f>($F$22+B499)*$F$23/Main!$K$3</f>
        <v>241.83335874162972</v>
      </c>
    </row>
    <row r="500" spans="1:3" x14ac:dyDescent="0.2">
      <c r="A500" s="43">
        <f t="shared" si="8"/>
        <v>490</v>
      </c>
      <c r="B500" s="43">
        <v>13708.751072756086</v>
      </c>
      <c r="C500" s="43">
        <f>($F$22+B500)*$F$23/Main!$K$3</f>
        <v>356.76100808529026</v>
      </c>
    </row>
    <row r="501" spans="1:3" x14ac:dyDescent="0.2">
      <c r="A501" s="43">
        <f t="shared" si="8"/>
        <v>491</v>
      </c>
      <c r="B501" s="43">
        <v>1424.5298202751633</v>
      </c>
      <c r="C501" s="43">
        <f>($F$22+B501)*$F$23/Main!$K$3</f>
        <v>250.22793218070541</v>
      </c>
    </row>
    <row r="502" spans="1:3" x14ac:dyDescent="0.2">
      <c r="A502" s="43">
        <f t="shared" si="8"/>
        <v>492</v>
      </c>
      <c r="B502" s="43">
        <v>145.09924550776816</v>
      </c>
      <c r="C502" s="43">
        <f>($F$22+B502)*$F$23/Main!$K$3</f>
        <v>239.13226142267396</v>
      </c>
    </row>
    <row r="503" spans="1:3" x14ac:dyDescent="0.2">
      <c r="A503" s="43">
        <f t="shared" si="8"/>
        <v>493</v>
      </c>
      <c r="B503" s="43">
        <v>4083.045411726026</v>
      </c>
      <c r="C503" s="43">
        <f>($F$22+B503)*$F$23/Main!$K$3</f>
        <v>273.28351197501746</v>
      </c>
    </row>
    <row r="504" spans="1:3" x14ac:dyDescent="0.2">
      <c r="A504" s="43">
        <f t="shared" si="8"/>
        <v>494</v>
      </c>
      <c r="B504" s="43">
        <v>2932.4223268927703</v>
      </c>
      <c r="C504" s="43">
        <f>($F$22+B504)*$F$23/Main!$K$3</f>
        <v>263.30490495429541</v>
      </c>
    </row>
    <row r="505" spans="1:3" x14ac:dyDescent="0.2">
      <c r="A505" s="43">
        <f t="shared" si="8"/>
        <v>495</v>
      </c>
      <c r="B505" s="43">
        <v>42018.058985037911</v>
      </c>
      <c r="C505" s="43">
        <f>($F$22+B505)*$F$23/Main!$K$3</f>
        <v>602.2692569713397</v>
      </c>
    </row>
    <row r="506" spans="1:3" x14ac:dyDescent="0.2">
      <c r="A506" s="43">
        <f t="shared" si="8"/>
        <v>496</v>
      </c>
      <c r="B506" s="43">
        <v>22011.538004981841</v>
      </c>
      <c r="C506" s="43">
        <f>($F$22+B506)*$F$23/Main!$K$3</f>
        <v>428.76568891043939</v>
      </c>
    </row>
    <row r="507" spans="1:3" x14ac:dyDescent="0.2">
      <c r="A507" s="43">
        <f t="shared" si="8"/>
        <v>497</v>
      </c>
      <c r="B507" s="43">
        <v>3502.5049442411519</v>
      </c>
      <c r="C507" s="43">
        <f>($F$22+B507)*$F$23/Main!$K$3</f>
        <v>268.24886139220098</v>
      </c>
    </row>
    <row r="508" spans="1:3" x14ac:dyDescent="0.2">
      <c r="A508" s="43">
        <f t="shared" si="8"/>
        <v>498</v>
      </c>
      <c r="B508" s="43">
        <v>22008.885036692162</v>
      </c>
      <c r="C508" s="43">
        <f>($F$22+B508)*$F$23/Main!$K$3</f>
        <v>428.74268143879198</v>
      </c>
    </row>
    <row r="509" spans="1:3" x14ac:dyDescent="0.2">
      <c r="A509" s="43">
        <f t="shared" si="8"/>
        <v>499</v>
      </c>
      <c r="B509" s="43">
        <v>322.61792073874363</v>
      </c>
      <c r="C509" s="43">
        <f>($F$22+B509)*$F$23/Main!$K$3</f>
        <v>240.67176564635793</v>
      </c>
    </row>
    <row r="510" spans="1:3" x14ac:dyDescent="0.2">
      <c r="A510" s="43">
        <f t="shared" si="8"/>
        <v>500</v>
      </c>
      <c r="B510" s="43">
        <v>8892.9326832595907</v>
      </c>
      <c r="C510" s="43">
        <f>($F$22+B510)*$F$23/Main!$K$3</f>
        <v>314.99654166237303</v>
      </c>
    </row>
    <row r="511" spans="1:3" x14ac:dyDescent="0.2">
      <c r="A511" s="43">
        <f t="shared" si="8"/>
        <v>501</v>
      </c>
      <c r="B511" s="43">
        <v>1405.6540334546301</v>
      </c>
      <c r="C511" s="43">
        <f>($F$22+B511)*$F$23/Main!$K$3</f>
        <v>250.0642347359281</v>
      </c>
    </row>
    <row r="512" spans="1:3" x14ac:dyDescent="0.2">
      <c r="A512" s="43">
        <f t="shared" si="8"/>
        <v>502</v>
      </c>
      <c r="B512" s="43">
        <v>7766.9758129211068</v>
      </c>
      <c r="C512" s="43">
        <f>($F$22+B512)*$F$23/Main!$K$3</f>
        <v>305.23184870645343</v>
      </c>
    </row>
    <row r="513" spans="1:3" x14ac:dyDescent="0.2">
      <c r="A513" s="43">
        <f t="shared" si="8"/>
        <v>503</v>
      </c>
      <c r="B513" s="43">
        <v>3252.7468140640071</v>
      </c>
      <c r="C513" s="43">
        <f>($F$22+B513)*$F$23/Main!$K$3</f>
        <v>266.08287127422136</v>
      </c>
    </row>
    <row r="514" spans="1:3" x14ac:dyDescent="0.2">
      <c r="A514" s="43">
        <f t="shared" si="8"/>
        <v>504</v>
      </c>
      <c r="B514" s="43">
        <v>2914.3115023334854</v>
      </c>
      <c r="C514" s="43">
        <f>($F$22+B514)*$F$23/Main!$K$3</f>
        <v>263.14784153059003</v>
      </c>
    </row>
    <row r="515" spans="1:3" x14ac:dyDescent="0.2">
      <c r="A515" s="43">
        <f t="shared" si="8"/>
        <v>505</v>
      </c>
      <c r="B515" s="43">
        <v>6924.1457338745622</v>
      </c>
      <c r="C515" s="43">
        <f>($F$22+B515)*$F$23/Main!$K$3</f>
        <v>297.9225306031509</v>
      </c>
    </row>
    <row r="516" spans="1:3" x14ac:dyDescent="0.2">
      <c r="A516" s="43">
        <f t="shared" si="8"/>
        <v>506</v>
      </c>
      <c r="B516" s="43">
        <v>-4525.3010711099878</v>
      </c>
      <c r="C516" s="43">
        <f>($F$22+B516)*$F$23/Main!$K$3</f>
        <v>198.62891153921669</v>
      </c>
    </row>
    <row r="517" spans="1:3" x14ac:dyDescent="0.2">
      <c r="A517" s="43">
        <f t="shared" si="8"/>
        <v>507</v>
      </c>
      <c r="B517" s="43">
        <v>3594.4093554590809</v>
      </c>
      <c r="C517" s="43">
        <f>($F$22+B517)*$F$23/Main!$K$3</f>
        <v>269.04588868558909</v>
      </c>
    </row>
    <row r="518" spans="1:3" x14ac:dyDescent="0.2">
      <c r="A518" s="43">
        <f t="shared" si="8"/>
        <v>508</v>
      </c>
      <c r="B518" s="43">
        <v>2516.0692353429167</v>
      </c>
      <c r="C518" s="43">
        <f>($F$22+B518)*$F$23/Main!$K$3</f>
        <v>259.69414489115906</v>
      </c>
    </row>
    <row r="519" spans="1:3" x14ac:dyDescent="0.2">
      <c r="A519" s="43">
        <f t="shared" si="8"/>
        <v>509</v>
      </c>
      <c r="B519" s="43">
        <v>4118.6835122943558</v>
      </c>
      <c r="C519" s="43">
        <f>($F$22+B519)*$F$23/Main!$K$3</f>
        <v>273.59257808469647</v>
      </c>
    </row>
    <row r="520" spans="1:3" x14ac:dyDescent="0.2">
      <c r="A520" s="43">
        <f t="shared" si="8"/>
        <v>510</v>
      </c>
      <c r="B520" s="43">
        <v>2594.5599042966205</v>
      </c>
      <c r="C520" s="43">
        <f>($F$22+B520)*$F$23/Main!$K$3</f>
        <v>260.37484350620213</v>
      </c>
    </row>
    <row r="521" spans="1:3" x14ac:dyDescent="0.2">
      <c r="A521" s="43">
        <f t="shared" si="8"/>
        <v>511</v>
      </c>
      <c r="B521" s="43">
        <v>4200.5099723569992</v>
      </c>
      <c r="C521" s="43">
        <f>($F$22+B521)*$F$23/Main!$K$3</f>
        <v>274.30220585040416</v>
      </c>
    </row>
    <row r="522" spans="1:3" x14ac:dyDescent="0.2">
      <c r="A522" s="43">
        <f t="shared" si="8"/>
        <v>512</v>
      </c>
      <c r="B522" s="43">
        <v>11368.205379342247</v>
      </c>
      <c r="C522" s="43">
        <f>($F$22+B522)*$F$23/Main!$K$3</f>
        <v>336.46297478796197</v>
      </c>
    </row>
    <row r="523" spans="1:3" x14ac:dyDescent="0.2">
      <c r="A523" s="43">
        <f t="shared" si="8"/>
        <v>513</v>
      </c>
      <c r="B523" s="43">
        <v>4889.7422369965061</v>
      </c>
      <c r="C523" s="43">
        <f>($F$22+B523)*$F$23/Main!$K$3</f>
        <v>280.27946982632778</v>
      </c>
    </row>
    <row r="524" spans="1:3" x14ac:dyDescent="0.2">
      <c r="A524" s="43">
        <f t="shared" si="8"/>
        <v>514</v>
      </c>
      <c r="B524" s="43">
        <v>13126.039995116835</v>
      </c>
      <c r="C524" s="43">
        <f>($F$22+B524)*$F$23/Main!$K$3</f>
        <v>351.70753320978304</v>
      </c>
    </row>
    <row r="525" spans="1:3" x14ac:dyDescent="0.2">
      <c r="A525" s="43">
        <f t="shared" si="8"/>
        <v>515</v>
      </c>
      <c r="B525" s="43">
        <v>19423.370719167018</v>
      </c>
      <c r="C525" s="43">
        <f>($F$22+B525)*$F$23/Main!$K$3</f>
        <v>406.32019430020603</v>
      </c>
    </row>
    <row r="526" spans="1:3" x14ac:dyDescent="0.2">
      <c r="A526" s="43">
        <f t="shared" si="8"/>
        <v>516</v>
      </c>
      <c r="B526" s="43">
        <v>9718.0715004175781</v>
      </c>
      <c r="C526" s="43">
        <f>($F$22+B526)*$F$23/Main!$K$3</f>
        <v>322.15243493662996</v>
      </c>
    </row>
    <row r="527" spans="1:3" x14ac:dyDescent="0.2">
      <c r="A527" s="43">
        <f t="shared" si="8"/>
        <v>517</v>
      </c>
      <c r="B527" s="43">
        <v>7868.9848489739861</v>
      </c>
      <c r="C527" s="43">
        <f>($F$22+B527)*$F$23/Main!$K$3</f>
        <v>306.11650685102899</v>
      </c>
    </row>
    <row r="528" spans="1:3" x14ac:dyDescent="0.2">
      <c r="A528" s="43">
        <f t="shared" si="8"/>
        <v>518</v>
      </c>
      <c r="B528" s="43">
        <v>2291.9450341449196</v>
      </c>
      <c r="C528" s="43">
        <f>($F$22+B528)*$F$23/Main!$K$3</f>
        <v>257.75046119745656</v>
      </c>
    </row>
    <row r="529" spans="1:3" x14ac:dyDescent="0.2">
      <c r="A529" s="43">
        <f t="shared" si="8"/>
        <v>519</v>
      </c>
      <c r="B529" s="43">
        <v>1798.5070057874291</v>
      </c>
      <c r="C529" s="43">
        <f>($F$22+B529)*$F$23/Main!$K$3</f>
        <v>253.47119352156699</v>
      </c>
    </row>
    <row r="530" spans="1:3" x14ac:dyDescent="0.2">
      <c r="A530" s="43">
        <f t="shared" si="8"/>
        <v>520</v>
      </c>
      <c r="B530" s="43">
        <v>1862.4124577156456</v>
      </c>
      <c r="C530" s="43">
        <f>($F$22+B530)*$F$23/Main!$K$3</f>
        <v>254.02540401819172</v>
      </c>
    </row>
    <row r="531" spans="1:3" x14ac:dyDescent="0.2">
      <c r="A531" s="43">
        <f t="shared" si="8"/>
        <v>521</v>
      </c>
      <c r="B531" s="43">
        <v>768.36903742632103</v>
      </c>
      <c r="C531" s="43">
        <f>($F$22+B531)*$F$23/Main!$K$3</f>
        <v>244.53747569607236</v>
      </c>
    </row>
    <row r="532" spans="1:3" x14ac:dyDescent="0.2">
      <c r="A532" s="43">
        <f t="shared" ref="A532:A595" si="9">A531+1</f>
        <v>522</v>
      </c>
      <c r="B532" s="43">
        <v>11753.034513747843</v>
      </c>
      <c r="C532" s="43">
        <f>($F$22+B532)*$F$23/Main!$K$3</f>
        <v>339.80034803640029</v>
      </c>
    </row>
    <row r="533" spans="1:3" x14ac:dyDescent="0.2">
      <c r="A533" s="43">
        <f t="shared" si="9"/>
        <v>523</v>
      </c>
      <c r="B533" s="43">
        <v>5522.6328326908624</v>
      </c>
      <c r="C533" s="43">
        <f>($F$22+B533)*$F$23/Main!$K$3</f>
        <v>285.76811908496825</v>
      </c>
    </row>
    <row r="534" spans="1:3" x14ac:dyDescent="0.2">
      <c r="A534" s="43">
        <f t="shared" si="9"/>
        <v>524</v>
      </c>
      <c r="B534" s="43">
        <v>-1470.2313853136457</v>
      </c>
      <c r="C534" s="43">
        <f>($F$22+B534)*$F$23/Main!$K$3</f>
        <v>225.12354754758448</v>
      </c>
    </row>
    <row r="535" spans="1:3" x14ac:dyDescent="0.2">
      <c r="A535" s="43">
        <f t="shared" si="9"/>
        <v>525</v>
      </c>
      <c r="B535" s="43">
        <v>11035.086121534177</v>
      </c>
      <c r="C535" s="43">
        <f>($F$22+B535)*$F$23/Main!$K$3</f>
        <v>333.57404772877391</v>
      </c>
    </row>
    <row r="536" spans="1:3" x14ac:dyDescent="0.2">
      <c r="A536" s="43">
        <f t="shared" si="9"/>
        <v>526</v>
      </c>
      <c r="B536" s="43">
        <v>9760.1659993321828</v>
      </c>
      <c r="C536" s="43">
        <f>($F$22+B536)*$F$23/Main!$K$3</f>
        <v>322.51749319761893</v>
      </c>
    </row>
    <row r="537" spans="1:3" x14ac:dyDescent="0.2">
      <c r="A537" s="43">
        <f t="shared" si="9"/>
        <v>527</v>
      </c>
      <c r="B537" s="43">
        <v>4914.7694639700758</v>
      </c>
      <c r="C537" s="43">
        <f>($F$22+B537)*$F$23/Main!$K$3</f>
        <v>280.49651471798654</v>
      </c>
    </row>
    <row r="538" spans="1:3" x14ac:dyDescent="0.2">
      <c r="A538" s="43">
        <f t="shared" si="9"/>
        <v>528</v>
      </c>
      <c r="B538" s="43">
        <v>1169.8427102495245</v>
      </c>
      <c r="C538" s="43">
        <f>($F$22+B538)*$F$23/Main!$K$3</f>
        <v>248.01919622043437</v>
      </c>
    </row>
    <row r="539" spans="1:3" x14ac:dyDescent="0.2">
      <c r="A539" s="43">
        <f t="shared" si="9"/>
        <v>529</v>
      </c>
      <c r="B539" s="43">
        <v>-136.3007885496591</v>
      </c>
      <c r="C539" s="43">
        <f>($F$22+B539)*$F$23/Main!$K$3</f>
        <v>236.69186161452672</v>
      </c>
    </row>
    <row r="540" spans="1:3" x14ac:dyDescent="0.2">
      <c r="A540" s="43">
        <f t="shared" si="9"/>
        <v>530</v>
      </c>
      <c r="B540" s="43">
        <v>17261.227885834767</v>
      </c>
      <c r="C540" s="43">
        <f>($F$22+B540)*$F$23/Main!$K$3</f>
        <v>387.569333187751</v>
      </c>
    </row>
    <row r="541" spans="1:3" x14ac:dyDescent="0.2">
      <c r="A541" s="43">
        <f t="shared" si="9"/>
        <v>531</v>
      </c>
      <c r="B541" s="43">
        <v>17096.767905875367</v>
      </c>
      <c r="C541" s="43">
        <f>($F$22+B541)*$F$23/Main!$K$3</f>
        <v>386.14307855034428</v>
      </c>
    </row>
    <row r="542" spans="1:3" x14ac:dyDescent="0.2">
      <c r="A542" s="43">
        <f t="shared" si="9"/>
        <v>532</v>
      </c>
      <c r="B542" s="43">
        <v>-16365.534039525963</v>
      </c>
      <c r="C542" s="43">
        <f>($F$22+B542)*$F$23/Main!$K$3</f>
        <v>95.946257781455714</v>
      </c>
    </row>
    <row r="543" spans="1:3" x14ac:dyDescent="0.2">
      <c r="A543" s="43">
        <f t="shared" si="9"/>
        <v>533</v>
      </c>
      <c r="B543" s="43">
        <v>5934.3682428547581</v>
      </c>
      <c r="C543" s="43">
        <f>($F$22+B543)*$F$23/Main!$K$3</f>
        <v>289.33883299528122</v>
      </c>
    </row>
    <row r="544" spans="1:3" x14ac:dyDescent="0.2">
      <c r="A544" s="43">
        <f t="shared" si="9"/>
        <v>534</v>
      </c>
      <c r="B544" s="43">
        <v>2682.5792576812119</v>
      </c>
      <c r="C544" s="43">
        <f>($F$22+B544)*$F$23/Main!$K$3</f>
        <v>261.13817821521343</v>
      </c>
    </row>
    <row r="545" spans="1:3" x14ac:dyDescent="0.2">
      <c r="A545" s="43">
        <f t="shared" si="9"/>
        <v>535</v>
      </c>
      <c r="B545" s="43">
        <v>5346.2290939295481</v>
      </c>
      <c r="C545" s="43">
        <f>($F$22+B545)*$F$23/Main!$K$3</f>
        <v>284.23828398145969</v>
      </c>
    </row>
    <row r="546" spans="1:3" x14ac:dyDescent="0.2">
      <c r="A546" s="43">
        <f t="shared" si="9"/>
        <v>536</v>
      </c>
      <c r="B546" s="43">
        <v>-2542.5589860396994</v>
      </c>
      <c r="C546" s="43">
        <f>($F$22+B546)*$F$23/Main!$K$3</f>
        <v>215.82394643044739</v>
      </c>
    </row>
    <row r="547" spans="1:3" x14ac:dyDescent="0.2">
      <c r="A547" s="43">
        <f t="shared" si="9"/>
        <v>537</v>
      </c>
      <c r="B547" s="43">
        <v>5890.5415826885155</v>
      </c>
      <c r="C547" s="43">
        <f>($F$22+B547)*$F$23/Main!$K$3</f>
        <v>288.95875282429017</v>
      </c>
    </row>
    <row r="548" spans="1:3" x14ac:dyDescent="0.2">
      <c r="A548" s="43">
        <f t="shared" si="9"/>
        <v>538</v>
      </c>
      <c r="B548" s="43">
        <v>14503.438773838778</v>
      </c>
      <c r="C548" s="43">
        <f>($F$22+B548)*$F$23/Main!$K$3</f>
        <v>363.65281859894282</v>
      </c>
    </row>
    <row r="549" spans="1:3" x14ac:dyDescent="0.2">
      <c r="A549" s="43">
        <f t="shared" si="9"/>
        <v>539</v>
      </c>
      <c r="B549" s="43">
        <v>9175.7343786909605</v>
      </c>
      <c r="C549" s="43">
        <f>($F$22+B549)*$F$23/Main!$K$3</f>
        <v>317.44909716964634</v>
      </c>
    </row>
    <row r="550" spans="1:3" x14ac:dyDescent="0.2">
      <c r="A550" s="43">
        <f t="shared" si="9"/>
        <v>540</v>
      </c>
      <c r="B550" s="43">
        <v>3025.6736419838853</v>
      </c>
      <c r="C550" s="43">
        <f>($F$22+B550)*$F$23/Main!$K$3</f>
        <v>264.11361307055455</v>
      </c>
    </row>
    <row r="551" spans="1:3" x14ac:dyDescent="0.2">
      <c r="A551" s="43">
        <f t="shared" si="9"/>
        <v>541</v>
      </c>
      <c r="B551" s="43">
        <v>9801.9244943665944</v>
      </c>
      <c r="C551" s="43">
        <f>($F$22+B551)*$F$23/Main!$K$3</f>
        <v>322.87963751509159</v>
      </c>
    </row>
    <row r="552" spans="1:3" x14ac:dyDescent="0.2">
      <c r="A552" s="43">
        <f t="shared" si="9"/>
        <v>542</v>
      </c>
      <c r="B552" s="43">
        <v>14401.600872860503</v>
      </c>
      <c r="C552" s="43">
        <f>($F$22+B552)*$F$23/Main!$K$3</f>
        <v>362.76964459776713</v>
      </c>
    </row>
    <row r="553" spans="1:3" x14ac:dyDescent="0.2">
      <c r="A553" s="43">
        <f t="shared" si="9"/>
        <v>543</v>
      </c>
      <c r="B553" s="43">
        <v>6932.6874837771793</v>
      </c>
      <c r="C553" s="43">
        <f>($F$22+B553)*$F$23/Main!$K$3</f>
        <v>297.9966076546815</v>
      </c>
    </row>
    <row r="554" spans="1:3" x14ac:dyDescent="0.2">
      <c r="A554" s="43">
        <f t="shared" si="9"/>
        <v>544</v>
      </c>
      <c r="B554" s="43">
        <v>18838.012676001308</v>
      </c>
      <c r="C554" s="43">
        <f>($F$22+B554)*$F$23/Main!$K$3</f>
        <v>401.24376401111977</v>
      </c>
    </row>
    <row r="555" spans="1:3" x14ac:dyDescent="0.2">
      <c r="A555" s="43">
        <f t="shared" si="9"/>
        <v>545</v>
      </c>
      <c r="B555" s="43">
        <v>-3563.8658294279453</v>
      </c>
      <c r="C555" s="43">
        <f>($F$22+B555)*$F$23/Main!$K$3</f>
        <v>206.96681521860296</v>
      </c>
    </row>
    <row r="556" spans="1:3" x14ac:dyDescent="0.2">
      <c r="A556" s="43">
        <f t="shared" si="9"/>
        <v>546</v>
      </c>
      <c r="B556" s="43">
        <v>4594.5148046729564</v>
      </c>
      <c r="C556" s="43">
        <f>($F$22+B556)*$F$23/Main!$K$3</f>
        <v>277.71915396987993</v>
      </c>
    </row>
    <row r="557" spans="1:3" x14ac:dyDescent="0.2">
      <c r="A557" s="43">
        <f t="shared" si="9"/>
        <v>547</v>
      </c>
      <c r="B557" s="43">
        <v>18408.006824640834</v>
      </c>
      <c r="C557" s="43">
        <f>($F$22+B557)*$F$23/Main!$K$3</f>
        <v>397.51460242563064</v>
      </c>
    </row>
    <row r="558" spans="1:3" x14ac:dyDescent="0.2">
      <c r="A558" s="43">
        <f t="shared" si="9"/>
        <v>548</v>
      </c>
      <c r="B558" s="43">
        <v>5742.1760430375734</v>
      </c>
      <c r="C558" s="43">
        <f>($F$22+B558)*$F$23/Main!$K$3</f>
        <v>287.67207481903472</v>
      </c>
    </row>
    <row r="559" spans="1:3" x14ac:dyDescent="0.2">
      <c r="A559" s="43">
        <f t="shared" si="9"/>
        <v>549</v>
      </c>
      <c r="B559" s="43">
        <v>1796.5540573981402</v>
      </c>
      <c r="C559" s="43">
        <f>($F$22+B559)*$F$23/Main!$K$3</f>
        <v>253.45425686805697</v>
      </c>
    </row>
    <row r="560" spans="1:3" x14ac:dyDescent="0.2">
      <c r="A560" s="43">
        <f t="shared" si="9"/>
        <v>550</v>
      </c>
      <c r="B560" s="43">
        <v>6993.7302469130591</v>
      </c>
      <c r="C560" s="43">
        <f>($F$22+B560)*$F$23/Main!$K$3</f>
        <v>298.52599190989156</v>
      </c>
    </row>
    <row r="561" spans="1:3" x14ac:dyDescent="0.2">
      <c r="A561" s="43">
        <f t="shared" si="9"/>
        <v>551</v>
      </c>
      <c r="B561" s="43">
        <v>6267.2316994849716</v>
      </c>
      <c r="C561" s="43">
        <f>($F$22+B561)*$F$23/Main!$K$3</f>
        <v>292.22554165692202</v>
      </c>
    </row>
    <row r="562" spans="1:3" x14ac:dyDescent="0.2">
      <c r="A562" s="43">
        <f t="shared" si="9"/>
        <v>552</v>
      </c>
      <c r="B562" s="43">
        <v>14245.717683555895</v>
      </c>
      <c r="C562" s="43">
        <f>($F$22+B562)*$F$23/Main!$K$3</f>
        <v>361.41777089758585</v>
      </c>
    </row>
    <row r="563" spans="1:3" x14ac:dyDescent="0.2">
      <c r="A563" s="43">
        <f t="shared" si="9"/>
        <v>553</v>
      </c>
      <c r="B563" s="43">
        <v>332.08968707992238</v>
      </c>
      <c r="C563" s="43">
        <f>($F$22+B563)*$F$23/Main!$K$3</f>
        <v>240.75390812668581</v>
      </c>
    </row>
    <row r="564" spans="1:3" x14ac:dyDescent="0.2">
      <c r="A564" s="43">
        <f t="shared" si="9"/>
        <v>554</v>
      </c>
      <c r="B564" s="43">
        <v>24407.219676969227</v>
      </c>
      <c r="C564" s="43">
        <f>($F$22+B564)*$F$23/Main!$K$3</f>
        <v>449.54188075520204</v>
      </c>
    </row>
    <row r="565" spans="1:3" x14ac:dyDescent="0.2">
      <c r="A565" s="43">
        <f t="shared" si="9"/>
        <v>555</v>
      </c>
      <c r="B565" s="43">
        <v>8060.07074406009</v>
      </c>
      <c r="C565" s="43">
        <f>($F$22+B565)*$F$23/Main!$K$3</f>
        <v>307.77367076456494</v>
      </c>
    </row>
    <row r="566" spans="1:3" x14ac:dyDescent="0.2">
      <c r="A566" s="43">
        <f t="shared" si="9"/>
        <v>556</v>
      </c>
      <c r="B566" s="43">
        <v>5011.4848383015687</v>
      </c>
      <c r="C566" s="43">
        <f>($F$22+B566)*$F$23/Main!$K$3</f>
        <v>281.33526437114153</v>
      </c>
    </row>
    <row r="567" spans="1:3" x14ac:dyDescent="0.2">
      <c r="A567" s="43">
        <f t="shared" si="9"/>
        <v>557</v>
      </c>
      <c r="B567" s="43">
        <v>1366.0954147120847</v>
      </c>
      <c r="C567" s="43">
        <f>($F$22+B567)*$F$23/Main!$K$3</f>
        <v>249.72116851735697</v>
      </c>
    </row>
    <row r="568" spans="1:3" x14ac:dyDescent="0.2">
      <c r="A568" s="43">
        <f t="shared" si="9"/>
        <v>558</v>
      </c>
      <c r="B568" s="43">
        <v>-409.11119576903207</v>
      </c>
      <c r="C568" s="43">
        <f>($F$22+B568)*$F$23/Main!$K$3</f>
        <v>234.32595406348901</v>
      </c>
    </row>
    <row r="569" spans="1:3" x14ac:dyDescent="0.2">
      <c r="A569" s="43">
        <f t="shared" si="9"/>
        <v>559</v>
      </c>
      <c r="B569" s="43">
        <v>6810.9360639455799</v>
      </c>
      <c r="C569" s="43">
        <f>($F$22+B569)*$F$23/Main!$K$3</f>
        <v>296.9407366325122</v>
      </c>
    </row>
    <row r="570" spans="1:3" x14ac:dyDescent="0.2">
      <c r="A570" s="43">
        <f t="shared" si="9"/>
        <v>560</v>
      </c>
      <c r="B570" s="43">
        <v>5010.4958188399005</v>
      </c>
      <c r="C570" s="43">
        <f>($F$22+B570)*$F$23/Main!$K$3</f>
        <v>281.32668724743007</v>
      </c>
    </row>
    <row r="571" spans="1:3" x14ac:dyDescent="0.2">
      <c r="A571" s="43">
        <f t="shared" si="9"/>
        <v>561</v>
      </c>
      <c r="B571" s="43">
        <v>7477.1538124311764</v>
      </c>
      <c r="C571" s="43">
        <f>($F$22+B571)*$F$23/Main!$K$3</f>
        <v>302.71841065104746</v>
      </c>
    </row>
    <row r="572" spans="1:3" x14ac:dyDescent="0.2">
      <c r="A572" s="43">
        <f t="shared" si="9"/>
        <v>562</v>
      </c>
      <c r="B572" s="43">
        <v>183.99972163034042</v>
      </c>
      <c r="C572" s="43">
        <f>($F$22+B572)*$F$23/Main!$K$3</f>
        <v>239.46961999757374</v>
      </c>
    </row>
    <row r="573" spans="1:3" x14ac:dyDescent="0.2">
      <c r="A573" s="43">
        <f t="shared" si="9"/>
        <v>563</v>
      </c>
      <c r="B573" s="43">
        <v>-349.31559969960125</v>
      </c>
      <c r="C573" s="43">
        <f>($F$22+B573)*$F$23/Main!$K$3</f>
        <v>234.84452244840296</v>
      </c>
    </row>
    <row r="574" spans="1:3" x14ac:dyDescent="0.2">
      <c r="A574" s="43">
        <f t="shared" si="9"/>
        <v>564</v>
      </c>
      <c r="B574" s="43">
        <v>944.05985571107249</v>
      </c>
      <c r="C574" s="43">
        <f>($F$22+B574)*$F$23/Main!$K$3</f>
        <v>246.0611281031216</v>
      </c>
    </row>
    <row r="575" spans="1:3" x14ac:dyDescent="0.2">
      <c r="A575" s="43">
        <f t="shared" si="9"/>
        <v>565</v>
      </c>
      <c r="B575" s="43">
        <v>1799.0431050606614</v>
      </c>
      <c r="C575" s="43">
        <f>($F$22+B575)*$F$23/Main!$K$3</f>
        <v>253.47584276252365</v>
      </c>
    </row>
    <row r="576" spans="1:3" x14ac:dyDescent="0.2">
      <c r="A576" s="43">
        <f t="shared" si="9"/>
        <v>566</v>
      </c>
      <c r="B576" s="43">
        <v>12383.367643261518</v>
      </c>
      <c r="C576" s="43">
        <f>($F$22+B576)*$F$23/Main!$K$3</f>
        <v>345.26681805118392</v>
      </c>
    </row>
    <row r="577" spans="1:3" x14ac:dyDescent="0.2">
      <c r="A577" s="43">
        <f t="shared" si="9"/>
        <v>567</v>
      </c>
      <c r="B577" s="43">
        <v>-30.049380283993823</v>
      </c>
      <c r="C577" s="43">
        <f>($F$22+B577)*$F$23/Main!$K$3</f>
        <v>237.61331109912052</v>
      </c>
    </row>
    <row r="578" spans="1:3" x14ac:dyDescent="0.2">
      <c r="A578" s="43">
        <f t="shared" si="9"/>
        <v>568</v>
      </c>
      <c r="B578" s="43">
        <v>-2683.4306600579785</v>
      </c>
      <c r="C578" s="43">
        <f>($F$22+B578)*$F$23/Main!$K$3</f>
        <v>214.60225785674444</v>
      </c>
    </row>
    <row r="579" spans="1:3" x14ac:dyDescent="0.2">
      <c r="A579" s="43">
        <f t="shared" si="9"/>
        <v>569</v>
      </c>
      <c r="B579" s="43">
        <v>3373.3458497474926</v>
      </c>
      <c r="C579" s="43">
        <f>($F$22+B579)*$F$23/Main!$K$3</f>
        <v>267.12874841681139</v>
      </c>
    </row>
    <row r="580" spans="1:3" x14ac:dyDescent="0.2">
      <c r="A580" s="43">
        <f t="shared" si="9"/>
        <v>570</v>
      </c>
      <c r="B580" s="43">
        <v>511.79023789827784</v>
      </c>
      <c r="C580" s="43">
        <f>($F$22+B580)*$F$23/Main!$K$3</f>
        <v>242.3123343408474</v>
      </c>
    </row>
    <row r="581" spans="1:3" x14ac:dyDescent="0.2">
      <c r="A581" s="43">
        <f t="shared" si="9"/>
        <v>571</v>
      </c>
      <c r="B581" s="43">
        <v>4164.0103856410378</v>
      </c>
      <c r="C581" s="43">
        <f>($F$22+B581)*$F$23/Main!$K$3</f>
        <v>273.98566863065065</v>
      </c>
    </row>
    <row r="582" spans="1:3" x14ac:dyDescent="0.2">
      <c r="A582" s="43">
        <f t="shared" si="9"/>
        <v>572</v>
      </c>
      <c r="B582" s="43">
        <v>20615.67429738582</v>
      </c>
      <c r="C582" s="43">
        <f>($F$22+B582)*$F$23/Main!$K$3</f>
        <v>416.66026918073942</v>
      </c>
    </row>
    <row r="583" spans="1:3" x14ac:dyDescent="0.2">
      <c r="A583" s="43">
        <f t="shared" si="9"/>
        <v>573</v>
      </c>
      <c r="B583" s="43">
        <v>16204.339763578593</v>
      </c>
      <c r="C583" s="43">
        <f>($F$22+B583)*$F$23/Main!$K$3</f>
        <v>378.40362864394592</v>
      </c>
    </row>
    <row r="584" spans="1:3" x14ac:dyDescent="0.2">
      <c r="A584" s="43">
        <f t="shared" si="9"/>
        <v>574</v>
      </c>
      <c r="B584" s="43">
        <v>5276.3719731932515</v>
      </c>
      <c r="C584" s="43">
        <f>($F$22+B584)*$F$23/Main!$K$3</f>
        <v>283.63245852513512</v>
      </c>
    </row>
    <row r="585" spans="1:3" x14ac:dyDescent="0.2">
      <c r="A585" s="43">
        <f t="shared" si="9"/>
        <v>575</v>
      </c>
      <c r="B585" s="43">
        <v>-2262.8152462267003</v>
      </c>
      <c r="C585" s="43">
        <f>($F$22+B585)*$F$23/Main!$K$3</f>
        <v>218.2499822738927</v>
      </c>
    </row>
    <row r="586" spans="1:3" x14ac:dyDescent="0.2">
      <c r="A586" s="43">
        <f t="shared" si="9"/>
        <v>576</v>
      </c>
      <c r="B586" s="43">
        <v>5971.7249037647516</v>
      </c>
      <c r="C586" s="43">
        <f>($F$22+B586)*$F$23/Main!$K$3</f>
        <v>289.66280306309989</v>
      </c>
    </row>
    <row r="587" spans="1:3" x14ac:dyDescent="0.2">
      <c r="A587" s="43">
        <f t="shared" si="9"/>
        <v>577</v>
      </c>
      <c r="B587" s="43">
        <v>1265.7549739163348</v>
      </c>
      <c r="C587" s="43">
        <f>($F$22+B587)*$F$23/Main!$K$3</f>
        <v>248.85098101618064</v>
      </c>
    </row>
    <row r="588" spans="1:3" x14ac:dyDescent="0.2">
      <c r="A588" s="43">
        <f t="shared" si="9"/>
        <v>578</v>
      </c>
      <c r="B588" s="43">
        <v>10968.985173254383</v>
      </c>
      <c r="C588" s="43">
        <f>($F$22+B588)*$F$23/Main!$K$3</f>
        <v>333.00079711762635</v>
      </c>
    </row>
    <row r="589" spans="1:3" x14ac:dyDescent="0.2">
      <c r="A589" s="43">
        <f t="shared" si="9"/>
        <v>579</v>
      </c>
      <c r="B589" s="43">
        <v>2434.2289898535041</v>
      </c>
      <c r="C589" s="43">
        <f>($F$22+B589)*$F$23/Main!$K$3</f>
        <v>258.98439757339457</v>
      </c>
    </row>
    <row r="590" spans="1:3" x14ac:dyDescent="0.2">
      <c r="A590" s="43">
        <f t="shared" si="9"/>
        <v>580</v>
      </c>
      <c r="B590" s="43">
        <v>5282.6382741245516</v>
      </c>
      <c r="C590" s="43">
        <f>($F$22+B590)*$F$23/Main!$K$3</f>
        <v>283.68680208497784</v>
      </c>
    </row>
    <row r="591" spans="1:3" x14ac:dyDescent="0.2">
      <c r="A591" s="43">
        <f t="shared" si="9"/>
        <v>581</v>
      </c>
      <c r="B591" s="43">
        <v>6043.0275890749899</v>
      </c>
      <c r="C591" s="43">
        <f>($F$22+B591)*$F$23/Main!$K$3</f>
        <v>290.28116496250175</v>
      </c>
    </row>
    <row r="592" spans="1:3" x14ac:dyDescent="0.2">
      <c r="A592" s="43">
        <f t="shared" si="9"/>
        <v>582</v>
      </c>
      <c r="B592" s="43">
        <v>12844.217844634009</v>
      </c>
      <c r="C592" s="43">
        <f>($F$22+B592)*$F$23/Main!$K$3</f>
        <v>349.26347265991984</v>
      </c>
    </row>
    <row r="593" spans="1:3" x14ac:dyDescent="0.2">
      <c r="A593" s="43">
        <f t="shared" si="9"/>
        <v>583</v>
      </c>
      <c r="B593" s="43">
        <v>10601.851521164597</v>
      </c>
      <c r="C593" s="43">
        <f>($F$22+B593)*$F$23/Main!$K$3</f>
        <v>329.81688529925941</v>
      </c>
    </row>
    <row r="594" spans="1:3" x14ac:dyDescent="0.2">
      <c r="A594" s="43">
        <f t="shared" si="9"/>
        <v>584</v>
      </c>
      <c r="B594" s="43">
        <v>9046.709721675883</v>
      </c>
      <c r="C594" s="43">
        <f>($F$22+B594)*$F$23/Main!$K$3</f>
        <v>316.33015008323059</v>
      </c>
    </row>
    <row r="595" spans="1:3" x14ac:dyDescent="0.2">
      <c r="A595" s="43">
        <f t="shared" si="9"/>
        <v>585</v>
      </c>
      <c r="B595" s="43">
        <v>6658.982487697167</v>
      </c>
      <c r="C595" s="43">
        <f>($F$22+B595)*$F$23/Main!$K$3</f>
        <v>295.62294191523</v>
      </c>
    </row>
    <row r="596" spans="1:3" x14ac:dyDescent="0.2">
      <c r="A596" s="43">
        <f t="shared" ref="A596:A659" si="10">A595+1</f>
        <v>586</v>
      </c>
      <c r="B596" s="43">
        <v>8092.5969258458435</v>
      </c>
      <c r="C596" s="43">
        <f>($F$22+B596)*$F$23/Main!$K$3</f>
        <v>308.05574922292618</v>
      </c>
    </row>
    <row r="597" spans="1:3" x14ac:dyDescent="0.2">
      <c r="A597" s="43">
        <f t="shared" si="10"/>
        <v>587</v>
      </c>
      <c r="B597" s="43">
        <v>649.14673773759034</v>
      </c>
      <c r="C597" s="43">
        <f>($F$22+B597)*$F$23/Main!$K$3</f>
        <v>243.50353809097643</v>
      </c>
    </row>
    <row r="598" spans="1:3" x14ac:dyDescent="0.2">
      <c r="A598" s="43">
        <f t="shared" si="10"/>
        <v>588</v>
      </c>
      <c r="B598" s="43">
        <v>3433.5861380076835</v>
      </c>
      <c r="C598" s="43">
        <f>($F$22+B598)*$F$23/Main!$K$3</f>
        <v>267.65117332839793</v>
      </c>
    </row>
    <row r="599" spans="1:3" x14ac:dyDescent="0.2">
      <c r="A599" s="43">
        <f t="shared" si="10"/>
        <v>589</v>
      </c>
      <c r="B599" s="43">
        <v>-144.89776083481021</v>
      </c>
      <c r="C599" s="43">
        <f>($F$22+B599)*$F$23/Main!$K$3</f>
        <v>236.6173056551232</v>
      </c>
    </row>
    <row r="600" spans="1:3" x14ac:dyDescent="0.2">
      <c r="A600" s="43">
        <f t="shared" si="10"/>
        <v>590</v>
      </c>
      <c r="B600" s="43">
        <v>47519.135225781254</v>
      </c>
      <c r="C600" s="43">
        <f>($F$22+B600)*$F$23/Main!$K$3</f>
        <v>649.97651986304822</v>
      </c>
    </row>
    <row r="601" spans="1:3" x14ac:dyDescent="0.2">
      <c r="A601" s="43">
        <f t="shared" si="10"/>
        <v>591</v>
      </c>
      <c r="B601" s="43">
        <v>6173.097663932971</v>
      </c>
      <c r="C601" s="43">
        <f>($F$22+B601)*$F$23/Main!$K$3</f>
        <v>291.40917827917514</v>
      </c>
    </row>
    <row r="602" spans="1:3" x14ac:dyDescent="0.2">
      <c r="A602" s="43">
        <f t="shared" si="10"/>
        <v>592</v>
      </c>
      <c r="B602" s="43">
        <v>7026.4134076868522</v>
      </c>
      <c r="C602" s="43">
        <f>($F$22+B602)*$F$23/Main!$K$3</f>
        <v>298.80943174510401</v>
      </c>
    </row>
    <row r="603" spans="1:3" x14ac:dyDescent="0.2">
      <c r="A603" s="43">
        <f t="shared" si="10"/>
        <v>593</v>
      </c>
      <c r="B603" s="43">
        <v>7343.174764345189</v>
      </c>
      <c r="C603" s="43">
        <f>($F$22+B603)*$F$23/Main!$K$3</f>
        <v>301.55649734730542</v>
      </c>
    </row>
    <row r="604" spans="1:3" x14ac:dyDescent="0.2">
      <c r="A604" s="43">
        <f t="shared" si="10"/>
        <v>594</v>
      </c>
      <c r="B604" s="43">
        <v>456.25123348000949</v>
      </c>
      <c r="C604" s="43">
        <f>($F$22+B604)*$F$23/Main!$K$3</f>
        <v>241.83068061190943</v>
      </c>
    </row>
    <row r="605" spans="1:3" x14ac:dyDescent="0.2">
      <c r="A605" s="43">
        <f t="shared" si="10"/>
        <v>595</v>
      </c>
      <c r="B605" s="43">
        <v>9334.6089410350269</v>
      </c>
      <c r="C605" s="43">
        <f>($F$22+B605)*$F$23/Main!$K$3</f>
        <v>318.82691310617463</v>
      </c>
    </row>
    <row r="606" spans="1:3" x14ac:dyDescent="0.2">
      <c r="A606" s="43">
        <f t="shared" si="10"/>
        <v>596</v>
      </c>
      <c r="B606" s="43">
        <v>1788.6298920924605</v>
      </c>
      <c r="C606" s="43">
        <f>($F$22+B606)*$F$23/Main!$K$3</f>
        <v>253.38553572679453</v>
      </c>
    </row>
    <row r="607" spans="1:3" x14ac:dyDescent="0.2">
      <c r="A607" s="43">
        <f t="shared" si="10"/>
        <v>597</v>
      </c>
      <c r="B607" s="43">
        <v>1393.7567549341172</v>
      </c>
      <c r="C607" s="43">
        <f>($F$22+B607)*$F$23/Main!$K$3</f>
        <v>249.96105736313146</v>
      </c>
    </row>
    <row r="608" spans="1:3" x14ac:dyDescent="0.2">
      <c r="A608" s="43">
        <f t="shared" si="10"/>
        <v>598</v>
      </c>
      <c r="B608" s="43">
        <v>-2880.1918462176959</v>
      </c>
      <c r="C608" s="43">
        <f>($F$22+B608)*$F$23/Main!$K$3</f>
        <v>212.89587582817296</v>
      </c>
    </row>
    <row r="609" spans="1:3" x14ac:dyDescent="0.2">
      <c r="A609" s="43">
        <f t="shared" si="10"/>
        <v>599</v>
      </c>
      <c r="B609" s="43">
        <v>404.60653255400626</v>
      </c>
      <c r="C609" s="43">
        <f>($F$22+B609)*$F$23/Main!$K$3</f>
        <v>241.38279964894585</v>
      </c>
    </row>
    <row r="610" spans="1:3" x14ac:dyDescent="0.2">
      <c r="A610" s="43">
        <f t="shared" si="10"/>
        <v>600</v>
      </c>
      <c r="B610" s="43">
        <v>81.67479911150005</v>
      </c>
      <c r="C610" s="43">
        <f>($F$22+B610)*$F$23/Main!$K$3</f>
        <v>238.58222237475502</v>
      </c>
    </row>
    <row r="611" spans="1:3" x14ac:dyDescent="0.2">
      <c r="A611" s="43">
        <f t="shared" si="10"/>
        <v>601</v>
      </c>
      <c r="B611" s="43">
        <v>2259.591333060971</v>
      </c>
      <c r="C611" s="43">
        <f>($F$22+B611)*$F$23/Main!$K$3</f>
        <v>257.4698785522462</v>
      </c>
    </row>
    <row r="612" spans="1:3" x14ac:dyDescent="0.2">
      <c r="A612" s="43">
        <f t="shared" si="10"/>
        <v>602</v>
      </c>
      <c r="B612" s="43">
        <v>14550.023690255521</v>
      </c>
      <c r="C612" s="43">
        <f>($F$22+B612)*$F$23/Main!$K$3</f>
        <v>364.05681933571174</v>
      </c>
    </row>
    <row r="613" spans="1:3" x14ac:dyDescent="0.2">
      <c r="A613" s="43">
        <f t="shared" si="10"/>
        <v>603</v>
      </c>
      <c r="B613" s="43">
        <v>1507.4013899473564</v>
      </c>
      <c r="C613" s="43">
        <f>($F$22+B613)*$F$23/Main!$K$3</f>
        <v>250.94662350356296</v>
      </c>
    </row>
    <row r="614" spans="1:3" x14ac:dyDescent="0.2">
      <c r="A614" s="43">
        <f t="shared" si="10"/>
        <v>604</v>
      </c>
      <c r="B614" s="43">
        <v>-346.18372972233772</v>
      </c>
      <c r="C614" s="43">
        <f>($F$22+B614)*$F$23/Main!$K$3</f>
        <v>234.87168312347984</v>
      </c>
    </row>
    <row r="615" spans="1:3" x14ac:dyDescent="0.2">
      <c r="A615" s="43">
        <f t="shared" si="10"/>
        <v>605</v>
      </c>
      <c r="B615" s="43">
        <v>1643.6732471477014</v>
      </c>
      <c r="C615" s="43">
        <f>($F$22+B615)*$F$23/Main!$K$3</f>
        <v>252.12842085224315</v>
      </c>
    </row>
    <row r="616" spans="1:3" x14ac:dyDescent="0.2">
      <c r="A616" s="43">
        <f t="shared" si="10"/>
        <v>606</v>
      </c>
      <c r="B616" s="43">
        <v>9026.0527592978251</v>
      </c>
      <c r="C616" s="43">
        <f>($F$22+B616)*$F$23/Main!$K$3</f>
        <v>316.15100565919676</v>
      </c>
    </row>
    <row r="617" spans="1:3" x14ac:dyDescent="0.2">
      <c r="A617" s="43">
        <f t="shared" si="10"/>
        <v>607</v>
      </c>
      <c r="B617" s="43">
        <v>1199.4539717231771</v>
      </c>
      <c r="C617" s="43">
        <f>($F$22+B617)*$F$23/Main!$K$3</f>
        <v>248.27599546731918</v>
      </c>
    </row>
    <row r="618" spans="1:3" x14ac:dyDescent="0.2">
      <c r="A618" s="43">
        <f t="shared" si="10"/>
        <v>608</v>
      </c>
      <c r="B618" s="43">
        <v>3586.5435960925711</v>
      </c>
      <c r="C618" s="43">
        <f>($F$22+B618)*$F$23/Main!$K$3</f>
        <v>268.9776740611195</v>
      </c>
    </row>
    <row r="619" spans="1:3" x14ac:dyDescent="0.2">
      <c r="A619" s="43">
        <f t="shared" si="10"/>
        <v>609</v>
      </c>
      <c r="B619" s="43">
        <v>956.7186939353594</v>
      </c>
      <c r="C619" s="43">
        <f>($F$22+B619)*$F$23/Main!$K$3</f>
        <v>246.17090998881821</v>
      </c>
    </row>
    <row r="620" spans="1:3" x14ac:dyDescent="0.2">
      <c r="A620" s="43">
        <f t="shared" si="10"/>
        <v>610</v>
      </c>
      <c r="B620" s="43">
        <v>7446.7102230361852</v>
      </c>
      <c r="C620" s="43">
        <f>($F$22+B620)*$F$23/Main!$K$3</f>
        <v>302.4543931644551</v>
      </c>
    </row>
    <row r="621" spans="1:3" x14ac:dyDescent="0.2">
      <c r="A621" s="43">
        <f t="shared" si="10"/>
        <v>611</v>
      </c>
      <c r="B621" s="43">
        <v>8514.3078951537718</v>
      </c>
      <c r="C621" s="43">
        <f>($F$22+B621)*$F$23/Main!$K$3</f>
        <v>311.71297468147975</v>
      </c>
    </row>
    <row r="622" spans="1:3" x14ac:dyDescent="0.2">
      <c r="A622" s="43">
        <f t="shared" si="10"/>
        <v>612</v>
      </c>
      <c r="B622" s="43">
        <v>9492.1156828185685</v>
      </c>
      <c r="C622" s="43">
        <f>($F$22+B622)*$F$23/Main!$K$3</f>
        <v>320.19286682298201</v>
      </c>
    </row>
    <row r="623" spans="1:3" x14ac:dyDescent="0.2">
      <c r="A623" s="43">
        <f t="shared" si="10"/>
        <v>613</v>
      </c>
      <c r="B623" s="43">
        <v>531.16954453738447</v>
      </c>
      <c r="C623" s="43">
        <f>($F$22+B623)*$F$23/Main!$K$3</f>
        <v>242.48039848612203</v>
      </c>
    </row>
    <row r="624" spans="1:3" x14ac:dyDescent="0.2">
      <c r="A624" s="43">
        <f t="shared" si="10"/>
        <v>614</v>
      </c>
      <c r="B624" s="43">
        <v>430.18387403505733</v>
      </c>
      <c r="C624" s="43">
        <f>($F$22+B624)*$F$23/Main!$K$3</f>
        <v>241.60461532658906</v>
      </c>
    </row>
    <row r="625" spans="1:3" x14ac:dyDescent="0.2">
      <c r="A625" s="43">
        <f t="shared" si="10"/>
        <v>615</v>
      </c>
      <c r="B625" s="43">
        <v>10931.884320476542</v>
      </c>
      <c r="C625" s="43">
        <f>($F$22+B625)*$F$23/Main!$K$3</f>
        <v>332.67904550766508</v>
      </c>
    </row>
    <row r="626" spans="1:3" x14ac:dyDescent="0.2">
      <c r="A626" s="43">
        <f t="shared" si="10"/>
        <v>616</v>
      </c>
      <c r="B626" s="43">
        <v>5947.8818598710859</v>
      </c>
      <c r="C626" s="43">
        <f>($F$22+B626)*$F$23/Main!$K$3</f>
        <v>289.45602782251171</v>
      </c>
    </row>
    <row r="627" spans="1:3" x14ac:dyDescent="0.2">
      <c r="A627" s="43">
        <f t="shared" si="10"/>
        <v>617</v>
      </c>
      <c r="B627" s="43">
        <v>25744.81496760021</v>
      </c>
      <c r="C627" s="43">
        <f>($F$22+B627)*$F$23/Main!$K$3</f>
        <v>461.14197633290308</v>
      </c>
    </row>
    <row r="628" spans="1:3" x14ac:dyDescent="0.2">
      <c r="A628" s="43">
        <f t="shared" si="10"/>
        <v>618</v>
      </c>
      <c r="B628" s="43">
        <v>13566.503850918276</v>
      </c>
      <c r="C628" s="43">
        <f>($F$22+B628)*$F$23/Main!$K$3</f>
        <v>355.52739027836554</v>
      </c>
    </row>
    <row r="629" spans="1:3" x14ac:dyDescent="0.2">
      <c r="A629" s="43">
        <f t="shared" si="10"/>
        <v>619</v>
      </c>
      <c r="B629" s="43">
        <v>3065.5202297145397</v>
      </c>
      <c r="C629" s="43">
        <f>($F$22+B629)*$F$23/Main!$K$3</f>
        <v>264.45917665720771</v>
      </c>
    </row>
    <row r="630" spans="1:3" x14ac:dyDescent="0.2">
      <c r="A630" s="43">
        <f t="shared" si="10"/>
        <v>620</v>
      </c>
      <c r="B630" s="43">
        <v>35249.940085242495</v>
      </c>
      <c r="C630" s="43">
        <f>($F$22+B630)*$F$23/Main!$K$3</f>
        <v>543.57375567226131</v>
      </c>
    </row>
    <row r="631" spans="1:3" x14ac:dyDescent="0.2">
      <c r="A631" s="43">
        <f t="shared" si="10"/>
        <v>621</v>
      </c>
      <c r="B631" s="43">
        <v>12101.143678560342</v>
      </c>
      <c r="C631" s="43">
        <f>($F$22+B631)*$F$23/Main!$K$3</f>
        <v>342.81927282746608</v>
      </c>
    </row>
    <row r="632" spans="1:3" x14ac:dyDescent="0.2">
      <c r="A632" s="43">
        <f t="shared" si="10"/>
        <v>622</v>
      </c>
      <c r="B632" s="43">
        <v>9793.674694366342</v>
      </c>
      <c r="C632" s="43">
        <f>($F$22+B632)*$F$23/Main!$K$3</f>
        <v>322.80809235552783</v>
      </c>
    </row>
    <row r="633" spans="1:3" x14ac:dyDescent="0.2">
      <c r="A633" s="43">
        <f t="shared" si="10"/>
        <v>623</v>
      </c>
      <c r="B633" s="43">
        <v>18010.438463146475</v>
      </c>
      <c r="C633" s="43">
        <f>($F$22+B633)*$F$23/Main!$K$3</f>
        <v>394.06675013106326</v>
      </c>
    </row>
    <row r="634" spans="1:3" x14ac:dyDescent="0.2">
      <c r="A634" s="43">
        <f t="shared" si="10"/>
        <v>624</v>
      </c>
      <c r="B634" s="43">
        <v>4194.7611469882222</v>
      </c>
      <c r="C634" s="43">
        <f>($F$22+B634)*$F$23/Main!$K$3</f>
        <v>274.25235002016581</v>
      </c>
    </row>
    <row r="635" spans="1:3" x14ac:dyDescent="0.2">
      <c r="A635" s="43">
        <f t="shared" si="10"/>
        <v>625</v>
      </c>
      <c r="B635" s="43">
        <v>12148.564286751242</v>
      </c>
      <c r="C635" s="43">
        <f>($F$22+B635)*$F$23/Main!$K$3</f>
        <v>343.23052097645416</v>
      </c>
    </row>
    <row r="636" spans="1:3" x14ac:dyDescent="0.2">
      <c r="A636" s="43">
        <f t="shared" si="10"/>
        <v>626</v>
      </c>
      <c r="B636" s="43">
        <v>23137.027198757351</v>
      </c>
      <c r="C636" s="43">
        <f>($F$22+B636)*$F$23/Main!$K$3</f>
        <v>438.52632601114777</v>
      </c>
    </row>
    <row r="637" spans="1:3" x14ac:dyDescent="0.2">
      <c r="A637" s="43">
        <f t="shared" si="10"/>
        <v>627</v>
      </c>
      <c r="B637" s="43">
        <v>941.2953877462495</v>
      </c>
      <c r="C637" s="43">
        <f>($F$22+B637)*$F$23/Main!$K$3</f>
        <v>246.03715366717819</v>
      </c>
    </row>
    <row r="638" spans="1:3" x14ac:dyDescent="0.2">
      <c r="A638" s="43">
        <f t="shared" si="10"/>
        <v>628</v>
      </c>
      <c r="B638" s="43">
        <v>9081.5378048649327</v>
      </c>
      <c r="C638" s="43">
        <f>($F$22+B638)*$F$23/Main!$K$3</f>
        <v>316.63219143804906</v>
      </c>
    </row>
    <row r="639" spans="1:3" x14ac:dyDescent="0.2">
      <c r="A639" s="43">
        <f t="shared" si="10"/>
        <v>629</v>
      </c>
      <c r="B639" s="43">
        <v>955.20924907869096</v>
      </c>
      <c r="C639" s="43">
        <f>($F$22+B639)*$F$23/Main!$K$3</f>
        <v>246.15781955352048</v>
      </c>
    </row>
    <row r="640" spans="1:3" x14ac:dyDescent="0.2">
      <c r="A640" s="43">
        <f t="shared" si="10"/>
        <v>630</v>
      </c>
      <c r="B640" s="43">
        <v>5296.7780506147765</v>
      </c>
      <c r="C640" s="43">
        <f>($F$22+B640)*$F$23/Main!$K$3</f>
        <v>283.80942718681757</v>
      </c>
    </row>
    <row r="641" spans="1:3" x14ac:dyDescent="0.2">
      <c r="A641" s="43">
        <f t="shared" si="10"/>
        <v>631</v>
      </c>
      <c r="B641" s="43">
        <v>2016.6024005705983</v>
      </c>
      <c r="C641" s="43">
        <f>($F$22+B641)*$F$23/Main!$K$3</f>
        <v>255.36259329118474</v>
      </c>
    </row>
    <row r="642" spans="1:3" x14ac:dyDescent="0.2">
      <c r="A642" s="43">
        <f t="shared" si="10"/>
        <v>632</v>
      </c>
      <c r="B642" s="43">
        <v>9023.3030735842676</v>
      </c>
      <c r="C642" s="43">
        <f>($F$22+B642)*$F$23/Main!$K$3</f>
        <v>316.12715942012181</v>
      </c>
    </row>
    <row r="643" spans="1:3" x14ac:dyDescent="0.2">
      <c r="A643" s="43">
        <f t="shared" si="10"/>
        <v>633</v>
      </c>
      <c r="B643" s="43">
        <v>3130.1213763427959</v>
      </c>
      <c r="C643" s="43">
        <f>($F$22+B643)*$F$23/Main!$K$3</f>
        <v>265.01942046231511</v>
      </c>
    </row>
    <row r="644" spans="1:3" x14ac:dyDescent="0.2">
      <c r="A644" s="43">
        <f t="shared" si="10"/>
        <v>634</v>
      </c>
      <c r="B644" s="43">
        <v>-400.09226459974644</v>
      </c>
      <c r="C644" s="43">
        <f>($F$22+B644)*$F$23/Main!$K$3</f>
        <v>234.40416939835546</v>
      </c>
    </row>
    <row r="645" spans="1:3" x14ac:dyDescent="0.2">
      <c r="A645" s="43">
        <f t="shared" si="10"/>
        <v>635</v>
      </c>
      <c r="B645" s="43">
        <v>12092.873378111093</v>
      </c>
      <c r="C645" s="43">
        <f>($F$22+B645)*$F$23/Main!$K$3</f>
        <v>342.7475498808173</v>
      </c>
    </row>
    <row r="646" spans="1:3" x14ac:dyDescent="0.2">
      <c r="A646" s="43">
        <f t="shared" si="10"/>
        <v>636</v>
      </c>
      <c r="B646" s="43">
        <v>3737.5490652072203</v>
      </c>
      <c r="C646" s="43">
        <f>($F$22+B646)*$F$23/Main!$K$3</f>
        <v>270.2872464607496</v>
      </c>
    </row>
    <row r="647" spans="1:3" x14ac:dyDescent="0.2">
      <c r="A647" s="43">
        <f t="shared" si="10"/>
        <v>637</v>
      </c>
      <c r="B647" s="43">
        <v>7389.5997351605156</v>
      </c>
      <c r="C647" s="43">
        <f>($F$22+B647)*$F$23/Main!$K$3</f>
        <v>301.95911097971117</v>
      </c>
    </row>
    <row r="648" spans="1:3" x14ac:dyDescent="0.2">
      <c r="A648" s="43">
        <f t="shared" si="10"/>
        <v>638</v>
      </c>
      <c r="B648" s="43">
        <v>7989.8158613763117</v>
      </c>
      <c r="C648" s="43">
        <f>($F$22+B648)*$F$23/Main!$K$3</f>
        <v>307.16439577710025</v>
      </c>
    </row>
    <row r="649" spans="1:3" x14ac:dyDescent="0.2">
      <c r="A649" s="43">
        <f t="shared" si="10"/>
        <v>639</v>
      </c>
      <c r="B649" s="43">
        <v>2555.9156288082463</v>
      </c>
      <c r="C649" s="43">
        <f>($F$22+B649)*$F$23/Main!$K$3</f>
        <v>260.03970679307514</v>
      </c>
    </row>
    <row r="650" spans="1:3" x14ac:dyDescent="0.2">
      <c r="A650" s="43">
        <f t="shared" si="10"/>
        <v>640</v>
      </c>
      <c r="B650" s="43">
        <v>1468.0609073023702</v>
      </c>
      <c r="C650" s="43">
        <f>($F$22+B650)*$F$23/Main!$K$3</f>
        <v>250.60544903775013</v>
      </c>
    </row>
    <row r="651" spans="1:3" x14ac:dyDescent="0.2">
      <c r="A651" s="43">
        <f t="shared" si="10"/>
        <v>641</v>
      </c>
      <c r="B651" s="43">
        <v>-12362.597867958977</v>
      </c>
      <c r="C651" s="43">
        <f>($F$22+B651)*$F$23/Main!$K$3</f>
        <v>130.66112445813897</v>
      </c>
    </row>
    <row r="652" spans="1:3" x14ac:dyDescent="0.2">
      <c r="A652" s="43">
        <f t="shared" si="10"/>
        <v>642</v>
      </c>
      <c r="B652" s="43">
        <v>20989.298640855897</v>
      </c>
      <c r="C652" s="43">
        <f>($F$22+B652)*$F$23/Main!$K$3</f>
        <v>419.900470551637</v>
      </c>
    </row>
    <row r="653" spans="1:3" x14ac:dyDescent="0.2">
      <c r="A653" s="43">
        <f t="shared" si="10"/>
        <v>643</v>
      </c>
      <c r="B653" s="43">
        <v>5453.8815099134472</v>
      </c>
      <c r="C653" s="43">
        <f>($F$22+B653)*$F$23/Main!$K$3</f>
        <v>285.17188349644789</v>
      </c>
    </row>
    <row r="654" spans="1:3" x14ac:dyDescent="0.2">
      <c r="A654" s="43">
        <f t="shared" si="10"/>
        <v>644</v>
      </c>
      <c r="B654" s="43">
        <v>-1482.5614157213636</v>
      </c>
      <c r="C654" s="43">
        <f>($F$22+B654)*$F$23/Main!$K$3</f>
        <v>225.01661719861619</v>
      </c>
    </row>
    <row r="655" spans="1:3" x14ac:dyDescent="0.2">
      <c r="A655" s="43">
        <f t="shared" si="10"/>
        <v>645</v>
      </c>
      <c r="B655" s="43">
        <v>11196.49090506177</v>
      </c>
      <c r="C655" s="43">
        <f>($F$22+B655)*$F$23/Main!$K$3</f>
        <v>334.97380663098636</v>
      </c>
    </row>
    <row r="656" spans="1:3" x14ac:dyDescent="0.2">
      <c r="A656" s="43">
        <f t="shared" si="10"/>
        <v>646</v>
      </c>
      <c r="B656" s="43">
        <v>736.17491186911775</v>
      </c>
      <c r="C656" s="43">
        <f>($F$22+B656)*$F$23/Main!$K$3</f>
        <v>244.25827694580769</v>
      </c>
    </row>
    <row r="657" spans="1:3" x14ac:dyDescent="0.2">
      <c r="A657" s="43">
        <f t="shared" si="10"/>
        <v>647</v>
      </c>
      <c r="B657" s="43">
        <v>-172.38809384850745</v>
      </c>
      <c r="C657" s="43">
        <f>($F$22+B657)*$F$23/Main!$K$3</f>
        <v>236.37889984384731</v>
      </c>
    </row>
    <row r="658" spans="1:3" x14ac:dyDescent="0.2">
      <c r="A658" s="43">
        <f t="shared" si="10"/>
        <v>648</v>
      </c>
      <c r="B658" s="43">
        <v>2141.7276843758</v>
      </c>
      <c r="C658" s="43">
        <f>($F$22+B658)*$F$23/Main!$K$3</f>
        <v>256.44772364525664</v>
      </c>
    </row>
    <row r="659" spans="1:3" x14ac:dyDescent="0.2">
      <c r="A659" s="43">
        <f t="shared" si="10"/>
        <v>649</v>
      </c>
      <c r="B659" s="43">
        <v>-713.36824821176424</v>
      </c>
      <c r="C659" s="43">
        <f>($F$22+B659)*$F$23/Main!$K$3</f>
        <v>231.68733017385168</v>
      </c>
    </row>
    <row r="660" spans="1:3" x14ac:dyDescent="0.2">
      <c r="A660" s="43">
        <f t="shared" ref="A660:A723" si="11">A659+1</f>
        <v>650</v>
      </c>
      <c r="B660" s="43">
        <v>11537.747566151782</v>
      </c>
      <c r="C660" s="43">
        <f>($F$22+B660)*$F$23/Main!$K$3</f>
        <v>337.93330410596923</v>
      </c>
    </row>
    <row r="661" spans="1:3" x14ac:dyDescent="0.2">
      <c r="A661" s="43">
        <f t="shared" si="11"/>
        <v>651</v>
      </c>
      <c r="B661" s="43">
        <v>12.949606398921844</v>
      </c>
      <c r="C661" s="43">
        <f>($F$22+B661)*$F$23/Main!$K$3</f>
        <v>237.98621339532318</v>
      </c>
    </row>
    <row r="662" spans="1:3" x14ac:dyDescent="0.2">
      <c r="A662" s="43">
        <f t="shared" si="11"/>
        <v>652</v>
      </c>
      <c r="B662" s="43">
        <v>246.99915175266761</v>
      </c>
      <c r="C662" s="43">
        <f>($F$22+B662)*$F$23/Main!$K$3</f>
        <v>240.01597315527286</v>
      </c>
    </row>
    <row r="663" spans="1:3" x14ac:dyDescent="0.2">
      <c r="A663" s="43">
        <f t="shared" si="11"/>
        <v>653</v>
      </c>
      <c r="B663" s="43">
        <v>2072.311598958207</v>
      </c>
      <c r="C663" s="43">
        <f>($F$22+B663)*$F$23/Main!$K$3</f>
        <v>255.84572300192744</v>
      </c>
    </row>
    <row r="664" spans="1:3" x14ac:dyDescent="0.2">
      <c r="A664" s="43">
        <f t="shared" si="11"/>
        <v>654</v>
      </c>
      <c r="B664" s="43">
        <v>1632.7926656699274</v>
      </c>
      <c r="C664" s="43">
        <f>($F$22+B664)*$F$23/Main!$K$3</f>
        <v>252.03406063285004</v>
      </c>
    </row>
    <row r="665" spans="1:3" x14ac:dyDescent="0.2">
      <c r="A665" s="43">
        <f t="shared" si="11"/>
        <v>655</v>
      </c>
      <c r="B665" s="43">
        <v>1276.2984280187245</v>
      </c>
      <c r="C665" s="43">
        <f>($F$22+B665)*$F$23/Main!$K$3</f>
        <v>248.94241754871291</v>
      </c>
    </row>
    <row r="666" spans="1:3" x14ac:dyDescent="0.2">
      <c r="A666" s="43">
        <f t="shared" si="11"/>
        <v>656</v>
      </c>
      <c r="B666" s="43">
        <v>4915.4039025947868</v>
      </c>
      <c r="C666" s="43">
        <f>($F$22+B666)*$F$23/Main!$K$3</f>
        <v>280.50201679229582</v>
      </c>
    </row>
    <row r="667" spans="1:3" x14ac:dyDescent="0.2">
      <c r="A667" s="43">
        <f t="shared" si="11"/>
        <v>657</v>
      </c>
      <c r="B667" s="43">
        <v>12497.24522606941</v>
      </c>
      <c r="C667" s="43">
        <f>($F$22+B667)*$F$23/Main!$K$3</f>
        <v>346.25440439660684</v>
      </c>
    </row>
    <row r="668" spans="1:3" x14ac:dyDescent="0.2">
      <c r="A668" s="43">
        <f t="shared" si="11"/>
        <v>658</v>
      </c>
      <c r="B668" s="43">
        <v>2361.5633412498873</v>
      </c>
      <c r="C668" s="43">
        <f>($F$22+B668)*$F$23/Main!$K$3</f>
        <v>258.35421557819632</v>
      </c>
    </row>
    <row r="669" spans="1:3" x14ac:dyDescent="0.2">
      <c r="A669" s="43">
        <f t="shared" si="11"/>
        <v>659</v>
      </c>
      <c r="B669" s="43">
        <v>-5474.7790890608139</v>
      </c>
      <c r="C669" s="43">
        <f>($F$22+B669)*$F$23/Main!$K$3</f>
        <v>190.39470509852251</v>
      </c>
    </row>
    <row r="670" spans="1:3" x14ac:dyDescent="0.2">
      <c r="A670" s="43">
        <f t="shared" si="11"/>
        <v>660</v>
      </c>
      <c r="B670" s="43">
        <v>2643.8517459338832</v>
      </c>
      <c r="C670" s="43">
        <f>($F$22+B670)*$F$23/Main!$K$3</f>
        <v>260.80231964805029</v>
      </c>
    </row>
    <row r="671" spans="1:3" x14ac:dyDescent="0.2">
      <c r="A671" s="43">
        <f t="shared" si="11"/>
        <v>661</v>
      </c>
      <c r="B671" s="43">
        <v>3344.3134860012351</v>
      </c>
      <c r="C671" s="43">
        <f>($F$22+B671)*$F$23/Main!$K$3</f>
        <v>266.87696957409111</v>
      </c>
    </row>
    <row r="672" spans="1:3" x14ac:dyDescent="0.2">
      <c r="A672" s="43">
        <f t="shared" si="11"/>
        <v>662</v>
      </c>
      <c r="B672" s="43">
        <v>-2853.8641745787268</v>
      </c>
      <c r="C672" s="43">
        <f>($F$22+B672)*$F$23/Main!$K$3</f>
        <v>213.12419863215524</v>
      </c>
    </row>
    <row r="673" spans="1:3" x14ac:dyDescent="0.2">
      <c r="A673" s="43">
        <f t="shared" si="11"/>
        <v>663</v>
      </c>
      <c r="B673" s="43">
        <v>2359.2645780119328</v>
      </c>
      <c r="C673" s="43">
        <f>($F$22+B673)*$F$23/Main!$K$3</f>
        <v>258.33427989700971</v>
      </c>
    </row>
    <row r="674" spans="1:3" x14ac:dyDescent="0.2">
      <c r="A674" s="43">
        <f t="shared" si="11"/>
        <v>664</v>
      </c>
      <c r="B674" s="43">
        <v>19813.907776922268</v>
      </c>
      <c r="C674" s="43">
        <f>($F$22+B674)*$F$23/Main!$K$3</f>
        <v>409.70706866222474</v>
      </c>
    </row>
    <row r="675" spans="1:3" x14ac:dyDescent="0.2">
      <c r="A675" s="43">
        <f t="shared" si="11"/>
        <v>665</v>
      </c>
      <c r="B675" s="43">
        <v>-814.78063517945748</v>
      </c>
      <c r="C675" s="43">
        <f>($F$22+B675)*$F$23/Main!$K$3</f>
        <v>230.80784637944245</v>
      </c>
    </row>
    <row r="676" spans="1:3" x14ac:dyDescent="0.2">
      <c r="A676" s="43">
        <f t="shared" si="11"/>
        <v>666</v>
      </c>
      <c r="B676" s="43">
        <v>5447.3889726567513</v>
      </c>
      <c r="C676" s="43">
        <f>($F$22+B676)*$F$23/Main!$K$3</f>
        <v>285.11557793582955</v>
      </c>
    </row>
    <row r="677" spans="1:3" x14ac:dyDescent="0.2">
      <c r="A677" s="43">
        <f t="shared" si="11"/>
        <v>667</v>
      </c>
      <c r="B677" s="43">
        <v>4957.3185889497763</v>
      </c>
      <c r="C677" s="43">
        <f>($F$22+B677)*$F$23/Main!$K$3</f>
        <v>280.86551565569113</v>
      </c>
    </row>
    <row r="678" spans="1:3" x14ac:dyDescent="0.2">
      <c r="A678" s="43">
        <f t="shared" si="11"/>
        <v>668</v>
      </c>
      <c r="B678" s="43">
        <v>32877.862615377089</v>
      </c>
      <c r="C678" s="43">
        <f>($F$22+B678)*$F$23/Main!$K$3</f>
        <v>523.00226774845908</v>
      </c>
    </row>
    <row r="679" spans="1:3" x14ac:dyDescent="0.2">
      <c r="A679" s="43">
        <f t="shared" si="11"/>
        <v>669</v>
      </c>
      <c r="B679" s="43">
        <v>-9520.3889057563192</v>
      </c>
      <c r="C679" s="43">
        <f>($F$22+B679)*$F$23/Main!$K$3</f>
        <v>155.3097576017235</v>
      </c>
    </row>
    <row r="680" spans="1:3" x14ac:dyDescent="0.2">
      <c r="A680" s="43">
        <f t="shared" si="11"/>
        <v>670</v>
      </c>
      <c r="B680" s="43">
        <v>1528.5869248183344</v>
      </c>
      <c r="C680" s="43">
        <f>($F$22+B680)*$F$23/Main!$K$3</f>
        <v>251.13035189367423</v>
      </c>
    </row>
    <row r="681" spans="1:3" x14ac:dyDescent="0.2">
      <c r="A681" s="43">
        <f t="shared" si="11"/>
        <v>671</v>
      </c>
      <c r="B681" s="43">
        <v>-56.662258346052958</v>
      </c>
      <c r="C681" s="43">
        <f>($F$22+B681)*$F$23/Main!$K$3</f>
        <v>237.38251488498918</v>
      </c>
    </row>
    <row r="682" spans="1:3" x14ac:dyDescent="0.2">
      <c r="A682" s="43">
        <f t="shared" si="11"/>
        <v>672</v>
      </c>
      <c r="B682" s="43">
        <v>15319.089068217934</v>
      </c>
      <c r="C682" s="43">
        <f>($F$22+B682)*$F$23/Main!$K$3</f>
        <v>370.72642407516645</v>
      </c>
    </row>
    <row r="683" spans="1:3" x14ac:dyDescent="0.2">
      <c r="A683" s="43">
        <f t="shared" si="11"/>
        <v>673</v>
      </c>
      <c r="B683" s="43">
        <v>4486.4841876906839</v>
      </c>
      <c r="C683" s="43">
        <f>($F$22+B683)*$F$23/Main!$K$3</f>
        <v>276.78227456316404</v>
      </c>
    </row>
    <row r="684" spans="1:3" x14ac:dyDescent="0.2">
      <c r="A684" s="43">
        <f t="shared" si="11"/>
        <v>674</v>
      </c>
      <c r="B684" s="43">
        <v>900.65518324631853</v>
      </c>
      <c r="C684" s="43">
        <f>($F$22+B684)*$F$23/Main!$K$3</f>
        <v>245.68470755750766</v>
      </c>
    </row>
    <row r="685" spans="1:3" x14ac:dyDescent="0.2">
      <c r="A685" s="43">
        <f t="shared" si="11"/>
        <v>675</v>
      </c>
      <c r="B685" s="43">
        <v>19850.859772060696</v>
      </c>
      <c r="C685" s="43">
        <f>($F$22+B685)*$F$23/Main!$K$3</f>
        <v>410.02752932651902</v>
      </c>
    </row>
    <row r="686" spans="1:3" x14ac:dyDescent="0.2">
      <c r="A686" s="43">
        <f t="shared" si="11"/>
        <v>676</v>
      </c>
      <c r="B686" s="43">
        <v>7704.7879406876746</v>
      </c>
      <c r="C686" s="43">
        <f>($F$22+B686)*$F$23/Main!$K$3</f>
        <v>304.69253366345464</v>
      </c>
    </row>
    <row r="687" spans="1:3" x14ac:dyDescent="0.2">
      <c r="A687" s="43">
        <f t="shared" si="11"/>
        <v>677</v>
      </c>
      <c r="B687" s="43">
        <v>1973.6160636891468</v>
      </c>
      <c r="C687" s="43">
        <f>($F$22+B687)*$F$23/Main!$K$3</f>
        <v>254.98980069849787</v>
      </c>
    </row>
    <row r="688" spans="1:3" x14ac:dyDescent="0.2">
      <c r="A688" s="43">
        <f t="shared" si="11"/>
        <v>678</v>
      </c>
      <c r="B688" s="43">
        <v>17360.435405717551</v>
      </c>
      <c r="C688" s="43">
        <f>($F$22+B688)*$F$23/Main!$K$3</f>
        <v>388.42969560135077</v>
      </c>
    </row>
    <row r="689" spans="1:3" x14ac:dyDescent="0.2">
      <c r="A689" s="43">
        <f t="shared" si="11"/>
        <v>679</v>
      </c>
      <c r="B689" s="43">
        <v>6392.2355413757296</v>
      </c>
      <c r="C689" s="43">
        <f>($F$22+B689)*$F$23/Main!$K$3</f>
        <v>293.30961882411111</v>
      </c>
    </row>
    <row r="690" spans="1:3" x14ac:dyDescent="0.2">
      <c r="A690" s="43">
        <f t="shared" si="11"/>
        <v>680</v>
      </c>
      <c r="B690" s="43">
        <v>4484.7637073096748</v>
      </c>
      <c r="C690" s="43">
        <f>($F$22+B690)*$F$23/Main!$K$3</f>
        <v>276.76735395376966</v>
      </c>
    </row>
    <row r="691" spans="1:3" x14ac:dyDescent="0.2">
      <c r="A691" s="43">
        <f t="shared" si="11"/>
        <v>681</v>
      </c>
      <c r="B691" s="43">
        <v>527.09622305267976</v>
      </c>
      <c r="C691" s="43">
        <f>($F$22+B691)*$F$23/Main!$K$3</f>
        <v>242.4450732133192</v>
      </c>
    </row>
    <row r="692" spans="1:3" x14ac:dyDescent="0.2">
      <c r="A692" s="43">
        <f t="shared" si="11"/>
        <v>682</v>
      </c>
      <c r="B692" s="43">
        <v>1735.9466858057956</v>
      </c>
      <c r="C692" s="43">
        <f>($F$22+B692)*$F$23/Main!$K$3</f>
        <v>252.92864848104418</v>
      </c>
    </row>
    <row r="693" spans="1:3" x14ac:dyDescent="0.2">
      <c r="A693" s="43">
        <f t="shared" si="11"/>
        <v>683</v>
      </c>
      <c r="B693" s="43">
        <v>242.14454369458844</v>
      </c>
      <c r="C693" s="43">
        <f>($F$22+B693)*$F$23/Main!$K$3</f>
        <v>239.97387229123686</v>
      </c>
    </row>
    <row r="694" spans="1:3" x14ac:dyDescent="0.2">
      <c r="A694" s="43">
        <f t="shared" si="11"/>
        <v>684</v>
      </c>
      <c r="B694" s="43">
        <v>-144.5215166581439</v>
      </c>
      <c r="C694" s="43">
        <f>($F$22+B694)*$F$23/Main!$K$3</f>
        <v>236.62056857660662</v>
      </c>
    </row>
    <row r="695" spans="1:3" x14ac:dyDescent="0.2">
      <c r="A695" s="43">
        <f t="shared" si="11"/>
        <v>685</v>
      </c>
      <c r="B695" s="43">
        <v>11340.913136267145</v>
      </c>
      <c r="C695" s="43">
        <f>($F$22+B695)*$F$23/Main!$K$3</f>
        <v>336.22628688212194</v>
      </c>
    </row>
    <row r="696" spans="1:3" x14ac:dyDescent="0.2">
      <c r="A696" s="43">
        <f t="shared" si="11"/>
        <v>686</v>
      </c>
      <c r="B696" s="43">
        <v>-1840.4215184461607</v>
      </c>
      <c r="C696" s="43">
        <f>($F$22+B696)*$F$23/Main!$K$3</f>
        <v>221.91312885342671</v>
      </c>
    </row>
    <row r="697" spans="1:3" x14ac:dyDescent="0.2">
      <c r="A697" s="43">
        <f t="shared" si="11"/>
        <v>687</v>
      </c>
      <c r="B697" s="43">
        <v>-10.361519766747328</v>
      </c>
      <c r="C697" s="43">
        <f>($F$22+B697)*$F$23/Main!$K$3</f>
        <v>237.78405113186452</v>
      </c>
    </row>
    <row r="698" spans="1:3" x14ac:dyDescent="0.2">
      <c r="A698" s="43">
        <f t="shared" si="11"/>
        <v>688</v>
      </c>
      <c r="B698" s="43">
        <v>8075.555503091864</v>
      </c>
      <c r="C698" s="43">
        <f>($F$22+B698)*$F$23/Main!$K$3</f>
        <v>307.90796002681373</v>
      </c>
    </row>
    <row r="699" spans="1:3" x14ac:dyDescent="0.2">
      <c r="A699" s="43">
        <f t="shared" si="11"/>
        <v>689</v>
      </c>
      <c r="B699" s="43">
        <v>14704.941074322211</v>
      </c>
      <c r="C699" s="43">
        <f>($F$22+B699)*$F$23/Main!$K$3</f>
        <v>365.40031723407321</v>
      </c>
    </row>
    <row r="700" spans="1:3" x14ac:dyDescent="0.2">
      <c r="A700" s="43">
        <f t="shared" si="11"/>
        <v>690</v>
      </c>
      <c r="B700" s="43">
        <v>4425.4477129710758</v>
      </c>
      <c r="C700" s="43">
        <f>($F$22+B700)*$F$23/Main!$K$3</f>
        <v>276.25294484330584</v>
      </c>
    </row>
    <row r="701" spans="1:3" x14ac:dyDescent="0.2">
      <c r="A701" s="43">
        <f t="shared" si="11"/>
        <v>691</v>
      </c>
      <c r="B701" s="43">
        <v>7320.7487474356294</v>
      </c>
      <c r="C701" s="43">
        <f>($F$22+B701)*$F$23/Main!$K$3</f>
        <v>301.36201106180476</v>
      </c>
    </row>
    <row r="702" spans="1:3" x14ac:dyDescent="0.2">
      <c r="A702" s="43">
        <f t="shared" si="11"/>
        <v>692</v>
      </c>
      <c r="B702" s="43">
        <v>6337.8011462988143</v>
      </c>
      <c r="C702" s="43">
        <f>($F$22+B702)*$F$23/Main!$K$3</f>
        <v>292.83754465486913</v>
      </c>
    </row>
    <row r="703" spans="1:3" x14ac:dyDescent="0.2">
      <c r="A703" s="43">
        <f t="shared" si="11"/>
        <v>693</v>
      </c>
      <c r="B703" s="43">
        <v>12196.909766509267</v>
      </c>
      <c r="C703" s="43">
        <f>($F$22+B703)*$F$23/Main!$K$3</f>
        <v>343.64978993610964</v>
      </c>
    </row>
    <row r="704" spans="1:3" x14ac:dyDescent="0.2">
      <c r="A704" s="43">
        <f t="shared" si="11"/>
        <v>694</v>
      </c>
      <c r="B704" s="43">
        <v>9535.0058703691993</v>
      </c>
      <c r="C704" s="43">
        <f>($F$22+B704)*$F$23/Main!$K$3</f>
        <v>320.5648255749436</v>
      </c>
    </row>
    <row r="705" spans="1:3" x14ac:dyDescent="0.2">
      <c r="A705" s="43">
        <f t="shared" si="11"/>
        <v>695</v>
      </c>
      <c r="B705" s="43">
        <v>488.32010919535662</v>
      </c>
      <c r="C705" s="43">
        <f>($F$22+B705)*$F$23/Main!$K$3</f>
        <v>242.10879315160892</v>
      </c>
    </row>
    <row r="706" spans="1:3" x14ac:dyDescent="0.2">
      <c r="A706" s="43">
        <f t="shared" si="11"/>
        <v>696</v>
      </c>
      <c r="B706" s="43">
        <v>1465.4458584439858</v>
      </c>
      <c r="C706" s="43">
        <f>($F$22+B706)*$F$23/Main!$K$3</f>
        <v>250.58277041671278</v>
      </c>
    </row>
    <row r="707" spans="1:3" x14ac:dyDescent="0.2">
      <c r="A707" s="43">
        <f t="shared" si="11"/>
        <v>697</v>
      </c>
      <c r="B707" s="43">
        <v>5619.9024567190427</v>
      </c>
      <c r="C707" s="43">
        <f>($F$22+B707)*$F$23/Main!$K$3</f>
        <v>286.61167538591911</v>
      </c>
    </row>
    <row r="708" spans="1:3" x14ac:dyDescent="0.2">
      <c r="A708" s="43">
        <f t="shared" si="11"/>
        <v>698</v>
      </c>
      <c r="B708" s="43">
        <v>1687.7381296989238</v>
      </c>
      <c r="C708" s="43">
        <f>($F$22+B708)*$F$23/Main!$K$3</f>
        <v>252.51056697132316</v>
      </c>
    </row>
    <row r="709" spans="1:3" x14ac:dyDescent="0.2">
      <c r="A709" s="43">
        <f t="shared" si="11"/>
        <v>699</v>
      </c>
      <c r="B709" s="43">
        <v>1059.0762199267422</v>
      </c>
      <c r="C709" s="43">
        <f>($F$22+B709)*$F$23/Main!$K$3</f>
        <v>247.05859036038783</v>
      </c>
    </row>
    <row r="710" spans="1:3" x14ac:dyDescent="0.2">
      <c r="A710" s="43">
        <f t="shared" si="11"/>
        <v>700</v>
      </c>
      <c r="B710" s="43">
        <v>-258.89746517832452</v>
      </c>
      <c r="C710" s="43">
        <f>($F$22+B710)*$F$23/Main!$K$3</f>
        <v>235.62866022890415</v>
      </c>
    </row>
    <row r="711" spans="1:3" x14ac:dyDescent="0.2">
      <c r="A711" s="43">
        <f t="shared" si="11"/>
        <v>701</v>
      </c>
      <c r="B711" s="43">
        <v>10.617758901653866</v>
      </c>
      <c r="C711" s="43">
        <f>($F$22+B711)*$F$23/Main!$K$3</f>
        <v>237.96599079583407</v>
      </c>
    </row>
    <row r="712" spans="1:3" x14ac:dyDescent="0.2">
      <c r="A712" s="43">
        <f t="shared" si="11"/>
        <v>702</v>
      </c>
      <c r="B712" s="43">
        <v>10130.528557293777</v>
      </c>
      <c r="C712" s="43">
        <f>($F$22+B712)*$F$23/Main!$K$3</f>
        <v>325.7294072203797</v>
      </c>
    </row>
    <row r="713" spans="1:3" x14ac:dyDescent="0.2">
      <c r="A713" s="43">
        <f t="shared" si="11"/>
        <v>703</v>
      </c>
      <c r="B713" s="43">
        <v>7215.1451311573519</v>
      </c>
      <c r="C713" s="43">
        <f>($F$22+B713)*$F$23/Main!$K$3</f>
        <v>300.44617945656563</v>
      </c>
    </row>
    <row r="714" spans="1:3" x14ac:dyDescent="0.2">
      <c r="A714" s="43">
        <f t="shared" si="11"/>
        <v>704</v>
      </c>
      <c r="B714" s="43">
        <v>8835.5662572412166</v>
      </c>
      <c r="C714" s="43">
        <f>($F$22+B714)*$F$23/Main!$K$3</f>
        <v>314.49903989227465</v>
      </c>
    </row>
    <row r="715" spans="1:3" x14ac:dyDescent="0.2">
      <c r="A715" s="43">
        <f t="shared" si="11"/>
        <v>705</v>
      </c>
      <c r="B715" s="43">
        <v>5367.5147998119037</v>
      </c>
      <c r="C715" s="43">
        <f>($F$22+B715)*$F$23/Main!$K$3</f>
        <v>284.42288108972076</v>
      </c>
    </row>
    <row r="716" spans="1:3" x14ac:dyDescent="0.2">
      <c r="A716" s="43">
        <f t="shared" si="11"/>
        <v>706</v>
      </c>
      <c r="B716" s="43">
        <v>4911.806532447109</v>
      </c>
      <c r="C716" s="43">
        <f>($F$22+B716)*$F$23/Main!$K$3</f>
        <v>280.47081913644757</v>
      </c>
    </row>
    <row r="717" spans="1:3" x14ac:dyDescent="0.2">
      <c r="A717" s="43">
        <f t="shared" si="11"/>
        <v>707</v>
      </c>
      <c r="B717" s="43">
        <v>9165.6650920017219</v>
      </c>
      <c r="C717" s="43">
        <f>($F$22+B717)*$F$23/Main!$K$3</f>
        <v>317.36177278325488</v>
      </c>
    </row>
    <row r="718" spans="1:3" x14ac:dyDescent="0.2">
      <c r="A718" s="43">
        <f t="shared" si="11"/>
        <v>708</v>
      </c>
      <c r="B718" s="43">
        <v>4857.9042581336589</v>
      </c>
      <c r="C718" s="43">
        <f>($F$22+B718)*$F$23/Main!$K$3</f>
        <v>280.00335970512992</v>
      </c>
    </row>
    <row r="719" spans="1:3" x14ac:dyDescent="0.2">
      <c r="A719" s="43">
        <f t="shared" si="11"/>
        <v>709</v>
      </c>
      <c r="B719" s="43">
        <v>833.70570910909817</v>
      </c>
      <c r="C719" s="43">
        <f>($F$22+B719)*$F$23/Main!$K$3</f>
        <v>245.10409823246869</v>
      </c>
    </row>
    <row r="720" spans="1:3" x14ac:dyDescent="0.2">
      <c r="A720" s="43">
        <f t="shared" si="11"/>
        <v>710</v>
      </c>
      <c r="B720" s="43">
        <v>10803.969257594612</v>
      </c>
      <c r="C720" s="43">
        <f>($F$22+B720)*$F$23/Main!$K$3</f>
        <v>331.56972121080827</v>
      </c>
    </row>
    <row r="721" spans="1:3" x14ac:dyDescent="0.2">
      <c r="A721" s="43">
        <f t="shared" si="11"/>
        <v>711</v>
      </c>
      <c r="B721" s="43">
        <v>14459.772154061677</v>
      </c>
      <c r="C721" s="43">
        <f>($F$22+B721)*$F$23/Main!$K$3</f>
        <v>363.27412635434729</v>
      </c>
    </row>
    <row r="722" spans="1:3" x14ac:dyDescent="0.2">
      <c r="A722" s="43">
        <f t="shared" si="11"/>
        <v>712</v>
      </c>
      <c r="B722" s="43">
        <v>-1954.4393102511281</v>
      </c>
      <c r="C722" s="43">
        <f>($F$22+B722)*$F$23/Main!$K$3</f>
        <v>220.92432656639704</v>
      </c>
    </row>
    <row r="723" spans="1:3" x14ac:dyDescent="0.2">
      <c r="A723" s="43">
        <f t="shared" si="11"/>
        <v>713</v>
      </c>
      <c r="B723" s="43">
        <v>4066.3765790697757</v>
      </c>
      <c r="C723" s="43">
        <f>($F$22+B723)*$F$23/Main!$K$3</f>
        <v>273.13895401093396</v>
      </c>
    </row>
    <row r="724" spans="1:3" x14ac:dyDescent="0.2">
      <c r="A724" s="43">
        <f t="shared" ref="A724:A787" si="12">A723+1</f>
        <v>714</v>
      </c>
      <c r="B724" s="43">
        <v>2299.4199671994138</v>
      </c>
      <c r="C724" s="43">
        <f>($F$22+B724)*$F$23/Main!$K$3</f>
        <v>257.81528643904971</v>
      </c>
    </row>
    <row r="725" spans="1:3" x14ac:dyDescent="0.2">
      <c r="A725" s="43">
        <f t="shared" si="12"/>
        <v>715</v>
      </c>
      <c r="B725" s="43">
        <v>15968.942465438227</v>
      </c>
      <c r="C725" s="43">
        <f>($F$22+B725)*$F$23/Main!$K$3</f>
        <v>376.36218069905016</v>
      </c>
    </row>
    <row r="726" spans="1:3" x14ac:dyDescent="0.2">
      <c r="A726" s="43">
        <f t="shared" si="12"/>
        <v>716</v>
      </c>
      <c r="B726" s="43">
        <v>4628.5689743027879</v>
      </c>
      <c r="C726" s="43">
        <f>($F$22+B726)*$F$23/Main!$K$3</f>
        <v>278.0144836748305</v>
      </c>
    </row>
    <row r="727" spans="1:3" x14ac:dyDescent="0.2">
      <c r="A727" s="43">
        <f t="shared" si="12"/>
        <v>717</v>
      </c>
      <c r="B727" s="43">
        <v>-181.35372841030494</v>
      </c>
      <c r="C727" s="43">
        <f>($F$22+B727)*$F$23/Main!$K$3</f>
        <v>236.30114671585704</v>
      </c>
    </row>
    <row r="728" spans="1:3" x14ac:dyDescent="0.2">
      <c r="A728" s="43">
        <f t="shared" si="12"/>
        <v>718</v>
      </c>
      <c r="B728" s="43">
        <v>17808.462158848932</v>
      </c>
      <c r="C728" s="43">
        <f>($F$22+B728)*$F$23/Main!$K$3</f>
        <v>392.31514076858025</v>
      </c>
    </row>
    <row r="729" spans="1:3" x14ac:dyDescent="0.2">
      <c r="A729" s="43">
        <f t="shared" si="12"/>
        <v>719</v>
      </c>
      <c r="B729" s="43">
        <v>200.41911623885611</v>
      </c>
      <c r="C729" s="43">
        <f>($F$22+B729)*$F$23/Main!$K$3</f>
        <v>239.61201474740639</v>
      </c>
    </row>
    <row r="730" spans="1:3" x14ac:dyDescent="0.2">
      <c r="A730" s="43">
        <f t="shared" si="12"/>
        <v>720</v>
      </c>
      <c r="B730" s="43">
        <v>9425.6874762179741</v>
      </c>
      <c r="C730" s="43">
        <f>($F$22+B730)*$F$23/Main!$K$3</f>
        <v>319.61677811287694</v>
      </c>
    </row>
    <row r="731" spans="1:3" x14ac:dyDescent="0.2">
      <c r="A731" s="43">
        <f t="shared" si="12"/>
        <v>721</v>
      </c>
      <c r="B731" s="43">
        <v>6148.3915138004959</v>
      </c>
      <c r="C731" s="43">
        <f>($F$22+B731)*$F$23/Main!$K$3</f>
        <v>291.19491787851342</v>
      </c>
    </row>
    <row r="732" spans="1:3" x14ac:dyDescent="0.2">
      <c r="A732" s="43">
        <f t="shared" si="12"/>
        <v>722</v>
      </c>
      <c r="B732" s="43">
        <v>17154.379792127285</v>
      </c>
      <c r="C732" s="43">
        <f>($F$22+B732)*$F$23/Main!$K$3</f>
        <v>386.64270903769341</v>
      </c>
    </row>
    <row r="733" spans="1:3" x14ac:dyDescent="0.2">
      <c r="A733" s="43">
        <f t="shared" si="12"/>
        <v>723</v>
      </c>
      <c r="B733" s="43">
        <v>8344.5497554398098</v>
      </c>
      <c r="C733" s="43">
        <f>($F$22+B733)*$F$23/Main!$K$3</f>
        <v>310.24077254413089</v>
      </c>
    </row>
    <row r="734" spans="1:3" x14ac:dyDescent="0.2">
      <c r="A734" s="43">
        <f t="shared" si="12"/>
        <v>724</v>
      </c>
      <c r="B734" s="43">
        <v>2822.3088883925748</v>
      </c>
      <c r="C734" s="43">
        <f>($F$22+B734)*$F$23/Main!$K$3</f>
        <v>262.34996258873952</v>
      </c>
    </row>
    <row r="735" spans="1:3" x14ac:dyDescent="0.2">
      <c r="A735" s="43">
        <f t="shared" si="12"/>
        <v>725</v>
      </c>
      <c r="B735" s="43">
        <v>6087.8255504849321</v>
      </c>
      <c r="C735" s="43">
        <f>($F$22+B735)*$F$23/Main!$K$3</f>
        <v>290.66966859860258</v>
      </c>
    </row>
    <row r="736" spans="1:3" x14ac:dyDescent="0.2">
      <c r="A736" s="43">
        <f t="shared" si="12"/>
        <v>726</v>
      </c>
      <c r="B736" s="43">
        <v>38065.540864737806</v>
      </c>
      <c r="C736" s="43">
        <f>($F$22+B736)*$F$23/Main!$K$3</f>
        <v>567.99163332147771</v>
      </c>
    </row>
    <row r="737" spans="1:3" x14ac:dyDescent="0.2">
      <c r="A737" s="43">
        <f t="shared" si="12"/>
        <v>727</v>
      </c>
      <c r="B737" s="43">
        <v>18870.017961896527</v>
      </c>
      <c r="C737" s="43">
        <f>($F$22+B737)*$F$23/Main!$K$3</f>
        <v>401.52132507759228</v>
      </c>
    </row>
    <row r="738" spans="1:3" x14ac:dyDescent="0.2">
      <c r="A738" s="43">
        <f t="shared" si="12"/>
        <v>728</v>
      </c>
      <c r="B738" s="43">
        <v>3835.4659651081984</v>
      </c>
      <c r="C738" s="43">
        <f>($F$22+B738)*$F$23/Main!$K$3</f>
        <v>271.13641616512837</v>
      </c>
    </row>
    <row r="739" spans="1:3" x14ac:dyDescent="0.2">
      <c r="A739" s="43">
        <f t="shared" si="12"/>
        <v>729</v>
      </c>
      <c r="B739" s="43">
        <v>5977.0674309905462</v>
      </c>
      <c r="C739" s="43">
        <f>($F$22+B739)*$F$23/Main!$K$3</f>
        <v>289.70913533331628</v>
      </c>
    </row>
    <row r="740" spans="1:3" x14ac:dyDescent="0.2">
      <c r="A740" s="43">
        <f t="shared" si="12"/>
        <v>730</v>
      </c>
      <c r="B740" s="43">
        <v>692.00292406489405</v>
      </c>
      <c r="C740" s="43">
        <f>($F$22+B740)*$F$23/Main!$K$3</f>
        <v>243.87520197240201</v>
      </c>
    </row>
    <row r="741" spans="1:3" x14ac:dyDescent="0.2">
      <c r="A741" s="43">
        <f t="shared" si="12"/>
        <v>731</v>
      </c>
      <c r="B741" s="43">
        <v>371.06073966383275</v>
      </c>
      <c r="C741" s="43">
        <f>($F$22+B741)*$F$23/Main!$K$3</f>
        <v>241.09187876541594</v>
      </c>
    </row>
    <row r="742" spans="1:3" x14ac:dyDescent="0.2">
      <c r="A742" s="43">
        <f t="shared" si="12"/>
        <v>732</v>
      </c>
      <c r="B742" s="43">
        <v>1622.516375662824</v>
      </c>
      <c r="C742" s="43">
        <f>($F$22+B742)*$F$23/Main!$K$3</f>
        <v>251.94494104107102</v>
      </c>
    </row>
    <row r="743" spans="1:3" x14ac:dyDescent="0.2">
      <c r="A743" s="43">
        <f t="shared" si="12"/>
        <v>733</v>
      </c>
      <c r="B743" s="43">
        <v>-758.19339248817562</v>
      </c>
      <c r="C743" s="43">
        <f>($F$22+B743)*$F$23/Main!$K$3</f>
        <v>231.29859079839733</v>
      </c>
    </row>
    <row r="744" spans="1:3" x14ac:dyDescent="0.2">
      <c r="A744" s="43">
        <f t="shared" si="12"/>
        <v>734</v>
      </c>
      <c r="B744" s="43">
        <v>23365.191714718185</v>
      </c>
      <c r="C744" s="43">
        <f>($F$22+B744)*$F$23/Main!$K$3</f>
        <v>440.50504873178249</v>
      </c>
    </row>
    <row r="745" spans="1:3" x14ac:dyDescent="0.2">
      <c r="A745" s="43">
        <f t="shared" si="12"/>
        <v>735</v>
      </c>
      <c r="B745" s="43">
        <v>7186.6933856713749</v>
      </c>
      <c r="C745" s="43">
        <f>($F$22+B745)*$F$23/Main!$K$3</f>
        <v>300.19943593907453</v>
      </c>
    </row>
    <row r="746" spans="1:3" x14ac:dyDescent="0.2">
      <c r="A746" s="43">
        <f t="shared" si="12"/>
        <v>736</v>
      </c>
      <c r="B746" s="43">
        <v>26949.233706743893</v>
      </c>
      <c r="C746" s="43">
        <f>($F$22+B746)*$F$23/Main!$K$3</f>
        <v>471.58711813887516</v>
      </c>
    </row>
    <row r="747" spans="1:3" x14ac:dyDescent="0.2">
      <c r="A747" s="43">
        <f t="shared" si="12"/>
        <v>737</v>
      </c>
      <c r="B747" s="43">
        <v>5076.2446333996304</v>
      </c>
      <c r="C747" s="43">
        <f>($F$22+B747)*$F$23/Main!$K$3</f>
        <v>281.89688403143163</v>
      </c>
    </row>
    <row r="748" spans="1:3" x14ac:dyDescent="0.2">
      <c r="A748" s="43">
        <f t="shared" si="12"/>
        <v>738</v>
      </c>
      <c r="B748" s="43">
        <v>6777.2818520784385</v>
      </c>
      <c r="C748" s="43">
        <f>($F$22+B748)*$F$23/Main!$K$3</f>
        <v>296.64887550158153</v>
      </c>
    </row>
    <row r="749" spans="1:3" x14ac:dyDescent="0.2">
      <c r="A749" s="43">
        <f t="shared" si="12"/>
        <v>739</v>
      </c>
      <c r="B749" s="43">
        <v>5304.0090674364656</v>
      </c>
      <c r="C749" s="43">
        <f>($F$22+B749)*$F$23/Main!$K$3</f>
        <v>283.87213710127605</v>
      </c>
    </row>
    <row r="750" spans="1:3" x14ac:dyDescent="0.2">
      <c r="A750" s="43">
        <f t="shared" si="12"/>
        <v>740</v>
      </c>
      <c r="B750" s="43">
        <v>3176.1259206734221</v>
      </c>
      <c r="C750" s="43">
        <f>($F$22+B750)*$F$23/Main!$K$3</f>
        <v>265.41838800876343</v>
      </c>
    </row>
    <row r="751" spans="1:3" x14ac:dyDescent="0.2">
      <c r="A751" s="43">
        <f t="shared" si="12"/>
        <v>741</v>
      </c>
      <c r="B751" s="43">
        <v>3283.0249122169466</v>
      </c>
      <c r="C751" s="43">
        <f>($F$22+B751)*$F$23/Main!$K$3</f>
        <v>266.34545356270968</v>
      </c>
    </row>
    <row r="752" spans="1:3" x14ac:dyDescent="0.2">
      <c r="A752" s="43">
        <f t="shared" si="12"/>
        <v>742</v>
      </c>
      <c r="B752" s="43">
        <v>6260.9383620317822</v>
      </c>
      <c r="C752" s="43">
        <f>($F$22+B752)*$F$23/Main!$K$3</f>
        <v>292.17096362687732</v>
      </c>
    </row>
    <row r="753" spans="1:3" x14ac:dyDescent="0.2">
      <c r="A753" s="43">
        <f t="shared" si="12"/>
        <v>743</v>
      </c>
      <c r="B753" s="43">
        <v>4400.4617777052972</v>
      </c>
      <c r="C753" s="43">
        <f>($F$22+B753)*$F$23/Main!$K$3</f>
        <v>276.03625804782183</v>
      </c>
    </row>
    <row r="754" spans="1:3" x14ac:dyDescent="0.2">
      <c r="A754" s="43">
        <f t="shared" si="12"/>
        <v>744</v>
      </c>
      <c r="B754" s="43">
        <v>6702.5384254288047</v>
      </c>
      <c r="C754" s="43">
        <f>($F$22+B754)*$F$23/Main!$K$3</f>
        <v>296.00067428630098</v>
      </c>
    </row>
    <row r="755" spans="1:3" x14ac:dyDescent="0.2">
      <c r="A755" s="43">
        <f t="shared" si="12"/>
        <v>745</v>
      </c>
      <c r="B755" s="43">
        <v>7844.4405708236254</v>
      </c>
      <c r="C755" s="43">
        <f>($F$22+B755)*$F$23/Main!$K$3</f>
        <v>305.90365026097953</v>
      </c>
    </row>
    <row r="756" spans="1:3" x14ac:dyDescent="0.2">
      <c r="A756" s="43">
        <f t="shared" si="12"/>
        <v>746</v>
      </c>
      <c r="B756" s="43">
        <v>6453.9300963473524</v>
      </c>
      <c r="C756" s="43">
        <f>($F$22+B756)*$F$23/Main!$K$3</f>
        <v>293.84465564676384</v>
      </c>
    </row>
    <row r="757" spans="1:3" x14ac:dyDescent="0.2">
      <c r="A757" s="43">
        <f t="shared" si="12"/>
        <v>747</v>
      </c>
      <c r="B757" s="43">
        <v>-17961.716612363223</v>
      </c>
      <c r="C757" s="43">
        <f>($F$22+B757)*$F$23/Main!$K$3</f>
        <v>82.103602582184948</v>
      </c>
    </row>
    <row r="758" spans="1:3" x14ac:dyDescent="0.2">
      <c r="A758" s="43">
        <f t="shared" si="12"/>
        <v>748</v>
      </c>
      <c r="B758" s="43">
        <v>930.08282251240314</v>
      </c>
      <c r="C758" s="43">
        <f>($F$22+B758)*$F$23/Main!$K$3</f>
        <v>245.93991436819525</v>
      </c>
    </row>
    <row r="759" spans="1:3" x14ac:dyDescent="0.2">
      <c r="A759" s="43">
        <f t="shared" si="12"/>
        <v>749</v>
      </c>
      <c r="B759" s="43">
        <v>2177.514688968673</v>
      </c>
      <c r="C759" s="43">
        <f>($F$22+B759)*$F$23/Main!$K$3</f>
        <v>256.75808110287085</v>
      </c>
    </row>
    <row r="760" spans="1:3" x14ac:dyDescent="0.2">
      <c r="A760" s="43">
        <f t="shared" si="12"/>
        <v>750</v>
      </c>
      <c r="B760" s="43">
        <v>2421.0076958661593</v>
      </c>
      <c r="C760" s="43">
        <f>($F$22+B760)*$F$23/Main!$K$3</f>
        <v>258.86973787401593</v>
      </c>
    </row>
    <row r="761" spans="1:3" x14ac:dyDescent="0.2">
      <c r="A761" s="43">
        <f t="shared" si="12"/>
        <v>751</v>
      </c>
      <c r="B761" s="43">
        <v>8953.5637525092607</v>
      </c>
      <c r="C761" s="43">
        <f>($F$22+B761)*$F$23/Main!$K$3</f>
        <v>315.52235556378309</v>
      </c>
    </row>
    <row r="762" spans="1:3" x14ac:dyDescent="0.2">
      <c r="A762" s="43">
        <f t="shared" si="12"/>
        <v>752</v>
      </c>
      <c r="B762" s="43">
        <v>4541.3056130188479</v>
      </c>
      <c r="C762" s="43">
        <f>($F$22+B762)*$F$23/Main!$K$3</f>
        <v>277.2577051945118</v>
      </c>
    </row>
    <row r="763" spans="1:3" x14ac:dyDescent="0.2">
      <c r="A763" s="43">
        <f t="shared" si="12"/>
        <v>753</v>
      </c>
      <c r="B763" s="43">
        <v>7713.8677603932374</v>
      </c>
      <c r="C763" s="43">
        <f>($F$22+B763)*$F$23/Main!$K$3</f>
        <v>304.77127704506682</v>
      </c>
    </row>
    <row r="764" spans="1:3" x14ac:dyDescent="0.2">
      <c r="A764" s="43">
        <f t="shared" si="12"/>
        <v>754</v>
      </c>
      <c r="B764" s="43">
        <v>1517.2569095238948</v>
      </c>
      <c r="C764" s="43">
        <f>($F$22+B764)*$F$23/Main!$K$3</f>
        <v>251.03209402656532</v>
      </c>
    </row>
    <row r="765" spans="1:3" x14ac:dyDescent="0.2">
      <c r="A765" s="43">
        <f t="shared" si="12"/>
        <v>755</v>
      </c>
      <c r="B765" s="43">
        <v>15208.418827974294</v>
      </c>
      <c r="C765" s="43">
        <f>($F$22+B765)*$F$23/Main!$K$3</f>
        <v>369.76665292957</v>
      </c>
    </row>
    <row r="766" spans="1:3" x14ac:dyDescent="0.2">
      <c r="A766" s="43">
        <f t="shared" si="12"/>
        <v>756</v>
      </c>
      <c r="B766" s="43">
        <v>2468.3655415469052</v>
      </c>
      <c r="C766" s="43">
        <f>($F$22+B766)*$F$23/Main!$K$3</f>
        <v>259.28044172449933</v>
      </c>
    </row>
    <row r="767" spans="1:3" x14ac:dyDescent="0.2">
      <c r="A767" s="43">
        <f t="shared" si="12"/>
        <v>757</v>
      </c>
      <c r="B767" s="43">
        <v>16568.428453982495</v>
      </c>
      <c r="C767" s="43">
        <f>($F$22+B767)*$F$23/Main!$K$3</f>
        <v>381.56113348642555</v>
      </c>
    </row>
    <row r="768" spans="1:3" x14ac:dyDescent="0.2">
      <c r="A768" s="43">
        <f t="shared" si="12"/>
        <v>758</v>
      </c>
      <c r="B768" s="43">
        <v>679.13132561868406</v>
      </c>
      <c r="C768" s="43">
        <f>($F$22+B768)*$F$23/Main!$K$3</f>
        <v>243.76357495542635</v>
      </c>
    </row>
    <row r="769" spans="1:3" x14ac:dyDescent="0.2">
      <c r="A769" s="43">
        <f t="shared" si="12"/>
        <v>759</v>
      </c>
      <c r="B769" s="43">
        <v>10495.481173932958</v>
      </c>
      <c r="C769" s="43">
        <f>($F$22+B769)*$F$23/Main!$K$3</f>
        <v>328.89440433422982</v>
      </c>
    </row>
    <row r="770" spans="1:3" x14ac:dyDescent="0.2">
      <c r="A770" s="43">
        <f t="shared" si="12"/>
        <v>760</v>
      </c>
      <c r="B770" s="43">
        <v>6122.541539874469</v>
      </c>
      <c r="C770" s="43">
        <f>($F$22+B770)*$F$23/Main!$K$3</f>
        <v>290.97073783667014</v>
      </c>
    </row>
    <row r="771" spans="1:3" x14ac:dyDescent="0.2">
      <c r="A771" s="43">
        <f t="shared" si="12"/>
        <v>761</v>
      </c>
      <c r="B771" s="43">
        <v>15300.07568587598</v>
      </c>
      <c r="C771" s="43">
        <f>($F$22+B771)*$F$23/Main!$K$3</f>
        <v>370.56153335376001</v>
      </c>
    </row>
    <row r="772" spans="1:3" x14ac:dyDescent="0.2">
      <c r="A772" s="43">
        <f t="shared" si="12"/>
        <v>762</v>
      </c>
      <c r="B772" s="43">
        <v>4774.8864938213628</v>
      </c>
      <c r="C772" s="43">
        <f>($F$22+B772)*$F$23/Main!$K$3</f>
        <v>279.28340053106956</v>
      </c>
    </row>
    <row r="773" spans="1:3" x14ac:dyDescent="0.2">
      <c r="A773" s="43">
        <f t="shared" si="12"/>
        <v>763</v>
      </c>
      <c r="B773" s="43">
        <v>-7867.8699909838097</v>
      </c>
      <c r="C773" s="43">
        <f>($F$22+B773)*$F$23/Main!$K$3</f>
        <v>169.6409813205789</v>
      </c>
    </row>
    <row r="774" spans="1:3" x14ac:dyDescent="0.2">
      <c r="A774" s="43">
        <f t="shared" si="12"/>
        <v>764</v>
      </c>
      <c r="B774" s="43">
        <v>13852.165769184168</v>
      </c>
      <c r="C774" s="43">
        <f>($F$22+B774)*$F$23/Main!$K$3</f>
        <v>358.00475064140232</v>
      </c>
    </row>
    <row r="775" spans="1:3" x14ac:dyDescent="0.2">
      <c r="A775" s="43">
        <f t="shared" si="12"/>
        <v>765</v>
      </c>
      <c r="B775" s="43">
        <v>5760.276430196297</v>
      </c>
      <c r="C775" s="43">
        <f>($F$22+B775)*$F$23/Main!$K$3</f>
        <v>287.82904772594105</v>
      </c>
    </row>
    <row r="776" spans="1:3" x14ac:dyDescent="0.2">
      <c r="A776" s="43">
        <f t="shared" si="12"/>
        <v>766</v>
      </c>
      <c r="B776" s="43">
        <v>14565.181301339735</v>
      </c>
      <c r="C776" s="43">
        <f>($F$22+B776)*$F$23/Main!$K$3</f>
        <v>364.18827145619844</v>
      </c>
    </row>
    <row r="777" spans="1:3" x14ac:dyDescent="0.2">
      <c r="A777" s="43">
        <f t="shared" si="12"/>
        <v>767</v>
      </c>
      <c r="B777" s="43">
        <v>971.18589500296639</v>
      </c>
      <c r="C777" s="43">
        <f>($F$22+B777)*$F$23/Main!$K$3</f>
        <v>246.29637463145082</v>
      </c>
    </row>
    <row r="778" spans="1:3" x14ac:dyDescent="0.2">
      <c r="A778" s="43">
        <f t="shared" si="12"/>
        <v>768</v>
      </c>
      <c r="B778" s="43">
        <v>12981.761198788838</v>
      </c>
      <c r="C778" s="43">
        <f>($F$22+B778)*$F$23/Main!$K$3</f>
        <v>350.45629687621988</v>
      </c>
    </row>
    <row r="779" spans="1:3" x14ac:dyDescent="0.2">
      <c r="A779" s="43">
        <f t="shared" si="12"/>
        <v>769</v>
      </c>
      <c r="B779" s="43">
        <v>14718.789218414075</v>
      </c>
      <c r="C779" s="43">
        <f>($F$22+B779)*$F$23/Main!$K$3</f>
        <v>365.52041319745217</v>
      </c>
    </row>
    <row r="780" spans="1:3" x14ac:dyDescent="0.2">
      <c r="A780" s="43">
        <f t="shared" si="12"/>
        <v>770</v>
      </c>
      <c r="B780" s="43">
        <v>-595.56322105217407</v>
      </c>
      <c r="C780" s="43">
        <f>($F$22+B780)*$F$23/Main!$K$3</f>
        <v>232.70897669440748</v>
      </c>
    </row>
    <row r="781" spans="1:3" x14ac:dyDescent="0.2">
      <c r="A781" s="43">
        <f t="shared" si="12"/>
        <v>771</v>
      </c>
      <c r="B781" s="43">
        <v>11144.165421044265</v>
      </c>
      <c r="C781" s="43">
        <f>($F$22+B781)*$F$23/Main!$K$3</f>
        <v>334.52002167824014</v>
      </c>
    </row>
    <row r="782" spans="1:3" x14ac:dyDescent="0.2">
      <c r="A782" s="43">
        <f t="shared" si="12"/>
        <v>772</v>
      </c>
      <c r="B782" s="43">
        <v>12171.288965781085</v>
      </c>
      <c r="C782" s="43">
        <f>($F$22+B782)*$F$23/Main!$K$3</f>
        <v>343.42759736463012</v>
      </c>
    </row>
    <row r="783" spans="1:3" x14ac:dyDescent="0.2">
      <c r="A783" s="43">
        <f t="shared" si="12"/>
        <v>773</v>
      </c>
      <c r="B783" s="43">
        <v>8434.7454372369521</v>
      </c>
      <c r="C783" s="43">
        <f>($F$22+B783)*$F$23/Main!$K$3</f>
        <v>311.02298113657383</v>
      </c>
    </row>
    <row r="784" spans="1:3" x14ac:dyDescent="0.2">
      <c r="A784" s="43">
        <f t="shared" si="12"/>
        <v>774</v>
      </c>
      <c r="B784" s="43">
        <v>8919.4718289566117</v>
      </c>
      <c r="C784" s="43">
        <f>($F$22+B784)*$F$23/Main!$K$3</f>
        <v>315.22669844357011</v>
      </c>
    </row>
    <row r="785" spans="1:3" x14ac:dyDescent="0.2">
      <c r="A785" s="43">
        <f t="shared" si="12"/>
        <v>775</v>
      </c>
      <c r="B785" s="43">
        <v>-6183.3863055211505</v>
      </c>
      <c r="C785" s="43">
        <f>($F$22+B785)*$F$23/Main!$K$3</f>
        <v>184.24941474383607</v>
      </c>
    </row>
    <row r="786" spans="1:3" x14ac:dyDescent="0.2">
      <c r="A786" s="43">
        <f t="shared" si="12"/>
        <v>776</v>
      </c>
      <c r="B786" s="43">
        <v>6118.8030667184812</v>
      </c>
      <c r="C786" s="43">
        <f>($F$22+B786)*$F$23/Main!$K$3</f>
        <v>290.938316486036</v>
      </c>
    </row>
    <row r="787" spans="1:3" x14ac:dyDescent="0.2">
      <c r="A787" s="43">
        <f t="shared" si="12"/>
        <v>777</v>
      </c>
      <c r="B787" s="43">
        <v>3746.0264529590827</v>
      </c>
      <c r="C787" s="43">
        <f>($F$22+B787)*$F$23/Main!$K$3</f>
        <v>270.36076534113113</v>
      </c>
    </row>
    <row r="788" spans="1:3" x14ac:dyDescent="0.2">
      <c r="A788" s="43">
        <f t="shared" ref="A788:A851" si="13">A787+1</f>
        <v>778</v>
      </c>
      <c r="B788" s="43">
        <v>-28.441496311363174</v>
      </c>
      <c r="C788" s="43">
        <f>($F$22+B788)*$F$23/Main!$K$3</f>
        <v>237.62725523296356</v>
      </c>
    </row>
    <row r="789" spans="1:3" x14ac:dyDescent="0.2">
      <c r="A789" s="43">
        <f t="shared" si="13"/>
        <v>779</v>
      </c>
      <c r="B789" s="43">
        <v>989.97357486049918</v>
      </c>
      <c r="C789" s="43">
        <f>($F$22+B789)*$F$23/Main!$K$3</f>
        <v>246.45930798173782</v>
      </c>
    </row>
    <row r="790" spans="1:3" x14ac:dyDescent="0.2">
      <c r="A790" s="43">
        <f t="shared" si="13"/>
        <v>780</v>
      </c>
      <c r="B790" s="43">
        <v>4825.2339856322678</v>
      </c>
      <c r="C790" s="43">
        <f>($F$22+B790)*$F$23/Main!$K$3</f>
        <v>279.72003164153688</v>
      </c>
    </row>
    <row r="791" spans="1:3" x14ac:dyDescent="0.2">
      <c r="A791" s="43">
        <f t="shared" si="13"/>
        <v>781</v>
      </c>
      <c r="B791" s="43">
        <v>-337.63898339319024</v>
      </c>
      <c r="C791" s="43">
        <f>($F$22+B791)*$F$23/Main!$K$3</f>
        <v>234.94578616107248</v>
      </c>
    </row>
    <row r="792" spans="1:3" x14ac:dyDescent="0.2">
      <c r="A792" s="43">
        <f t="shared" si="13"/>
        <v>782</v>
      </c>
      <c r="B792" s="43">
        <v>6881.5375361320648</v>
      </c>
      <c r="C792" s="43">
        <f>($F$22+B792)*$F$23/Main!$K$3</f>
        <v>297.55301736572505</v>
      </c>
    </row>
    <row r="793" spans="1:3" x14ac:dyDescent="0.2">
      <c r="A793" s="43">
        <f t="shared" si="13"/>
        <v>783</v>
      </c>
      <c r="B793" s="43">
        <v>-549.94849623920527</v>
      </c>
      <c r="C793" s="43">
        <f>($F$22+B793)*$F$23/Main!$K$3</f>
        <v>233.10456358925316</v>
      </c>
    </row>
    <row r="794" spans="1:3" x14ac:dyDescent="0.2">
      <c r="A794" s="43">
        <f t="shared" si="13"/>
        <v>784</v>
      </c>
      <c r="B794" s="43">
        <v>3419.6012835700421</v>
      </c>
      <c r="C794" s="43">
        <f>($F$22+B794)*$F$23/Main!$K$3</f>
        <v>267.52989176494361</v>
      </c>
    </row>
    <row r="795" spans="1:3" x14ac:dyDescent="0.2">
      <c r="A795" s="43">
        <f t="shared" si="13"/>
        <v>785</v>
      </c>
      <c r="B795" s="43">
        <v>11629.223207787478</v>
      </c>
      <c r="C795" s="43">
        <f>($F$22+B795)*$F$23/Main!$K$3</f>
        <v>338.72661295913139</v>
      </c>
    </row>
    <row r="796" spans="1:3" x14ac:dyDescent="0.2">
      <c r="A796" s="43">
        <f t="shared" si="13"/>
        <v>786</v>
      </c>
      <c r="B796" s="43">
        <v>3822.2495688809513</v>
      </c>
      <c r="C796" s="43">
        <f>($F$22+B796)*$F$23/Main!$K$3</f>
        <v>271.02179894084333</v>
      </c>
    </row>
    <row r="797" spans="1:3" x14ac:dyDescent="0.2">
      <c r="A797" s="43">
        <f t="shared" si="13"/>
        <v>787</v>
      </c>
      <c r="B797" s="43">
        <v>23747.298000435938</v>
      </c>
      <c r="C797" s="43">
        <f>($F$22+B797)*$F$23/Main!$K$3</f>
        <v>443.81880848124717</v>
      </c>
    </row>
    <row r="798" spans="1:3" x14ac:dyDescent="0.2">
      <c r="A798" s="43">
        <f t="shared" si="13"/>
        <v>788</v>
      </c>
      <c r="B798" s="43">
        <v>1287.3175047857803</v>
      </c>
      <c r="C798" s="43">
        <f>($F$22+B798)*$F$23/Main!$K$3</f>
        <v>249.03797884783771</v>
      </c>
    </row>
    <row r="799" spans="1:3" x14ac:dyDescent="0.2">
      <c r="A799" s="43">
        <f t="shared" si="13"/>
        <v>789</v>
      </c>
      <c r="B799" s="43">
        <v>23065.882469083706</v>
      </c>
      <c r="C799" s="43">
        <f>($F$22+B799)*$F$23/Main!$K$3</f>
        <v>437.90933395843609</v>
      </c>
    </row>
    <row r="800" spans="1:3" x14ac:dyDescent="0.2">
      <c r="A800" s="43">
        <f t="shared" si="13"/>
        <v>790</v>
      </c>
      <c r="B800" s="43">
        <v>31574.376944186864</v>
      </c>
      <c r="C800" s="43">
        <f>($F$22+B800)*$F$23/Main!$K$3</f>
        <v>511.69798275592024</v>
      </c>
    </row>
    <row r="801" spans="1:3" x14ac:dyDescent="0.2">
      <c r="A801" s="43">
        <f t="shared" si="13"/>
        <v>791</v>
      </c>
      <c r="B801" s="43">
        <v>6996.928878914483</v>
      </c>
      <c r="C801" s="43">
        <f>($F$22+B801)*$F$23/Main!$K$3</f>
        <v>298.55373156866153</v>
      </c>
    </row>
    <row r="802" spans="1:3" x14ac:dyDescent="0.2">
      <c r="A802" s="43">
        <f t="shared" si="13"/>
        <v>792</v>
      </c>
      <c r="B802" s="43">
        <v>1682.875926429115</v>
      </c>
      <c r="C802" s="43">
        <f>($F$22+B802)*$F$23/Main!$K$3</f>
        <v>252.46840023894677</v>
      </c>
    </row>
    <row r="803" spans="1:3" x14ac:dyDescent="0.2">
      <c r="A803" s="43">
        <f t="shared" si="13"/>
        <v>793</v>
      </c>
      <c r="B803" s="43">
        <v>12564.300327577383</v>
      </c>
      <c r="C803" s="43">
        <f>($F$22+B803)*$F$23/Main!$K$3</f>
        <v>346.83592975925819</v>
      </c>
    </row>
    <row r="804" spans="1:3" x14ac:dyDescent="0.2">
      <c r="A804" s="43">
        <f t="shared" si="13"/>
        <v>794</v>
      </c>
      <c r="B804" s="43">
        <v>954.77016160944686</v>
      </c>
      <c r="C804" s="43">
        <f>($F$22+B804)*$F$23/Main!$K$3</f>
        <v>246.15401163295891</v>
      </c>
    </row>
    <row r="805" spans="1:3" x14ac:dyDescent="0.2">
      <c r="A805" s="43">
        <f t="shared" si="13"/>
        <v>795</v>
      </c>
      <c r="B805" s="43">
        <v>4597.0276176723619</v>
      </c>
      <c r="C805" s="43">
        <f>($F$22+B805)*$F$23/Main!$K$3</f>
        <v>277.74094596568483</v>
      </c>
    </row>
    <row r="806" spans="1:3" x14ac:dyDescent="0.2">
      <c r="A806" s="43">
        <f t="shared" si="13"/>
        <v>796</v>
      </c>
      <c r="B806" s="43">
        <v>4225.9088827171399</v>
      </c>
      <c r="C806" s="43">
        <f>($F$22+B806)*$F$23/Main!$K$3</f>
        <v>274.52247411077474</v>
      </c>
    </row>
    <row r="807" spans="1:3" x14ac:dyDescent="0.2">
      <c r="A807" s="43">
        <f t="shared" si="13"/>
        <v>797</v>
      </c>
      <c r="B807" s="43">
        <v>1842.8318334981609</v>
      </c>
      <c r="C807" s="43">
        <f>($F$22+B807)*$F$23/Main!$K$3</f>
        <v>253.85559397625687</v>
      </c>
    </row>
    <row r="808" spans="1:3" x14ac:dyDescent="0.2">
      <c r="A808" s="43">
        <f t="shared" si="13"/>
        <v>798</v>
      </c>
      <c r="B808" s="43">
        <v>5883.3184676040073</v>
      </c>
      <c r="C808" s="43">
        <f>($F$22+B808)*$F$23/Main!$K$3</f>
        <v>288.8961114364684</v>
      </c>
    </row>
    <row r="809" spans="1:3" x14ac:dyDescent="0.2">
      <c r="A809" s="43">
        <f t="shared" si="13"/>
        <v>799</v>
      </c>
      <c r="B809" s="43">
        <v>7888.9300281082378</v>
      </c>
      <c r="C809" s="43">
        <f>($F$22+B809)*$F$23/Main!$K$3</f>
        <v>306.2894784410849</v>
      </c>
    </row>
    <row r="810" spans="1:3" x14ac:dyDescent="0.2">
      <c r="A810" s="43">
        <f t="shared" si="13"/>
        <v>800</v>
      </c>
      <c r="B810" s="43">
        <v>4186.4786255317003</v>
      </c>
      <c r="C810" s="43">
        <f>($F$22+B810)*$F$23/Main!$K$3</f>
        <v>274.18052108865493</v>
      </c>
    </row>
    <row r="811" spans="1:3" x14ac:dyDescent="0.2">
      <c r="A811" s="43">
        <f t="shared" si="13"/>
        <v>801</v>
      </c>
      <c r="B811" s="43">
        <v>-194.92084840684365</v>
      </c>
      <c r="C811" s="43">
        <f>($F$22+B811)*$F$23/Main!$K$3</f>
        <v>236.18348789201372</v>
      </c>
    </row>
    <row r="812" spans="1:3" x14ac:dyDescent="0.2">
      <c r="A812" s="43">
        <f t="shared" si="13"/>
        <v>802</v>
      </c>
      <c r="B812" s="43">
        <v>19075.67908170442</v>
      </c>
      <c r="C812" s="43">
        <f>($F$22+B812)*$F$23/Main!$K$3</f>
        <v>403.30489045278381</v>
      </c>
    </row>
    <row r="813" spans="1:3" x14ac:dyDescent="0.2">
      <c r="A813" s="43">
        <f t="shared" si="13"/>
        <v>803</v>
      </c>
      <c r="B813" s="43">
        <v>27274.785100633988</v>
      </c>
      <c r="C813" s="43">
        <f>($F$22+B813)*$F$23/Main!$K$3</f>
        <v>474.41041402742269</v>
      </c>
    </row>
    <row r="814" spans="1:3" x14ac:dyDescent="0.2">
      <c r="A814" s="43">
        <f t="shared" si="13"/>
        <v>804</v>
      </c>
      <c r="B814" s="43">
        <v>18454.226549130894</v>
      </c>
      <c r="C814" s="43">
        <f>($F$22+B814)*$F$23/Main!$K$3</f>
        <v>397.91543608990497</v>
      </c>
    </row>
    <row r="815" spans="1:3" x14ac:dyDescent="0.2">
      <c r="A815" s="43">
        <f t="shared" si="13"/>
        <v>805</v>
      </c>
      <c r="B815" s="43">
        <v>3138.679862540931</v>
      </c>
      <c r="C815" s="43">
        <f>($F$22+B815)*$F$23/Main!$K$3</f>
        <v>265.0936426568714</v>
      </c>
    </row>
    <row r="816" spans="1:3" x14ac:dyDescent="0.2">
      <c r="A816" s="43">
        <f t="shared" si="13"/>
        <v>806</v>
      </c>
      <c r="B816" s="43">
        <v>9156.3726350347515</v>
      </c>
      <c r="C816" s="43">
        <f>($F$22+B816)*$F$23/Main!$K$3</f>
        <v>317.28118533672034</v>
      </c>
    </row>
    <row r="817" spans="1:3" x14ac:dyDescent="0.2">
      <c r="A817" s="43">
        <f t="shared" si="13"/>
        <v>807</v>
      </c>
      <c r="B817" s="43">
        <v>22483.34108581725</v>
      </c>
      <c r="C817" s="43">
        <f>($F$22+B817)*$F$23/Main!$K$3</f>
        <v>432.85733073205705</v>
      </c>
    </row>
    <row r="818" spans="1:3" x14ac:dyDescent="0.2">
      <c r="A818" s="43">
        <f t="shared" si="13"/>
        <v>808</v>
      </c>
      <c r="B818" s="43">
        <v>2645.3303992194092</v>
      </c>
      <c r="C818" s="43">
        <f>($F$22+B818)*$F$23/Main!$K$3</f>
        <v>260.81514304804165</v>
      </c>
    </row>
    <row r="819" spans="1:3" x14ac:dyDescent="0.2">
      <c r="A819" s="43">
        <f t="shared" si="13"/>
        <v>809</v>
      </c>
      <c r="B819" s="43">
        <v>6692.3741258241744</v>
      </c>
      <c r="C819" s="43">
        <f>($F$22+B819)*$F$23/Main!$K$3</f>
        <v>295.91252591457743</v>
      </c>
    </row>
    <row r="820" spans="1:3" x14ac:dyDescent="0.2">
      <c r="A820" s="43">
        <f t="shared" si="13"/>
        <v>810</v>
      </c>
      <c r="B820" s="43">
        <v>47862.132184757786</v>
      </c>
      <c r="C820" s="43">
        <f>($F$22+B820)*$F$23/Main!$K$3</f>
        <v>652.95110981178505</v>
      </c>
    </row>
    <row r="821" spans="1:3" x14ac:dyDescent="0.2">
      <c r="A821" s="43">
        <f t="shared" si="13"/>
        <v>811</v>
      </c>
      <c r="B821" s="43">
        <v>2982.9692214491474</v>
      </c>
      <c r="C821" s="43">
        <f>($F$22+B821)*$F$23/Main!$K$3</f>
        <v>263.74326535532026</v>
      </c>
    </row>
    <row r="822" spans="1:3" x14ac:dyDescent="0.2">
      <c r="A822" s="43">
        <f t="shared" si="13"/>
        <v>812</v>
      </c>
      <c r="B822" s="43">
        <v>-830.75986065031088</v>
      </c>
      <c r="C822" s="43">
        <f>($F$22+B822)*$F$23/Main!$K$3</f>
        <v>230.66926893077928</v>
      </c>
    </row>
    <row r="823" spans="1:3" x14ac:dyDescent="0.2">
      <c r="A823" s="43">
        <f t="shared" si="13"/>
        <v>813</v>
      </c>
      <c r="B823" s="43">
        <v>4002.3310437261348</v>
      </c>
      <c r="C823" s="43">
        <f>($F$22+B823)*$F$23/Main!$K$3</f>
        <v>272.58352866179058</v>
      </c>
    </row>
    <row r="824" spans="1:3" x14ac:dyDescent="0.2">
      <c r="A824" s="43">
        <f t="shared" si="13"/>
        <v>814</v>
      </c>
      <c r="B824" s="43">
        <v>12230.563490909382</v>
      </c>
      <c r="C824" s="43">
        <f>($F$22+B824)*$F$23/Main!$K$3</f>
        <v>343.94164683955512</v>
      </c>
    </row>
    <row r="825" spans="1:3" x14ac:dyDescent="0.2">
      <c r="A825" s="43">
        <f t="shared" si="13"/>
        <v>815</v>
      </c>
      <c r="B825" s="43">
        <v>10449.901359677195</v>
      </c>
      <c r="C825" s="43">
        <f>($F$22+B825)*$F$23/Main!$K$3</f>
        <v>328.49912019598253</v>
      </c>
    </row>
    <row r="826" spans="1:3" x14ac:dyDescent="0.2">
      <c r="A826" s="43">
        <f t="shared" si="13"/>
        <v>816</v>
      </c>
      <c r="B826" s="43">
        <v>11589.499552944157</v>
      </c>
      <c r="C826" s="43">
        <f>($F$22+B826)*$F$23/Main!$K$3</f>
        <v>338.38211548960101</v>
      </c>
    </row>
    <row r="827" spans="1:3" x14ac:dyDescent="0.2">
      <c r="A827" s="43">
        <f t="shared" si="13"/>
        <v>817</v>
      </c>
      <c r="B827" s="43">
        <v>-729.6848198515828</v>
      </c>
      <c r="C827" s="43">
        <f>($F$22+B827)*$F$23/Main!$K$3</f>
        <v>231.545827140873</v>
      </c>
    </row>
    <row r="828" spans="1:3" x14ac:dyDescent="0.2">
      <c r="A828" s="43">
        <f t="shared" si="13"/>
        <v>818</v>
      </c>
      <c r="B828" s="43">
        <v>4750.4530978830926</v>
      </c>
      <c r="C828" s="43">
        <f>($F$22+B828)*$F$23/Main!$K$3</f>
        <v>279.07150555045996</v>
      </c>
    </row>
    <row r="829" spans="1:3" x14ac:dyDescent="0.2">
      <c r="A829" s="43">
        <f t="shared" si="13"/>
        <v>819</v>
      </c>
      <c r="B829" s="43">
        <v>3872.2947091917899</v>
      </c>
      <c r="C829" s="43">
        <f>($F$22+B829)*$F$23/Main!$K$3</f>
        <v>271.45580795303965</v>
      </c>
    </row>
    <row r="830" spans="1:3" x14ac:dyDescent="0.2">
      <c r="A830" s="43">
        <f t="shared" si="13"/>
        <v>820</v>
      </c>
      <c r="B830" s="43">
        <v>2965.1311954229363</v>
      </c>
      <c r="C830" s="43">
        <f>($F$22+B830)*$F$23/Main!$K$3</f>
        <v>263.58856773618919</v>
      </c>
    </row>
    <row r="831" spans="1:3" x14ac:dyDescent="0.2">
      <c r="A831" s="43">
        <f t="shared" si="13"/>
        <v>821</v>
      </c>
      <c r="B831" s="43">
        <v>-1273.1298109447594</v>
      </c>
      <c r="C831" s="43">
        <f>($F$22+B831)*$F$23/Main!$K$3</f>
        <v>226.83288154211121</v>
      </c>
    </row>
    <row r="832" spans="1:3" x14ac:dyDescent="0.2">
      <c r="A832" s="43">
        <f t="shared" si="13"/>
        <v>822</v>
      </c>
      <c r="B832" s="43">
        <v>6836.3211371912175</v>
      </c>
      <c r="C832" s="43">
        <f>($F$22+B832)*$F$23/Main!$K$3</f>
        <v>297.1608848925718</v>
      </c>
    </row>
    <row r="833" spans="1:3" x14ac:dyDescent="0.2">
      <c r="A833" s="43">
        <f t="shared" si="13"/>
        <v>823</v>
      </c>
      <c r="B833" s="43">
        <v>15541.423992812342</v>
      </c>
      <c r="C833" s="43">
        <f>($F$22+B833)*$F$23/Main!$K$3</f>
        <v>372.65459053449928</v>
      </c>
    </row>
    <row r="834" spans="1:3" x14ac:dyDescent="0.2">
      <c r="A834" s="43">
        <f t="shared" si="13"/>
        <v>824</v>
      </c>
      <c r="B834" s="43">
        <v>7243.9316593592148</v>
      </c>
      <c r="C834" s="43">
        <f>($F$22+B834)*$F$23/Main!$K$3</f>
        <v>300.69582632720784</v>
      </c>
    </row>
    <row r="835" spans="1:3" x14ac:dyDescent="0.2">
      <c r="A835" s="43">
        <f t="shared" si="13"/>
        <v>825</v>
      </c>
      <c r="B835" s="43">
        <v>1211.7220593510183</v>
      </c>
      <c r="C835" s="43">
        <f>($F$22+B835)*$F$23/Main!$K$3</f>
        <v>248.38238862677133</v>
      </c>
    </row>
    <row r="836" spans="1:3" x14ac:dyDescent="0.2">
      <c r="A836" s="43">
        <f t="shared" si="13"/>
        <v>826</v>
      </c>
      <c r="B836" s="43">
        <v>15268.154286636176</v>
      </c>
      <c r="C836" s="43">
        <f>($F$22+B836)*$F$23/Main!$K$3</f>
        <v>370.28469978179004</v>
      </c>
    </row>
    <row r="837" spans="1:3" x14ac:dyDescent="0.2">
      <c r="A837" s="43">
        <f t="shared" si="13"/>
        <v>827</v>
      </c>
      <c r="B837" s="43">
        <v>432.76197497267788</v>
      </c>
      <c r="C837" s="43">
        <f>($F$22+B837)*$F$23/Main!$K$3</f>
        <v>241.62697352229654</v>
      </c>
    </row>
    <row r="838" spans="1:3" x14ac:dyDescent="0.2">
      <c r="A838" s="43">
        <f t="shared" si="13"/>
        <v>828</v>
      </c>
      <c r="B838" s="43">
        <v>4344.5029461264694</v>
      </c>
      <c r="C838" s="43">
        <f>($F$22+B838)*$F$23/Main!$K$3</f>
        <v>275.55096343047558</v>
      </c>
    </row>
    <row r="839" spans="1:3" x14ac:dyDescent="0.2">
      <c r="A839" s="43">
        <f t="shared" si="13"/>
        <v>829</v>
      </c>
      <c r="B839" s="43">
        <v>2971.2164877621526</v>
      </c>
      <c r="C839" s="43">
        <f>($F$22+B839)*$F$23/Main!$K$3</f>
        <v>263.64134152602503</v>
      </c>
    </row>
    <row r="840" spans="1:3" x14ac:dyDescent="0.2">
      <c r="A840" s="43">
        <f t="shared" si="13"/>
        <v>830</v>
      </c>
      <c r="B840" s="43">
        <v>13858.932245018355</v>
      </c>
      <c r="C840" s="43">
        <f>($F$22+B840)*$F$23/Main!$K$3</f>
        <v>358.06343189346006</v>
      </c>
    </row>
    <row r="841" spans="1:3" x14ac:dyDescent="0.2">
      <c r="A841" s="43">
        <f t="shared" si="13"/>
        <v>831</v>
      </c>
      <c r="B841" s="43">
        <v>5883.8547821818538</v>
      </c>
      <c r="C841" s="43">
        <f>($F$22+B841)*$F$23/Main!$K$3</f>
        <v>288.90076254462213</v>
      </c>
    </row>
    <row r="842" spans="1:3" x14ac:dyDescent="0.2">
      <c r="A842" s="43">
        <f t="shared" si="13"/>
        <v>832</v>
      </c>
      <c r="B842" s="43">
        <v>1057.2864016015649</v>
      </c>
      <c r="C842" s="43">
        <f>($F$22+B842)*$F$23/Main!$K$3</f>
        <v>247.04306842801847</v>
      </c>
    </row>
    <row r="843" spans="1:3" x14ac:dyDescent="0.2">
      <c r="A843" s="43">
        <f t="shared" si="13"/>
        <v>833</v>
      </c>
      <c r="B843" s="43">
        <v>3144.8694543383467</v>
      </c>
      <c r="C843" s="43">
        <f>($F$22+B843)*$F$23/Main!$K$3</f>
        <v>265.14732096819614</v>
      </c>
    </row>
    <row r="844" spans="1:3" x14ac:dyDescent="0.2">
      <c r="A844" s="43">
        <f t="shared" si="13"/>
        <v>834</v>
      </c>
      <c r="B844" s="43">
        <v>594.18030573758972</v>
      </c>
      <c r="C844" s="43">
        <f>($F$22+B844)*$F$23/Main!$K$3</f>
        <v>243.02684991090334</v>
      </c>
    </row>
    <row r="845" spans="1:3" x14ac:dyDescent="0.2">
      <c r="A845" s="43">
        <f t="shared" si="13"/>
        <v>835</v>
      </c>
      <c r="B845" s="43">
        <v>2083.0878441042928</v>
      </c>
      <c r="C845" s="43">
        <f>($F$22+B845)*$F$23/Main!$K$3</f>
        <v>255.93917838005183</v>
      </c>
    </row>
    <row r="846" spans="1:3" x14ac:dyDescent="0.2">
      <c r="A846" s="43">
        <f t="shared" si="13"/>
        <v>836</v>
      </c>
      <c r="B846" s="43">
        <v>12383.417727928691</v>
      </c>
      <c r="C846" s="43">
        <f>($F$22+B846)*$F$23/Main!$K$3</f>
        <v>345.26725240298691</v>
      </c>
    </row>
    <row r="847" spans="1:3" x14ac:dyDescent="0.2">
      <c r="A847" s="43">
        <f t="shared" si="13"/>
        <v>837</v>
      </c>
      <c r="B847" s="43">
        <v>10506.635405159937</v>
      </c>
      <c r="C847" s="43">
        <f>($F$22+B847)*$F$23/Main!$K$3</f>
        <v>328.9911377402421</v>
      </c>
    </row>
    <row r="848" spans="1:3" x14ac:dyDescent="0.2">
      <c r="A848" s="43">
        <f t="shared" si="13"/>
        <v>838</v>
      </c>
      <c r="B848" s="43">
        <v>722.08387504421501</v>
      </c>
      <c r="C848" s="43">
        <f>($F$22+B848)*$F$23/Main!$K$3</f>
        <v>244.13607453144314</v>
      </c>
    </row>
    <row r="849" spans="1:3" x14ac:dyDescent="0.2">
      <c r="A849" s="43">
        <f t="shared" si="13"/>
        <v>839</v>
      </c>
      <c r="B849" s="43">
        <v>20621.201992049006</v>
      </c>
      <c r="C849" s="43">
        <f>($F$22+B849)*$F$23/Main!$K$3</f>
        <v>416.70820728792802</v>
      </c>
    </row>
    <row r="850" spans="1:3" x14ac:dyDescent="0.2">
      <c r="A850" s="43">
        <f t="shared" si="13"/>
        <v>840</v>
      </c>
      <c r="B850" s="43">
        <v>11157.962926282515</v>
      </c>
      <c r="C850" s="43">
        <f>($F$22+B850)*$F$23/Main!$K$3</f>
        <v>334.63967848371686</v>
      </c>
    </row>
    <row r="851" spans="1:3" x14ac:dyDescent="0.2">
      <c r="A851" s="43">
        <f t="shared" si="13"/>
        <v>841</v>
      </c>
      <c r="B851" s="43">
        <v>18576.750978637614</v>
      </c>
      <c r="C851" s="43">
        <f>($F$22+B851)*$F$23/Main!$K$3</f>
        <v>398.97801092314234</v>
      </c>
    </row>
    <row r="852" spans="1:3" x14ac:dyDescent="0.2">
      <c r="A852" s="43">
        <f t="shared" ref="A852:A915" si="14">A851+1</f>
        <v>842</v>
      </c>
      <c r="B852" s="43">
        <v>1616.2978649346589</v>
      </c>
      <c r="C852" s="43">
        <f>($F$22+B852)*$F$23/Main!$K$3</f>
        <v>251.89101193463429</v>
      </c>
    </row>
    <row r="853" spans="1:3" x14ac:dyDescent="0.2">
      <c r="A853" s="43">
        <f t="shared" si="14"/>
        <v>843</v>
      </c>
      <c r="B853" s="43">
        <v>20040.91779195163</v>
      </c>
      <c r="C853" s="43">
        <f>($F$22+B853)*$F$23/Main!$K$3</f>
        <v>411.67577914579249</v>
      </c>
    </row>
    <row r="854" spans="1:3" x14ac:dyDescent="0.2">
      <c r="A854" s="43">
        <f t="shared" si="14"/>
        <v>844</v>
      </c>
      <c r="B854" s="43">
        <v>0.45697576251319161</v>
      </c>
      <c r="C854" s="43">
        <f>($F$22+B854)*$F$23/Main!$K$3</f>
        <v>237.87787292013289</v>
      </c>
    </row>
    <row r="855" spans="1:3" x14ac:dyDescent="0.2">
      <c r="A855" s="43">
        <f t="shared" si="14"/>
        <v>845</v>
      </c>
      <c r="B855" s="43">
        <v>1568.9321334275526</v>
      </c>
      <c r="C855" s="43">
        <f>($F$22+B855)*$F$23/Main!$K$3</f>
        <v>251.48023969549837</v>
      </c>
    </row>
    <row r="856" spans="1:3" x14ac:dyDescent="0.2">
      <c r="A856" s="43">
        <f t="shared" si="14"/>
        <v>846</v>
      </c>
      <c r="B856" s="43">
        <v>1431.7981933767328</v>
      </c>
      <c r="C856" s="43">
        <f>($F$22+B856)*$F$23/Main!$K$3</f>
        <v>250.29096606192732</v>
      </c>
    </row>
    <row r="857" spans="1:3" x14ac:dyDescent="0.2">
      <c r="A857" s="43">
        <f t="shared" si="14"/>
        <v>847</v>
      </c>
      <c r="B857" s="43">
        <v>4704.3880416695501</v>
      </c>
      <c r="C857" s="43">
        <f>($F$22+B857)*$F$23/Main!$K$3</f>
        <v>278.67201322373592</v>
      </c>
    </row>
    <row r="858" spans="1:3" x14ac:dyDescent="0.2">
      <c r="A858" s="43">
        <f t="shared" si="14"/>
        <v>848</v>
      </c>
      <c r="B858" s="43">
        <v>20735.832844211352</v>
      </c>
      <c r="C858" s="43">
        <f>($F$22+B858)*$F$23/Main!$K$3</f>
        <v>417.7023262494335</v>
      </c>
    </row>
    <row r="859" spans="1:3" x14ac:dyDescent="0.2">
      <c r="A859" s="43">
        <f t="shared" si="14"/>
        <v>849</v>
      </c>
      <c r="B859" s="43">
        <v>2516.975169897747</v>
      </c>
      <c r="C859" s="43">
        <f>($F$22+B859)*$F$23/Main!$K$3</f>
        <v>259.70200147341285</v>
      </c>
    </row>
    <row r="860" spans="1:3" x14ac:dyDescent="0.2">
      <c r="A860" s="43">
        <f t="shared" si="14"/>
        <v>850</v>
      </c>
      <c r="B860" s="43">
        <v>10946.182161081197</v>
      </c>
      <c r="C860" s="43">
        <f>($F$22+B860)*$F$23/Main!$K$3</f>
        <v>332.80304139695266</v>
      </c>
    </row>
    <row r="861" spans="1:3" x14ac:dyDescent="0.2">
      <c r="A861" s="43">
        <f t="shared" si="14"/>
        <v>851</v>
      </c>
      <c r="B861" s="43">
        <v>8793.8759209619748</v>
      </c>
      <c r="C861" s="43">
        <f>($F$22+B861)*$F$23/Main!$K$3</f>
        <v>314.13748667143636</v>
      </c>
    </row>
    <row r="862" spans="1:3" x14ac:dyDescent="0.2">
      <c r="A862" s="43">
        <f t="shared" si="14"/>
        <v>852</v>
      </c>
      <c r="B862" s="43">
        <v>12957.471895467004</v>
      </c>
      <c r="C862" s="43">
        <f>($F$22+B862)*$F$23/Main!$K$3</f>
        <v>350.24565151732651</v>
      </c>
    </row>
    <row r="863" spans="1:3" x14ac:dyDescent="0.2">
      <c r="A863" s="43">
        <f t="shared" si="14"/>
        <v>853</v>
      </c>
      <c r="B863" s="43">
        <v>3379.2248522580217</v>
      </c>
      <c r="C863" s="43">
        <f>($F$22+B863)*$F$23/Main!$K$3</f>
        <v>267.17973318888806</v>
      </c>
    </row>
    <row r="864" spans="1:3" x14ac:dyDescent="0.2">
      <c r="A864" s="43">
        <f t="shared" si="14"/>
        <v>854</v>
      </c>
      <c r="B864" s="43">
        <v>3898.7016972750225</v>
      </c>
      <c r="C864" s="43">
        <f>($F$22+B864)*$F$23/Main!$K$3</f>
        <v>271.6848186170501</v>
      </c>
    </row>
    <row r="865" spans="1:3" x14ac:dyDescent="0.2">
      <c r="A865" s="43">
        <f t="shared" si="14"/>
        <v>855</v>
      </c>
      <c r="B865" s="43">
        <v>13.192975747261265</v>
      </c>
      <c r="C865" s="43">
        <f>($F$22+B865)*$F$23/Main!$K$3</f>
        <v>237.98832397968391</v>
      </c>
    </row>
    <row r="866" spans="1:3" x14ac:dyDescent="0.2">
      <c r="A866" s="43">
        <f t="shared" si="14"/>
        <v>856</v>
      </c>
      <c r="B866" s="43">
        <v>654.33982961038237</v>
      </c>
      <c r="C866" s="43">
        <f>($F$22+B866)*$F$23/Main!$K$3</f>
        <v>243.54857440539089</v>
      </c>
    </row>
    <row r="867" spans="1:3" x14ac:dyDescent="0.2">
      <c r="A867" s="43">
        <f t="shared" si="14"/>
        <v>857</v>
      </c>
      <c r="B867" s="43">
        <v>2539.7834650197215</v>
      </c>
      <c r="C867" s="43">
        <f>($F$22+B867)*$F$23/Main!$K$3</f>
        <v>259.89980300967164</v>
      </c>
    </row>
    <row r="868" spans="1:3" x14ac:dyDescent="0.2">
      <c r="A868" s="43">
        <f t="shared" si="14"/>
        <v>858</v>
      </c>
      <c r="B868" s="43">
        <v>10277.965420752549</v>
      </c>
      <c r="C868" s="43">
        <f>($F$22+B868)*$F$23/Main!$K$3</f>
        <v>327.00803141992463</v>
      </c>
    </row>
    <row r="869" spans="1:3" x14ac:dyDescent="0.2">
      <c r="A869" s="43">
        <f t="shared" si="14"/>
        <v>859</v>
      </c>
      <c r="B869" s="43">
        <v>330.21953041811202</v>
      </c>
      <c r="C869" s="43">
        <f>($F$22+B869)*$F$23/Main!$K$3</f>
        <v>240.73768947207913</v>
      </c>
    </row>
    <row r="870" spans="1:3" x14ac:dyDescent="0.2">
      <c r="A870" s="43">
        <f t="shared" si="14"/>
        <v>860</v>
      </c>
      <c r="B870" s="43">
        <v>8874.9008830116745</v>
      </c>
      <c r="C870" s="43">
        <f>($F$22+B870)*$F$23/Main!$K$3</f>
        <v>314.84016356521693</v>
      </c>
    </row>
    <row r="871" spans="1:3" x14ac:dyDescent="0.2">
      <c r="A871" s="43">
        <f t="shared" si="14"/>
        <v>861</v>
      </c>
      <c r="B871" s="43">
        <v>3673.8322666524414</v>
      </c>
      <c r="C871" s="43">
        <f>($F$22+B871)*$F$23/Main!$K$3</f>
        <v>269.73467203235737</v>
      </c>
    </row>
    <row r="872" spans="1:3" x14ac:dyDescent="0.2">
      <c r="A872" s="43">
        <f t="shared" si="14"/>
        <v>862</v>
      </c>
      <c r="B872" s="43">
        <v>1438.4968867992225</v>
      </c>
      <c r="C872" s="43">
        <f>($F$22+B872)*$F$23/Main!$K$3</f>
        <v>250.34905948113331</v>
      </c>
    </row>
    <row r="873" spans="1:3" x14ac:dyDescent="0.2">
      <c r="A873" s="43">
        <f t="shared" si="14"/>
        <v>863</v>
      </c>
      <c r="B873" s="43">
        <v>1869.9245248778541</v>
      </c>
      <c r="C873" s="43">
        <f>($F$22+B873)*$F$23/Main!$K$3</f>
        <v>254.0905512997933</v>
      </c>
    </row>
    <row r="874" spans="1:3" x14ac:dyDescent="0.2">
      <c r="A874" s="43">
        <f t="shared" si="14"/>
        <v>864</v>
      </c>
      <c r="B874" s="43">
        <v>-466.14603354433962</v>
      </c>
      <c r="C874" s="43">
        <f>($F$22+B874)*$F$23/Main!$K$3</f>
        <v>233.83132794295284</v>
      </c>
    </row>
    <row r="875" spans="1:3" x14ac:dyDescent="0.2">
      <c r="A875" s="43">
        <f t="shared" si="14"/>
        <v>865</v>
      </c>
      <c r="B875" s="43">
        <v>3406.5176735725113</v>
      </c>
      <c r="C875" s="43">
        <f>($F$22+B875)*$F$23/Main!$K$3</f>
        <v>267.41642610942301</v>
      </c>
    </row>
    <row r="876" spans="1:3" x14ac:dyDescent="0.2">
      <c r="A876" s="43">
        <f t="shared" si="14"/>
        <v>866</v>
      </c>
      <c r="B876" s="43">
        <v>7682.8615298173099</v>
      </c>
      <c r="C876" s="43">
        <f>($F$22+B876)*$F$23/Main!$K$3</f>
        <v>304.50238013678347</v>
      </c>
    </row>
    <row r="877" spans="1:3" x14ac:dyDescent="0.2">
      <c r="A877" s="43">
        <f t="shared" si="14"/>
        <v>867</v>
      </c>
      <c r="B877" s="43">
        <v>1037.5550581015968</v>
      </c>
      <c r="C877" s="43">
        <f>($F$22+B877)*$F$23/Main!$K$3</f>
        <v>246.87195129559484</v>
      </c>
    </row>
    <row r="878" spans="1:3" x14ac:dyDescent="0.2">
      <c r="A878" s="43">
        <f t="shared" si="14"/>
        <v>868</v>
      </c>
      <c r="B878" s="43">
        <v>236.56087749104702</v>
      </c>
      <c r="C878" s="43">
        <f>($F$22+B878)*$F$23/Main!$K$3</f>
        <v>239.92544877921588</v>
      </c>
    </row>
    <row r="879" spans="1:3" x14ac:dyDescent="0.2">
      <c r="A879" s="43">
        <f t="shared" si="14"/>
        <v>869</v>
      </c>
      <c r="B879" s="43">
        <v>7960.7530558475592</v>
      </c>
      <c r="C879" s="43">
        <f>($F$22+B879)*$F$23/Main!$K$3</f>
        <v>306.91235293256346</v>
      </c>
    </row>
    <row r="880" spans="1:3" x14ac:dyDescent="0.2">
      <c r="A880" s="43">
        <f t="shared" si="14"/>
        <v>870</v>
      </c>
      <c r="B880" s="43">
        <v>-4451.1797887532512</v>
      </c>
      <c r="C880" s="43">
        <f>($F$22+B880)*$F$23/Main!$K$3</f>
        <v>199.27171730094622</v>
      </c>
    </row>
    <row r="881" spans="1:3" x14ac:dyDescent="0.2">
      <c r="A881" s="43">
        <f t="shared" si="14"/>
        <v>871</v>
      </c>
      <c r="B881" s="43">
        <v>10084.140307346705</v>
      </c>
      <c r="C881" s="43">
        <f>($F$22+B881)*$F$23/Main!$K$3</f>
        <v>325.32711204422486</v>
      </c>
    </row>
    <row r="882" spans="1:3" x14ac:dyDescent="0.2">
      <c r="A882" s="43">
        <f t="shared" si="14"/>
        <v>872</v>
      </c>
      <c r="B882" s="43">
        <v>4202.3643039201907</v>
      </c>
      <c r="C882" s="43">
        <f>($F$22+B882)*$F$23/Main!$K$3</f>
        <v>274.31828726420434</v>
      </c>
    </row>
    <row r="883" spans="1:3" x14ac:dyDescent="0.2">
      <c r="A883" s="43">
        <f t="shared" si="14"/>
        <v>873</v>
      </c>
      <c r="B883" s="43">
        <v>7530.3077518099326</v>
      </c>
      <c r="C883" s="43">
        <f>($F$22+B883)*$F$23/Main!$K$3</f>
        <v>303.17938025930175</v>
      </c>
    </row>
    <row r="884" spans="1:3" x14ac:dyDescent="0.2">
      <c r="A884" s="43">
        <f t="shared" si="14"/>
        <v>874</v>
      </c>
      <c r="B884" s="43">
        <v>33371.1494596966</v>
      </c>
      <c r="C884" s="43">
        <f>($F$22+B884)*$F$23/Main!$K$3</f>
        <v>527.28022430333715</v>
      </c>
    </row>
    <row r="885" spans="1:3" x14ac:dyDescent="0.2">
      <c r="A885" s="43">
        <f t="shared" si="14"/>
        <v>875</v>
      </c>
      <c r="B885" s="43">
        <v>-589.35873917505637</v>
      </c>
      <c r="C885" s="43">
        <f>($F$22+B885)*$F$23/Main!$K$3</f>
        <v>232.7627841377267</v>
      </c>
    </row>
    <row r="886" spans="1:3" x14ac:dyDescent="0.2">
      <c r="A886" s="43">
        <f t="shared" si="14"/>
        <v>876</v>
      </c>
      <c r="B886" s="43">
        <v>24379.846931221869</v>
      </c>
      <c r="C886" s="43">
        <f>($F$22+B886)*$F$23/Main!$K$3</f>
        <v>449.30449470194844</v>
      </c>
    </row>
    <row r="887" spans="1:3" x14ac:dyDescent="0.2">
      <c r="A887" s="43">
        <f t="shared" si="14"/>
        <v>877</v>
      </c>
      <c r="B887" s="43">
        <v>3777.3736212774552</v>
      </c>
      <c r="C887" s="43">
        <f>($F$22+B887)*$F$23/Main!$K$3</f>
        <v>270.63261898111512</v>
      </c>
    </row>
    <row r="888" spans="1:3" x14ac:dyDescent="0.2">
      <c r="A888" s="43">
        <f t="shared" si="14"/>
        <v>878</v>
      </c>
      <c r="B888" s="43">
        <v>-2005.2255951017137</v>
      </c>
      <c r="C888" s="43">
        <f>($F$22+B888)*$F$23/Main!$K$3</f>
        <v>220.48389008876467</v>
      </c>
    </row>
    <row r="889" spans="1:3" x14ac:dyDescent="0.2">
      <c r="A889" s="43">
        <f t="shared" si="14"/>
        <v>879</v>
      </c>
      <c r="B889" s="43">
        <v>5877.6166617312483</v>
      </c>
      <c r="C889" s="43">
        <f>($F$22+B889)*$F$23/Main!$K$3</f>
        <v>288.84666337579353</v>
      </c>
    </row>
    <row r="890" spans="1:3" x14ac:dyDescent="0.2">
      <c r="A890" s="43">
        <f t="shared" si="14"/>
        <v>880</v>
      </c>
      <c r="B890" s="43">
        <v>777.52565610976626</v>
      </c>
      <c r="C890" s="43">
        <f>($F$22+B890)*$F$23/Main!$K$3</f>
        <v>244.61688510536118</v>
      </c>
    </row>
    <row r="891" spans="1:3" x14ac:dyDescent="0.2">
      <c r="A891" s="43">
        <f t="shared" si="14"/>
        <v>881</v>
      </c>
      <c r="B891" s="43">
        <v>11241.25553724917</v>
      </c>
      <c r="C891" s="43">
        <f>($F$22+B891)*$F$23/Main!$K$3</f>
        <v>335.36202122437771</v>
      </c>
    </row>
    <row r="892" spans="1:3" x14ac:dyDescent="0.2">
      <c r="A892" s="43">
        <f t="shared" si="14"/>
        <v>882</v>
      </c>
      <c r="B892" s="43">
        <v>6667.9420780863366</v>
      </c>
      <c r="C892" s="43">
        <f>($F$22+B892)*$F$23/Main!$K$3</f>
        <v>295.70064262603501</v>
      </c>
    </row>
    <row r="893" spans="1:3" x14ac:dyDescent="0.2">
      <c r="A893" s="43">
        <f t="shared" si="14"/>
        <v>883</v>
      </c>
      <c r="B893" s="43">
        <v>202.02079858054302</v>
      </c>
      <c r="C893" s="43">
        <f>($F$22+B893)*$F$23/Main!$K$3</f>
        <v>239.62590509853038</v>
      </c>
    </row>
    <row r="894" spans="1:3" x14ac:dyDescent="0.2">
      <c r="A894" s="43">
        <f t="shared" si="14"/>
        <v>884</v>
      </c>
      <c r="B894" s="43">
        <v>9453.3044412489144</v>
      </c>
      <c r="C894" s="43">
        <f>($F$22+B894)*$F$23/Main!$K$3</f>
        <v>319.85628212142785</v>
      </c>
    </row>
    <row r="895" spans="1:3" x14ac:dyDescent="0.2">
      <c r="A895" s="43">
        <f t="shared" si="14"/>
        <v>885</v>
      </c>
      <c r="B895" s="43">
        <v>17893.28134334672</v>
      </c>
      <c r="C895" s="43">
        <f>($F$22+B895)*$F$23/Main!$K$3</f>
        <v>393.05072249041251</v>
      </c>
    </row>
    <row r="896" spans="1:3" x14ac:dyDescent="0.2">
      <c r="A896" s="43">
        <f t="shared" si="14"/>
        <v>886</v>
      </c>
      <c r="B896" s="43">
        <v>6181.3223065873099</v>
      </c>
      <c r="C896" s="43">
        <f>($F$22+B896)*$F$23/Main!$K$3</f>
        <v>291.48050526541005</v>
      </c>
    </row>
    <row r="897" spans="1:3" x14ac:dyDescent="0.2">
      <c r="A897" s="43">
        <f t="shared" si="14"/>
        <v>887</v>
      </c>
      <c r="B897" s="43">
        <v>14263.850117315522</v>
      </c>
      <c r="C897" s="43">
        <f>($F$22+B897)*$F$23/Main!$K$3</f>
        <v>361.57502172385688</v>
      </c>
    </row>
    <row r="898" spans="1:3" x14ac:dyDescent="0.2">
      <c r="A898" s="43">
        <f t="shared" si="14"/>
        <v>888</v>
      </c>
      <c r="B898" s="43">
        <v>10429.080245125107</v>
      </c>
      <c r="C898" s="43">
        <f>($F$22+B898)*$F$23/Main!$K$3</f>
        <v>328.31855218671228</v>
      </c>
    </row>
    <row r="899" spans="1:3" x14ac:dyDescent="0.2">
      <c r="A899" s="43">
        <f t="shared" si="14"/>
        <v>889</v>
      </c>
      <c r="B899" s="43">
        <v>1103.4289592168827</v>
      </c>
      <c r="C899" s="43">
        <f>($F$22+B899)*$F$23/Main!$K$3</f>
        <v>247.44323287408551</v>
      </c>
    </row>
    <row r="900" spans="1:3" x14ac:dyDescent="0.2">
      <c r="A900" s="43">
        <f t="shared" si="14"/>
        <v>890</v>
      </c>
      <c r="B900" s="43">
        <v>5636.5968009027247</v>
      </c>
      <c r="C900" s="43">
        <f>($F$22+B900)*$F$23/Main!$K$3</f>
        <v>286.75645459491767</v>
      </c>
    </row>
    <row r="901" spans="1:3" x14ac:dyDescent="0.2">
      <c r="A901" s="43">
        <f t="shared" si="14"/>
        <v>891</v>
      </c>
      <c r="B901" s="43">
        <v>-2577.4431467354725</v>
      </c>
      <c r="C901" s="43">
        <f>($F$22+B901)*$F$23/Main!$K$3</f>
        <v>215.52141875181903</v>
      </c>
    </row>
    <row r="902" spans="1:3" x14ac:dyDescent="0.2">
      <c r="A902" s="43">
        <f t="shared" si="14"/>
        <v>892</v>
      </c>
      <c r="B902" s="43">
        <v>554.34484584805602</v>
      </c>
      <c r="C902" s="43">
        <f>($F$22+B902)*$F$23/Main!$K$3</f>
        <v>242.68138282879193</v>
      </c>
    </row>
    <row r="903" spans="1:3" x14ac:dyDescent="0.2">
      <c r="A903" s="43">
        <f t="shared" si="14"/>
        <v>893</v>
      </c>
      <c r="B903" s="43">
        <v>8782.8269165380116</v>
      </c>
      <c r="C903" s="43">
        <f>($F$22+B903)*$F$23/Main!$K$3</f>
        <v>314.04166582917253</v>
      </c>
    </row>
    <row r="904" spans="1:3" x14ac:dyDescent="0.2">
      <c r="A904" s="43">
        <f t="shared" si="14"/>
        <v>894</v>
      </c>
      <c r="B904" s="43">
        <v>22446.56376570023</v>
      </c>
      <c r="C904" s="43">
        <f>($F$22+B904)*$F$23/Main!$K$3</f>
        <v>432.53838491082291</v>
      </c>
    </row>
    <row r="905" spans="1:3" x14ac:dyDescent="0.2">
      <c r="A905" s="43">
        <f t="shared" si="14"/>
        <v>895</v>
      </c>
      <c r="B905" s="43">
        <v>5222.871547019593</v>
      </c>
      <c r="C905" s="43">
        <f>($F$22+B905)*$F$23/Main!$K$3</f>
        <v>283.16848406185079</v>
      </c>
    </row>
    <row r="906" spans="1:3" x14ac:dyDescent="0.2">
      <c r="A906" s="43">
        <f t="shared" si="14"/>
        <v>896</v>
      </c>
      <c r="B906" s="43">
        <v>2390.8531967268341</v>
      </c>
      <c r="C906" s="43">
        <f>($F$22+B906)*$F$23/Main!$K$3</f>
        <v>258.60822747953114</v>
      </c>
    </row>
    <row r="907" spans="1:3" x14ac:dyDescent="0.2">
      <c r="A907" s="43">
        <f t="shared" si="14"/>
        <v>897</v>
      </c>
      <c r="B907" s="43">
        <v>2649.1461261253107</v>
      </c>
      <c r="C907" s="43">
        <f>($F$22+B907)*$F$23/Main!$K$3</f>
        <v>260.84823437029502</v>
      </c>
    </row>
    <row r="908" spans="1:3" x14ac:dyDescent="0.2">
      <c r="A908" s="43">
        <f t="shared" si="14"/>
        <v>898</v>
      </c>
      <c r="B908" s="43">
        <v>7475.5661326072259</v>
      </c>
      <c r="C908" s="43">
        <f>($F$22+B908)*$F$23/Main!$K$3</f>
        <v>302.70464173466928</v>
      </c>
    </row>
    <row r="909" spans="1:3" x14ac:dyDescent="0.2">
      <c r="A909" s="43">
        <f t="shared" si="14"/>
        <v>899</v>
      </c>
      <c r="B909" s="43">
        <v>1672.3088327254513</v>
      </c>
      <c r="C909" s="43">
        <f>($F$22+B909)*$F$23/Main!$K$3</f>
        <v>252.37675869549966</v>
      </c>
    </row>
    <row r="910" spans="1:3" x14ac:dyDescent="0.2">
      <c r="A910" s="43">
        <f t="shared" si="14"/>
        <v>900</v>
      </c>
      <c r="B910" s="43">
        <v>9533.4578665036606</v>
      </c>
      <c r="C910" s="43">
        <f>($F$22+B910)*$F$23/Main!$K$3</f>
        <v>320.55140074239472</v>
      </c>
    </row>
    <row r="911" spans="1:3" x14ac:dyDescent="0.2">
      <c r="A911" s="43">
        <f t="shared" si="14"/>
        <v>901</v>
      </c>
      <c r="B911" s="43">
        <v>13.181253882848056</v>
      </c>
      <c r="C911" s="43">
        <f>($F$22+B911)*$F$23/Main!$K$3</f>
        <v>237.9882223235638</v>
      </c>
    </row>
    <row r="912" spans="1:3" x14ac:dyDescent="0.2">
      <c r="A912" s="43">
        <f t="shared" si="14"/>
        <v>902</v>
      </c>
      <c r="B912" s="43">
        <v>-14838.558142994263</v>
      </c>
      <c r="C912" s="43">
        <f>($F$22+B912)*$F$23/Main!$K$3</f>
        <v>109.18872840667582</v>
      </c>
    </row>
    <row r="913" spans="1:3" x14ac:dyDescent="0.2">
      <c r="A913" s="43">
        <f t="shared" si="14"/>
        <v>903</v>
      </c>
      <c r="B913" s="43">
        <v>18198.228042028935</v>
      </c>
      <c r="C913" s="43">
        <f>($F$22+B913)*$F$23/Main!$K$3</f>
        <v>395.6953272341608</v>
      </c>
    </row>
    <row r="914" spans="1:3" x14ac:dyDescent="0.2">
      <c r="A914" s="43">
        <f t="shared" si="14"/>
        <v>904</v>
      </c>
      <c r="B914" s="43">
        <v>5127.5229151371068</v>
      </c>
      <c r="C914" s="43">
        <f>($F$22+B914)*$F$23/Main!$K$3</f>
        <v>282.34158727865554</v>
      </c>
    </row>
    <row r="915" spans="1:3" x14ac:dyDescent="0.2">
      <c r="A915" s="43">
        <f t="shared" si="14"/>
        <v>905</v>
      </c>
      <c r="B915" s="43">
        <v>16100.55008292045</v>
      </c>
      <c r="C915" s="43">
        <f>($F$22+B915)*$F$23/Main!$K$3</f>
        <v>377.50352812471817</v>
      </c>
    </row>
    <row r="916" spans="1:3" x14ac:dyDescent="0.2">
      <c r="A916" s="43">
        <f t="shared" ref="A916:A979" si="15">A915+1</f>
        <v>906</v>
      </c>
      <c r="B916" s="43">
        <v>3209.8969969350583</v>
      </c>
      <c r="C916" s="43">
        <f>($F$22+B916)*$F$23/Main!$K$3</f>
        <v>265.71126262871815</v>
      </c>
    </row>
    <row r="917" spans="1:3" x14ac:dyDescent="0.2">
      <c r="A917" s="43">
        <f t="shared" si="15"/>
        <v>907</v>
      </c>
      <c r="B917" s="43">
        <v>19634.326191316766</v>
      </c>
      <c r="C917" s="43">
        <f>($F$22+B917)*$F$23/Main!$K$3</f>
        <v>408.14967415612102</v>
      </c>
    </row>
    <row r="918" spans="1:3" x14ac:dyDescent="0.2">
      <c r="A918" s="43">
        <f t="shared" si="15"/>
        <v>908</v>
      </c>
      <c r="B918" s="43">
        <v>1855.5384517552179</v>
      </c>
      <c r="C918" s="43">
        <f>($F$22+B918)*$F$23/Main!$K$3</f>
        <v>253.96579022715852</v>
      </c>
    </row>
    <row r="919" spans="1:3" x14ac:dyDescent="0.2">
      <c r="A919" s="43">
        <f t="shared" si="15"/>
        <v>909</v>
      </c>
      <c r="B919" s="43">
        <v>2265.7315905805622</v>
      </c>
      <c r="C919" s="43">
        <f>($F$22+B919)*$F$23/Main!$K$3</f>
        <v>257.52312901940758</v>
      </c>
    </row>
    <row r="920" spans="1:3" x14ac:dyDescent="0.2">
      <c r="A920" s="43">
        <f t="shared" si="15"/>
        <v>910</v>
      </c>
      <c r="B920" s="43">
        <v>3107.361681988169</v>
      </c>
      <c r="C920" s="43">
        <f>($F$22+B920)*$F$23/Main!$K$3</f>
        <v>264.82204040895948</v>
      </c>
    </row>
    <row r="921" spans="1:3" x14ac:dyDescent="0.2">
      <c r="A921" s="43">
        <f t="shared" si="15"/>
        <v>911</v>
      </c>
      <c r="B921" s="43">
        <v>27059.528097563209</v>
      </c>
      <c r="C921" s="43">
        <f>($F$22+B921)*$F$23/Main!$K$3</f>
        <v>472.54362978641905</v>
      </c>
    </row>
    <row r="922" spans="1:3" x14ac:dyDescent="0.2">
      <c r="A922" s="43">
        <f t="shared" si="15"/>
        <v>912</v>
      </c>
      <c r="B922" s="43">
        <v>8455.293597687376</v>
      </c>
      <c r="C922" s="43">
        <f>($F$22+B922)*$F$23/Main!$K$3</f>
        <v>311.20118199212442</v>
      </c>
    </row>
    <row r="923" spans="1:3" x14ac:dyDescent="0.2">
      <c r="A923" s="43">
        <f t="shared" si="15"/>
        <v>913</v>
      </c>
      <c r="B923" s="43">
        <v>8966.1286737041828</v>
      </c>
      <c r="C923" s="43">
        <f>($F$22+B923)*$F$23/Main!$K$3</f>
        <v>315.63132296805577</v>
      </c>
    </row>
    <row r="924" spans="1:3" x14ac:dyDescent="0.2">
      <c r="A924" s="43">
        <f t="shared" si="15"/>
        <v>914</v>
      </c>
      <c r="B924" s="43">
        <v>-2063.4218200405121</v>
      </c>
      <c r="C924" s="43">
        <f>($F$22+B924)*$F$23/Main!$K$3</f>
        <v>219.97919201134172</v>
      </c>
    </row>
    <row r="925" spans="1:3" x14ac:dyDescent="0.2">
      <c r="A925" s="43">
        <f t="shared" si="15"/>
        <v>915</v>
      </c>
      <c r="B925" s="43">
        <v>13537.187921166278</v>
      </c>
      <c r="C925" s="43">
        <f>($F$22+B925)*$F$23/Main!$K$3</f>
        <v>355.27315225177085</v>
      </c>
    </row>
    <row r="926" spans="1:3" x14ac:dyDescent="0.2">
      <c r="A926" s="43">
        <f t="shared" si="15"/>
        <v>916</v>
      </c>
      <c r="B926" s="43">
        <v>247.43300084833498</v>
      </c>
      <c r="C926" s="43">
        <f>($F$22+B926)*$F$23/Main!$K$3</f>
        <v>240.01973564682112</v>
      </c>
    </row>
    <row r="927" spans="1:3" x14ac:dyDescent="0.2">
      <c r="A927" s="43">
        <f t="shared" si="15"/>
        <v>917</v>
      </c>
      <c r="B927" s="43">
        <v>4544.8852998817001</v>
      </c>
      <c r="C927" s="43">
        <f>($F$22+B927)*$F$23/Main!$K$3</f>
        <v>277.288749494711</v>
      </c>
    </row>
    <row r="928" spans="1:3" x14ac:dyDescent="0.2">
      <c r="A928" s="43">
        <f t="shared" si="15"/>
        <v>918</v>
      </c>
      <c r="B928" s="43">
        <v>-5894.7264637808812</v>
      </c>
      <c r="C928" s="43">
        <f>($F$22+B928)*$F$23/Main!$K$3</f>
        <v>186.75277415088931</v>
      </c>
    </row>
    <row r="929" spans="1:3" x14ac:dyDescent="0.2">
      <c r="A929" s="43">
        <f t="shared" si="15"/>
        <v>919</v>
      </c>
      <c r="B929" s="43">
        <v>6227.0405532055565</v>
      </c>
      <c r="C929" s="43">
        <f>($F$22+B929)*$F$23/Main!$K$3</f>
        <v>291.87698993766577</v>
      </c>
    </row>
    <row r="930" spans="1:3" x14ac:dyDescent="0.2">
      <c r="A930" s="43">
        <f t="shared" si="15"/>
        <v>920</v>
      </c>
      <c r="B930" s="43">
        <v>3913.6889415523765</v>
      </c>
      <c r="C930" s="43">
        <f>($F$22+B930)*$F$23/Main!$K$3</f>
        <v>271.81479325682449</v>
      </c>
    </row>
    <row r="931" spans="1:3" x14ac:dyDescent="0.2">
      <c r="A931" s="43">
        <f t="shared" si="15"/>
        <v>921</v>
      </c>
      <c r="B931" s="43">
        <v>10488.882296151558</v>
      </c>
      <c r="C931" s="43">
        <f>($F$22+B931)*$F$23/Main!$K$3</f>
        <v>328.83717655127782</v>
      </c>
    </row>
    <row r="932" spans="1:3" x14ac:dyDescent="0.2">
      <c r="A932" s="43">
        <f t="shared" si="15"/>
        <v>922</v>
      </c>
      <c r="B932" s="43">
        <v>9185.4716804636701</v>
      </c>
      <c r="C932" s="43">
        <f>($F$22+B932)*$F$23/Main!$K$3</f>
        <v>317.53354246638406</v>
      </c>
    </row>
    <row r="933" spans="1:3" x14ac:dyDescent="0.2">
      <c r="A933" s="43">
        <f t="shared" si="15"/>
        <v>923</v>
      </c>
      <c r="B933" s="43">
        <v>336.62726275725572</v>
      </c>
      <c r="C933" s="43">
        <f>($F$22+B933)*$F$23/Main!$K$3</f>
        <v>240.79325957470363</v>
      </c>
    </row>
    <row r="934" spans="1:3" x14ac:dyDescent="0.2">
      <c r="A934" s="43">
        <f t="shared" si="15"/>
        <v>924</v>
      </c>
      <c r="B934" s="43">
        <v>17523.675463742493</v>
      </c>
      <c r="C934" s="43">
        <f>($F$22+B934)*$F$23/Main!$K$3</f>
        <v>389.84537064780335</v>
      </c>
    </row>
    <row r="935" spans="1:3" x14ac:dyDescent="0.2">
      <c r="A935" s="43">
        <f t="shared" si="15"/>
        <v>925</v>
      </c>
      <c r="B935" s="43">
        <v>-5934.984218917145</v>
      </c>
      <c r="C935" s="43">
        <f>($F$22+B935)*$F$23/Main!$K$3</f>
        <v>186.40364477626053</v>
      </c>
    </row>
    <row r="936" spans="1:3" x14ac:dyDescent="0.2">
      <c r="A936" s="43">
        <f t="shared" si="15"/>
        <v>926</v>
      </c>
      <c r="B936" s="43">
        <v>14263.195620149367</v>
      </c>
      <c r="C936" s="43">
        <f>($F$22+B936)*$F$23/Main!$K$3</f>
        <v>361.56934569483985</v>
      </c>
    </row>
    <row r="937" spans="1:3" x14ac:dyDescent="0.2">
      <c r="A937" s="43">
        <f t="shared" si="15"/>
        <v>927</v>
      </c>
      <c r="B937" s="43">
        <v>5931.6012636123578</v>
      </c>
      <c r="C937" s="43">
        <f>($F$22+B937)*$F$23/Main!$K$3</f>
        <v>289.31483678065769</v>
      </c>
    </row>
    <row r="938" spans="1:3" x14ac:dyDescent="0.2">
      <c r="A938" s="43">
        <f t="shared" si="15"/>
        <v>928</v>
      </c>
      <c r="B938" s="43">
        <v>32215.828246101919</v>
      </c>
      <c r="C938" s="43">
        <f>($F$22+B938)*$F$23/Main!$K$3</f>
        <v>517.2608734619314</v>
      </c>
    </row>
    <row r="939" spans="1:3" x14ac:dyDescent="0.2">
      <c r="A939" s="43">
        <f t="shared" si="15"/>
        <v>929</v>
      </c>
      <c r="B939" s="43">
        <v>-281.44328430588325</v>
      </c>
      <c r="C939" s="43">
        <f>($F$22+B939)*$F$23/Main!$K$3</f>
        <v>235.43313497654339</v>
      </c>
    </row>
    <row r="940" spans="1:3" x14ac:dyDescent="0.2">
      <c r="A940" s="43">
        <f t="shared" si="15"/>
        <v>930</v>
      </c>
      <c r="B940" s="43">
        <v>-890.13665628527485</v>
      </c>
      <c r="C940" s="43">
        <f>($F$22+B940)*$F$23/Main!$K$3</f>
        <v>230.15433253014476</v>
      </c>
    </row>
    <row r="941" spans="1:3" x14ac:dyDescent="0.2">
      <c r="A941" s="43">
        <f t="shared" si="15"/>
        <v>931</v>
      </c>
      <c r="B941" s="43">
        <v>723.15182147249391</v>
      </c>
      <c r="C941" s="43">
        <f>($F$22+B941)*$F$23/Main!$K$3</f>
        <v>244.14533613749595</v>
      </c>
    </row>
    <row r="942" spans="1:3" x14ac:dyDescent="0.2">
      <c r="A942" s="43">
        <f t="shared" si="15"/>
        <v>932</v>
      </c>
      <c r="B942" s="43">
        <v>26986.265151953296</v>
      </c>
      <c r="C942" s="43">
        <f>($F$22+B942)*$F$23/Main!$K$3</f>
        <v>471.90826782205534</v>
      </c>
    </row>
    <row r="943" spans="1:3" x14ac:dyDescent="0.2">
      <c r="A943" s="43">
        <f t="shared" si="15"/>
        <v>933</v>
      </c>
      <c r="B943" s="43">
        <v>9085.4657839896336</v>
      </c>
      <c r="C943" s="43">
        <f>($F$22+B943)*$F$23/Main!$K$3</f>
        <v>316.66625625092104</v>
      </c>
    </row>
    <row r="944" spans="1:3" x14ac:dyDescent="0.2">
      <c r="A944" s="43">
        <f t="shared" si="15"/>
        <v>934</v>
      </c>
      <c r="B944" s="43">
        <v>17360.919193684444</v>
      </c>
      <c r="C944" s="43">
        <f>($F$22+B944)*$F$23/Main!$K$3</f>
        <v>388.43389118030842</v>
      </c>
    </row>
    <row r="945" spans="1:3" x14ac:dyDescent="0.2">
      <c r="A945" s="43">
        <f t="shared" si="15"/>
        <v>935</v>
      </c>
      <c r="B945" s="43">
        <v>16150.035724058844</v>
      </c>
      <c r="C945" s="43">
        <f>($F$22+B945)*$F$23/Main!$K$3</f>
        <v>377.93268496382336</v>
      </c>
    </row>
    <row r="946" spans="1:3" x14ac:dyDescent="0.2">
      <c r="A946" s="43">
        <f t="shared" si="15"/>
        <v>936</v>
      </c>
      <c r="B946" s="43">
        <v>742.70681549886706</v>
      </c>
      <c r="C946" s="43">
        <f>($F$22+B946)*$F$23/Main!$K$3</f>
        <v>244.31492390542257</v>
      </c>
    </row>
    <row r="947" spans="1:3" x14ac:dyDescent="0.2">
      <c r="A947" s="43">
        <f t="shared" si="15"/>
        <v>937</v>
      </c>
      <c r="B947" s="43">
        <v>-3514.1720286001755</v>
      </c>
      <c r="C947" s="43">
        <f>($F$22+B947)*$F$23/Main!$K$3</f>
        <v>207.39777729155512</v>
      </c>
    </row>
    <row r="948" spans="1:3" x14ac:dyDescent="0.2">
      <c r="A948" s="43">
        <f t="shared" si="15"/>
        <v>938</v>
      </c>
      <c r="B948" s="43">
        <v>154.90400135746975</v>
      </c>
      <c r="C948" s="43">
        <f>($F$22+B948)*$F$23/Main!$K$3</f>
        <v>239.21729170482973</v>
      </c>
    </row>
    <row r="949" spans="1:3" x14ac:dyDescent="0.2">
      <c r="A949" s="43">
        <f t="shared" si="15"/>
        <v>939</v>
      </c>
      <c r="B949" s="43">
        <v>22813.048841947355</v>
      </c>
      <c r="C949" s="43">
        <f>($F$22+B949)*$F$23/Main!$K$3</f>
        <v>435.71667205196729</v>
      </c>
    </row>
    <row r="950" spans="1:3" x14ac:dyDescent="0.2">
      <c r="A950" s="43">
        <f t="shared" si="15"/>
        <v>940</v>
      </c>
      <c r="B950" s="43">
        <v>574.99482293923495</v>
      </c>
      <c r="C950" s="43">
        <f>($F$22+B950)*$F$23/Main!$K$3</f>
        <v>242.86046667396755</v>
      </c>
    </row>
    <row r="951" spans="1:3" x14ac:dyDescent="0.2">
      <c r="A951" s="43">
        <f t="shared" si="15"/>
        <v>941</v>
      </c>
      <c r="B951" s="43">
        <v>2399.4095572947949</v>
      </c>
      <c r="C951" s="43">
        <f>($F$22+B951)*$F$23/Main!$K$3</f>
        <v>258.68243123987691</v>
      </c>
    </row>
    <row r="952" spans="1:3" x14ac:dyDescent="0.2">
      <c r="A952" s="43">
        <f t="shared" si="15"/>
        <v>942</v>
      </c>
      <c r="B952" s="43">
        <v>-3754.7975016626883</v>
      </c>
      <c r="C952" s="43">
        <f>($F$22+B952)*$F$23/Main!$K$3</f>
        <v>205.31098877973406</v>
      </c>
    </row>
    <row r="953" spans="1:3" x14ac:dyDescent="0.2">
      <c r="A953" s="43">
        <f t="shared" si="15"/>
        <v>943</v>
      </c>
      <c r="B953" s="43">
        <v>24964.307250549769</v>
      </c>
      <c r="C953" s="43">
        <f>($F$22+B953)*$F$23/Main!$K$3</f>
        <v>454.37313961499922</v>
      </c>
    </row>
    <row r="954" spans="1:3" x14ac:dyDescent="0.2">
      <c r="A954" s="43">
        <f t="shared" si="15"/>
        <v>944</v>
      </c>
      <c r="B954" s="43">
        <v>14351.132930228392</v>
      </c>
      <c r="C954" s="43">
        <f>($F$22+B954)*$F$23/Main!$K$3</f>
        <v>362.33196889552516</v>
      </c>
    </row>
    <row r="955" spans="1:3" x14ac:dyDescent="0.2">
      <c r="A955" s="43">
        <f t="shared" si="15"/>
        <v>945</v>
      </c>
      <c r="B955" s="43">
        <v>17796.059359713097</v>
      </c>
      <c r="C955" s="43">
        <f>($F$22+B955)*$F$23/Main!$K$3</f>
        <v>392.20757934367509</v>
      </c>
    </row>
    <row r="956" spans="1:3" x14ac:dyDescent="0.2">
      <c r="A956" s="43">
        <f t="shared" si="15"/>
        <v>946</v>
      </c>
      <c r="B956" s="43">
        <v>3816.589230403767</v>
      </c>
      <c r="C956" s="43">
        <f>($F$22+B956)*$F$23/Main!$K$3</f>
        <v>270.97271049996931</v>
      </c>
    </row>
    <row r="957" spans="1:3" x14ac:dyDescent="0.2">
      <c r="A957" s="43">
        <f t="shared" si="15"/>
        <v>947</v>
      </c>
      <c r="B957" s="43">
        <v>-1316.1336125484872</v>
      </c>
      <c r="C957" s="43">
        <f>($F$22+B957)*$F$23/Main!$K$3</f>
        <v>226.45993748922626</v>
      </c>
    </row>
    <row r="958" spans="1:3" x14ac:dyDescent="0.2">
      <c r="A958" s="43">
        <f t="shared" si="15"/>
        <v>948</v>
      </c>
      <c r="B958" s="43">
        <v>835.33851582329135</v>
      </c>
      <c r="C958" s="43">
        <f>($F$22+B958)*$F$23/Main!$K$3</f>
        <v>245.11825850506924</v>
      </c>
    </row>
    <row r="959" spans="1:3" x14ac:dyDescent="0.2">
      <c r="A959" s="43">
        <f t="shared" si="15"/>
        <v>949</v>
      </c>
      <c r="B959" s="43">
        <v>-4204.9874074755744</v>
      </c>
      <c r="C959" s="43">
        <f>($F$22+B959)*$F$23/Main!$K$3</f>
        <v>201.40678399363449</v>
      </c>
    </row>
    <row r="960" spans="1:3" x14ac:dyDescent="0.2">
      <c r="A960" s="43">
        <f t="shared" si="15"/>
        <v>950</v>
      </c>
      <c r="B960" s="43">
        <v>1752.6995214901649</v>
      </c>
      <c r="C960" s="43">
        <f>($F$22+B960)*$F$23/Main!$K$3</f>
        <v>253.07393494885503</v>
      </c>
    </row>
    <row r="961" spans="1:3" x14ac:dyDescent="0.2">
      <c r="A961" s="43">
        <f t="shared" si="15"/>
        <v>951</v>
      </c>
      <c r="B961" s="43">
        <v>13299.255339423533</v>
      </c>
      <c r="C961" s="43">
        <f>($F$22+B961)*$F$23/Main!$K$3</f>
        <v>353.20971743811879</v>
      </c>
    </row>
    <row r="962" spans="1:3" x14ac:dyDescent="0.2">
      <c r="A962" s="43">
        <f t="shared" si="15"/>
        <v>952</v>
      </c>
      <c r="B962" s="43">
        <v>20929.230710149066</v>
      </c>
      <c r="C962" s="43">
        <f>($F$22+B962)*$F$23/Main!$K$3</f>
        <v>419.3795403852148</v>
      </c>
    </row>
    <row r="963" spans="1:3" x14ac:dyDescent="0.2">
      <c r="A963" s="43">
        <f t="shared" si="15"/>
        <v>953</v>
      </c>
      <c r="B963" s="43">
        <v>19197.300316782017</v>
      </c>
      <c r="C963" s="43">
        <f>($F$22+B963)*$F$23/Main!$K$3</f>
        <v>404.35963246709861</v>
      </c>
    </row>
    <row r="964" spans="1:3" x14ac:dyDescent="0.2">
      <c r="A964" s="43">
        <f t="shared" si="15"/>
        <v>954</v>
      </c>
      <c r="B964" s="43">
        <v>5829.9594432516806</v>
      </c>
      <c r="C964" s="43">
        <f>($F$22+B964)*$F$23/Main!$K$3</f>
        <v>288.43336325938122</v>
      </c>
    </row>
    <row r="965" spans="1:3" x14ac:dyDescent="0.2">
      <c r="A965" s="43">
        <f t="shared" si="15"/>
        <v>955</v>
      </c>
      <c r="B965" s="43">
        <v>4499.1837938456028</v>
      </c>
      <c r="C965" s="43">
        <f>($F$22+B965)*$F$23/Main!$K$3</f>
        <v>276.89241000265611</v>
      </c>
    </row>
    <row r="966" spans="1:3" x14ac:dyDescent="0.2">
      <c r="A966" s="43">
        <f t="shared" si="15"/>
        <v>956</v>
      </c>
      <c r="B966" s="43">
        <v>18683.819119502117</v>
      </c>
      <c r="C966" s="43">
        <f>($F$22+B966)*$F$23/Main!$K$3</f>
        <v>399.90654339933633</v>
      </c>
    </row>
    <row r="967" spans="1:3" x14ac:dyDescent="0.2">
      <c r="A967" s="43">
        <f t="shared" si="15"/>
        <v>957</v>
      </c>
      <c r="B967" s="43">
        <v>-1166.9429632377426</v>
      </c>
      <c r="C967" s="43">
        <f>($F$22+B967)*$F$23/Main!$K$3</f>
        <v>227.75377113489316</v>
      </c>
    </row>
    <row r="968" spans="1:3" x14ac:dyDescent="0.2">
      <c r="A968" s="43">
        <f t="shared" si="15"/>
        <v>958</v>
      </c>
      <c r="B968" s="43">
        <v>1807.329885415623</v>
      </c>
      <c r="C968" s="43">
        <f>($F$22+B968)*$F$23/Main!$K$3</f>
        <v>253.54770862869577</v>
      </c>
    </row>
    <row r="969" spans="1:3" x14ac:dyDescent="0.2">
      <c r="A969" s="43">
        <f t="shared" si="15"/>
        <v>959</v>
      </c>
      <c r="B969" s="43">
        <v>5347.4382014007633</v>
      </c>
      <c r="C969" s="43">
        <f>($F$22+B969)*$F$23/Main!$K$3</f>
        <v>284.2487697855949</v>
      </c>
    </row>
    <row r="970" spans="1:3" x14ac:dyDescent="0.2">
      <c r="A970" s="43">
        <f t="shared" si="15"/>
        <v>960</v>
      </c>
      <c r="B970" s="43">
        <v>2507.1879443311504</v>
      </c>
      <c r="C970" s="43">
        <f>($F$22+B970)*$F$23/Main!$K$3</f>
        <v>259.61712322002165</v>
      </c>
    </row>
    <row r="971" spans="1:3" x14ac:dyDescent="0.2">
      <c r="A971" s="43">
        <f t="shared" si="15"/>
        <v>961</v>
      </c>
      <c r="B971" s="43">
        <v>11739.585945738809</v>
      </c>
      <c r="C971" s="43">
        <f>($F$22+B971)*$F$23/Main!$K$3</f>
        <v>339.68371733697967</v>
      </c>
    </row>
    <row r="972" spans="1:3" x14ac:dyDescent="0.2">
      <c r="A972" s="43">
        <f t="shared" si="15"/>
        <v>962</v>
      </c>
      <c r="B972" s="43">
        <v>8561.7668714679548</v>
      </c>
      <c r="C972" s="43">
        <f>($F$22+B972)*$F$23/Main!$K$3</f>
        <v>312.12455557229214</v>
      </c>
    </row>
    <row r="973" spans="1:3" x14ac:dyDescent="0.2">
      <c r="A973" s="43">
        <f t="shared" si="15"/>
        <v>963</v>
      </c>
      <c r="B973" s="43">
        <v>14175.996872347485</v>
      </c>
      <c r="C973" s="43">
        <f>($F$22+B973)*$F$23/Main!$K$3</f>
        <v>360.81312756530343</v>
      </c>
    </row>
    <row r="974" spans="1:3" x14ac:dyDescent="0.2">
      <c r="A974" s="43">
        <f t="shared" si="15"/>
        <v>964</v>
      </c>
      <c r="B974" s="43">
        <v>4348.6889202629736</v>
      </c>
      <c r="C974" s="43">
        <f>($F$22+B974)*$F$23/Main!$K$3</f>
        <v>275.58726566659243</v>
      </c>
    </row>
    <row r="975" spans="1:3" x14ac:dyDescent="0.2">
      <c r="A975" s="43">
        <f t="shared" si="15"/>
        <v>965</v>
      </c>
      <c r="B975" s="43">
        <v>-4216.0000611869982</v>
      </c>
      <c r="C975" s="43">
        <f>($F$22+B975)*$F$23/Main!$K$3</f>
        <v>201.3112783975013</v>
      </c>
    </row>
    <row r="976" spans="1:3" x14ac:dyDescent="0.2">
      <c r="A976" s="43">
        <f t="shared" si="15"/>
        <v>966</v>
      </c>
      <c r="B976" s="43">
        <v>-835.13316936753847</v>
      </c>
      <c r="C976" s="43">
        <f>($F$22+B976)*$F$23/Main!$K$3</f>
        <v>230.63134206346299</v>
      </c>
    </row>
    <row r="977" spans="1:3" x14ac:dyDescent="0.2">
      <c r="A977" s="43">
        <f t="shared" si="15"/>
        <v>967</v>
      </c>
      <c r="B977" s="43">
        <v>3044.566779973075</v>
      </c>
      <c r="C977" s="43">
        <f>($F$22+B977)*$F$23/Main!$K$3</f>
        <v>264.27746099075313</v>
      </c>
    </row>
    <row r="978" spans="1:3" x14ac:dyDescent="0.2">
      <c r="A978" s="43">
        <f t="shared" si="15"/>
        <v>968</v>
      </c>
      <c r="B978" s="43">
        <v>-62.408062969191896</v>
      </c>
      <c r="C978" s="43">
        <f>($F$22+B978)*$F$23/Main!$K$3</f>
        <v>237.33268525171664</v>
      </c>
    </row>
    <row r="979" spans="1:3" x14ac:dyDescent="0.2">
      <c r="A979" s="43">
        <f t="shared" si="15"/>
        <v>969</v>
      </c>
      <c r="B979" s="43">
        <v>814.11349653453772</v>
      </c>
      <c r="C979" s="43">
        <f>($F$22+B979)*$F$23/Main!$K$3</f>
        <v>244.93418769223618</v>
      </c>
    </row>
    <row r="980" spans="1:3" x14ac:dyDescent="0.2">
      <c r="A980" s="43">
        <f t="shared" ref="A980:A996" si="16">A979+1</f>
        <v>970</v>
      </c>
      <c r="B980" s="43">
        <v>2220.6714675642525</v>
      </c>
      <c r="C980" s="43">
        <f>($F$22+B980)*$F$23/Main!$K$3</f>
        <v>257.13235182589216</v>
      </c>
    </row>
    <row r="981" spans="1:3" x14ac:dyDescent="0.2">
      <c r="A981" s="43">
        <f t="shared" si="16"/>
        <v>971</v>
      </c>
      <c r="B981" s="43">
        <v>-76.512591895744393</v>
      </c>
      <c r="C981" s="43">
        <f>($F$22+B981)*$F$23/Main!$K$3</f>
        <v>237.21036582911364</v>
      </c>
    </row>
    <row r="982" spans="1:3" x14ac:dyDescent="0.2">
      <c r="A982" s="43">
        <f t="shared" si="16"/>
        <v>972</v>
      </c>
      <c r="B982" s="43">
        <v>-6291.4632523773607</v>
      </c>
      <c r="C982" s="43">
        <f>($F$22+B982)*$F$23/Main!$K$3</f>
        <v>183.31213354820122</v>
      </c>
    </row>
    <row r="983" spans="1:3" x14ac:dyDescent="0.2">
      <c r="A983" s="43">
        <f t="shared" si="16"/>
        <v>973</v>
      </c>
      <c r="B983" s="43">
        <v>3465.5556832771476</v>
      </c>
      <c r="C983" s="43">
        <f>($F$22+B983)*$F$23/Main!$K$3</f>
        <v>267.92842443962644</v>
      </c>
    </row>
    <row r="984" spans="1:3" x14ac:dyDescent="0.2">
      <c r="A984" s="43">
        <f t="shared" si="16"/>
        <v>974</v>
      </c>
      <c r="B984" s="43">
        <v>3629.8455504153917</v>
      </c>
      <c r="C984" s="43">
        <f>($F$22+B984)*$F$23/Main!$K$3</f>
        <v>269.35320379897394</v>
      </c>
    </row>
    <row r="985" spans="1:3" x14ac:dyDescent="0.2">
      <c r="A985" s="43">
        <f t="shared" si="16"/>
        <v>975</v>
      </c>
      <c r="B985" s="43">
        <v>-1807.5441968358109</v>
      </c>
      <c r="C985" s="43">
        <f>($F$22+B985)*$F$23/Main!$K$3</f>
        <v>222.19825251952381</v>
      </c>
    </row>
    <row r="986" spans="1:3" x14ac:dyDescent="0.2">
      <c r="A986" s="43">
        <f t="shared" si="16"/>
        <v>976</v>
      </c>
      <c r="B986" s="43">
        <v>2862.3383856146334</v>
      </c>
      <c r="C986" s="43">
        <f>($F$22+B986)*$F$23/Main!$K$3</f>
        <v>262.6971124306653</v>
      </c>
    </row>
    <row r="987" spans="1:3" x14ac:dyDescent="0.2">
      <c r="A987" s="43">
        <f t="shared" si="16"/>
        <v>977</v>
      </c>
      <c r="B987" s="43">
        <v>30713.324182247059</v>
      </c>
      <c r="C987" s="43">
        <f>($F$22+B987)*$F$23/Main!$K$3</f>
        <v>504.23063115420109</v>
      </c>
    </row>
    <row r="988" spans="1:3" x14ac:dyDescent="0.2">
      <c r="A988" s="43">
        <f t="shared" si="16"/>
        <v>978</v>
      </c>
      <c r="B988" s="43">
        <v>-2315.670162484425</v>
      </c>
      <c r="C988" s="43">
        <f>($F$22+B988)*$F$23/Main!$K$3</f>
        <v>217.79160589903887</v>
      </c>
    </row>
    <row r="989" spans="1:3" x14ac:dyDescent="0.2">
      <c r="A989" s="43">
        <f t="shared" si="16"/>
        <v>979</v>
      </c>
      <c r="B989" s="43">
        <v>-1638.6707593301896</v>
      </c>
      <c r="C989" s="43">
        <f>($F$22+B989)*$F$23/Main!$K$3</f>
        <v>223.6627822089757</v>
      </c>
    </row>
    <row r="990" spans="1:3" x14ac:dyDescent="0.2">
      <c r="A990" s="43">
        <f t="shared" si="16"/>
        <v>980</v>
      </c>
      <c r="B990" s="43">
        <v>14688.26681849837</v>
      </c>
      <c r="C990" s="43">
        <f>($F$22+B990)*$F$23/Main!$K$3</f>
        <v>365.25571223837807</v>
      </c>
    </row>
    <row r="991" spans="1:3" x14ac:dyDescent="0.2">
      <c r="A991" s="43">
        <f t="shared" si="16"/>
        <v>981</v>
      </c>
      <c r="B991" s="43">
        <v>1508.3440202508859</v>
      </c>
      <c r="C991" s="43">
        <f>($F$22+B991)*$F$23/Main!$K$3</f>
        <v>250.95479832422205</v>
      </c>
    </row>
    <row r="992" spans="1:3" x14ac:dyDescent="0.2">
      <c r="A992" s="43">
        <f t="shared" si="16"/>
        <v>982</v>
      </c>
      <c r="B992" s="43">
        <v>29997.923209671804</v>
      </c>
      <c r="C992" s="43">
        <f>($F$22+B992)*$F$23/Main!$K$3</f>
        <v>498.02642296329265</v>
      </c>
    </row>
    <row r="993" spans="1:3" x14ac:dyDescent="0.2">
      <c r="A993" s="43">
        <f t="shared" si="16"/>
        <v>983</v>
      </c>
      <c r="B993" s="43">
        <v>-1073.6598393949448</v>
      </c>
      <c r="C993" s="43">
        <f>($F$22+B993)*$F$23/Main!$K$3</f>
        <v>228.56275510780509</v>
      </c>
    </row>
    <row r="994" spans="1:3" x14ac:dyDescent="0.2">
      <c r="A994" s="43">
        <f t="shared" si="16"/>
        <v>984</v>
      </c>
      <c r="B994" s="43">
        <v>11279.701252541503</v>
      </c>
      <c r="C994" s="43">
        <f>($F$22+B994)*$F$23/Main!$K$3</f>
        <v>335.69543595383129</v>
      </c>
    </row>
    <row r="995" spans="1:3" x14ac:dyDescent="0.2">
      <c r="A995" s="43">
        <f t="shared" si="16"/>
        <v>985</v>
      </c>
      <c r="B995" s="43">
        <v>8890.1103219607558</v>
      </c>
      <c r="C995" s="43">
        <f>($F$22+B995)*$F$23/Main!$K$3</f>
        <v>314.97206515512858</v>
      </c>
    </row>
    <row r="996" spans="1:3" x14ac:dyDescent="0.2">
      <c r="A996" s="43">
        <f t="shared" si="16"/>
        <v>986</v>
      </c>
      <c r="B996" s="43">
        <v>9904.3949539025525</v>
      </c>
      <c r="C996" s="43">
        <f>($F$22+B996)*$F$23/Main!$K$3</f>
        <v>323.76829728597585</v>
      </c>
    </row>
    <row r="997" spans="1:3" x14ac:dyDescent="0.2">
      <c r="A997" s="43">
        <f t="shared" ref="A997:A1006" si="17">A996+1</f>
        <v>987</v>
      </c>
      <c r="B997" s="43">
        <v>11439.841298941759</v>
      </c>
      <c r="C997" s="43">
        <f>($F$22+B997)*$F$23/Main!$K$3</f>
        <v>337.08422661201621</v>
      </c>
    </row>
    <row r="998" spans="1:3" x14ac:dyDescent="0.2">
      <c r="A998" s="43">
        <f t="shared" si="17"/>
        <v>988</v>
      </c>
      <c r="B998" s="43">
        <v>5265.2478711923277</v>
      </c>
      <c r="C998" s="43">
        <f>($F$22+B998)*$F$23/Main!$K$3</f>
        <v>283.53598641034029</v>
      </c>
    </row>
    <row r="999" spans="1:3" x14ac:dyDescent="0.2">
      <c r="A999" s="43">
        <f t="shared" si="17"/>
        <v>989</v>
      </c>
      <c r="B999" s="43">
        <v>31778.666641923501</v>
      </c>
      <c r="C999" s="43">
        <f>($F$22+B999)*$F$23/Main!$K$3</f>
        <v>513.46965467782616</v>
      </c>
    </row>
    <row r="1000" spans="1:3" x14ac:dyDescent="0.2">
      <c r="A1000" s="43">
        <f t="shared" si="17"/>
        <v>990</v>
      </c>
      <c r="B1000" s="43">
        <v>395.82912558192436</v>
      </c>
      <c r="C1000" s="43">
        <f>($F$22+B1000)*$F$23/Main!$K$3</f>
        <v>241.30667889664227</v>
      </c>
    </row>
    <row r="1001" spans="1:3" x14ac:dyDescent="0.2">
      <c r="A1001" s="43">
        <f t="shared" si="17"/>
        <v>991</v>
      </c>
      <c r="B1001" s="43">
        <v>10471.834412936614</v>
      </c>
      <c r="C1001" s="43">
        <f>($F$22+B1001)*$F$23/Main!$K$3</f>
        <v>328.68933132778159</v>
      </c>
    </row>
    <row r="1002" spans="1:3" x14ac:dyDescent="0.2">
      <c r="A1002" s="43">
        <f t="shared" si="17"/>
        <v>992</v>
      </c>
      <c r="B1002" s="43">
        <v>5024.8350604639863</v>
      </c>
      <c r="C1002" s="43">
        <f>($F$22+B1002)*$F$23/Main!$K$3</f>
        <v>281.4510421808813</v>
      </c>
    </row>
    <row r="1003" spans="1:3" x14ac:dyDescent="0.2">
      <c r="A1003" s="43">
        <f t="shared" si="17"/>
        <v>993</v>
      </c>
      <c r="B1003" s="43">
        <v>74.025204489051262</v>
      </c>
      <c r="C1003" s="43">
        <f>($F$22+B1003)*$F$23/Main!$K$3</f>
        <v>238.51588240677472</v>
      </c>
    </row>
    <row r="1004" spans="1:3" x14ac:dyDescent="0.2">
      <c r="A1004" s="43">
        <f t="shared" si="17"/>
        <v>994</v>
      </c>
      <c r="B1004" s="43">
        <v>4629.460919524141</v>
      </c>
      <c r="C1004" s="43">
        <f>($F$22+B1004)*$F$23/Main!$K$3</f>
        <v>278.02221893667712</v>
      </c>
    </row>
    <row r="1005" spans="1:3" x14ac:dyDescent="0.2">
      <c r="A1005" s="43">
        <f t="shared" si="17"/>
        <v>995</v>
      </c>
      <c r="B1005" s="43">
        <v>337.62320890044538</v>
      </c>
      <c r="C1005" s="43">
        <f>($F$22+B1005)*$F$23/Main!$K$3</f>
        <v>240.801896769027</v>
      </c>
    </row>
    <row r="1006" spans="1:3" x14ac:dyDescent="0.2">
      <c r="A1006" s="43">
        <f t="shared" si="17"/>
        <v>996</v>
      </c>
      <c r="B1006" s="43">
        <v>14858.487954874681</v>
      </c>
      <c r="C1006" s="43">
        <f>($F$22+B1006)*$F$23/Main!$K$3</f>
        <v>366.73192964519825</v>
      </c>
    </row>
    <row r="1007" spans="1:3" x14ac:dyDescent="0.2">
      <c r="A1007" s="43">
        <f t="shared" ref="A1007:A1009" si="18">A1006+1</f>
        <v>997</v>
      </c>
      <c r="B1007" s="43">
        <v>3.6123923446679237E-2</v>
      </c>
      <c r="C1007" s="43">
        <f>($F$22+B1007)*$F$23/Main!$K$3</f>
        <v>237.87422314535317</v>
      </c>
    </row>
    <row r="1008" spans="1:3" x14ac:dyDescent="0.2">
      <c r="A1008" s="43">
        <f t="shared" si="18"/>
        <v>998</v>
      </c>
      <c r="B1008" s="43">
        <v>3515.3663830664227</v>
      </c>
      <c r="C1008" s="43">
        <f>($F$22+B1008)*$F$23/Main!$K$3</f>
        <v>268.36040030137997</v>
      </c>
    </row>
    <row r="1009" spans="1:4" x14ac:dyDescent="0.2">
      <c r="A1009" s="43">
        <f t="shared" si="18"/>
        <v>999</v>
      </c>
      <c r="B1009" s="43">
        <v>2473.8451579044849</v>
      </c>
      <c r="C1009" s="43">
        <f>($F$22+B1009)*$F$23/Main!$K$3</f>
        <v>259.32796287975634</v>
      </c>
    </row>
    <row r="1010" spans="1:4" x14ac:dyDescent="0.2">
      <c r="A1010" s="43">
        <f t="shared" ref="A1010" si="19">A1009+1</f>
        <v>1000</v>
      </c>
      <c r="B1010" s="43">
        <v>24270.233463070763</v>
      </c>
      <c r="C1010" s="43">
        <f>($F$22+B1010)*$F$23/Main!$K$3</f>
        <v>448.35388825464537</v>
      </c>
      <c r="D1010" s="43" t="s">
        <v>211</v>
      </c>
    </row>
  </sheetData>
  <hyperlinks>
    <hyperlink ref="A1" location="Main!A1" display="Main" xr:uid="{38F51FC6-9BC8-4E1B-AFF0-6F5DC11B6E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CC Model</vt:lpstr>
      <vt:lpstr>Literature</vt:lpstr>
      <vt:lpstr>Management</vt:lpstr>
      <vt:lpstr>Q&amp;A</vt:lpstr>
      <vt:lpstr>Monte Carlo Simulation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Liam Render Flores</dc:creator>
  <cp:lastModifiedBy>Liam R</cp:lastModifiedBy>
  <dcterms:created xsi:type="dcterms:W3CDTF">2025-04-18T01:52:05Z</dcterms:created>
  <dcterms:modified xsi:type="dcterms:W3CDTF">2026-03-03T09:10:38Z</dcterms:modified>
</cp:coreProperties>
</file>