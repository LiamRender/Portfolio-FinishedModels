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7sher\Downloads\"/>
    </mc:Choice>
  </mc:AlternateContent>
  <xr:revisionPtr revIDLastSave="0" documentId="13_ncr:1_{93F16940-04D2-4142-9BE3-172D94F35D85}" xr6:coauthVersionLast="47" xr6:coauthVersionMax="47" xr10:uidLastSave="{00000000-0000-0000-0000-000000000000}"/>
  <bookViews>
    <workbookView xWindow="675" yWindow="1635" windowWidth="19335" windowHeight="12900" xr2:uid="{B5255683-9904-4B96-B116-504FB2085B5B}"/>
  </bookViews>
  <sheets>
    <sheet name="Main" sheetId="1" r:id="rId1"/>
    <sheet name="Literature" sheetId="3" r:id="rId2"/>
    <sheet name="Model" sheetId="2" r:id="rId3"/>
    <sheet name="Alpha" sheetId="9" r:id="rId4"/>
    <sheet name="CC Model" sheetId="4" r:id="rId5"/>
    <sheet name="Management" sheetId="6" r:id="rId6"/>
    <sheet name="Q&amp;A" sheetId="7" r:id="rId7"/>
    <sheet name="Monte Carlo Simulation" sheetId="8"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68" i="2" l="1"/>
  <c r="AE68" i="2" s="1"/>
  <c r="AF68" i="2" s="1"/>
  <c r="AG68" i="2" s="1"/>
  <c r="AH68" i="2" s="1"/>
  <c r="K4" i="1"/>
  <c r="AL140" i="2" s="1"/>
  <c r="E16" i="6"/>
  <c r="F16" i="6" s="1"/>
  <c r="G16" i="6" s="1"/>
  <c r="H16" i="6" s="1"/>
  <c r="I16" i="6" s="1"/>
  <c r="J16" i="6" s="1"/>
  <c r="K16" i="6" s="1"/>
  <c r="D16" i="6"/>
  <c r="C5" i="4"/>
  <c r="H5" i="1"/>
  <c r="C14" i="9"/>
  <c r="C2" i="9"/>
  <c r="AL122" i="2" s="1"/>
  <c r="BB116" i="2"/>
  <c r="BC116" i="2" s="1"/>
  <c r="G30" i="8"/>
  <c r="G32" i="8" s="1"/>
  <c r="F23" i="8"/>
  <c r="F21" i="8"/>
  <c r="F19" i="8"/>
  <c r="C16" i="8"/>
  <c r="C17" i="8" s="1"/>
  <c r="C18" i="8" s="1"/>
  <c r="C19" i="8" s="1"/>
  <c r="C20" i="8" s="1"/>
  <c r="C21" i="8" s="1"/>
  <c r="C22" i="8" s="1"/>
  <c r="C23" i="8" s="1"/>
  <c r="C24" i="8" s="1"/>
  <c r="C25" i="8" s="1"/>
  <c r="C26" i="8" s="1"/>
  <c r="C27" i="8" s="1"/>
  <c r="C28" i="8" s="1"/>
  <c r="C29" i="8" s="1"/>
  <c r="C30" i="8" s="1"/>
  <c r="C31" i="8" s="1"/>
  <c r="C32" i="8" s="1"/>
  <c r="C33" i="8" s="1"/>
  <c r="C34" i="8" s="1"/>
  <c r="C35" i="8" s="1"/>
  <c r="C36" i="8" s="1"/>
  <c r="C37" i="8" s="1"/>
  <c r="C38" i="8" s="1"/>
  <c r="C39" i="8" s="1"/>
  <c r="C40" i="8" s="1"/>
  <c r="C41" i="8" s="1"/>
  <c r="C42" i="8" s="1"/>
  <c r="C43" i="8" s="1"/>
  <c r="C44" i="8" s="1"/>
  <c r="C45" i="8" s="1"/>
  <c r="C46" i="8" s="1"/>
  <c r="C47" i="8" s="1"/>
  <c r="C48" i="8" s="1"/>
  <c r="C49" i="8" s="1"/>
  <c r="C50" i="8" s="1"/>
  <c r="C51" i="8" s="1"/>
  <c r="C52" i="8" s="1"/>
  <c r="C53" i="8" s="1"/>
  <c r="C54" i="8" s="1"/>
  <c r="C55" i="8" s="1"/>
  <c r="C56" i="8" s="1"/>
  <c r="C57" i="8" s="1"/>
  <c r="C58" i="8" s="1"/>
  <c r="C59" i="8" s="1"/>
  <c r="C60" i="8" s="1"/>
  <c r="C61" i="8" s="1"/>
  <c r="C62" i="8" s="1"/>
  <c r="C63" i="8" s="1"/>
  <c r="C64" i="8" s="1"/>
  <c r="C65" i="8" s="1"/>
  <c r="C66" i="8" s="1"/>
  <c r="C67" i="8" s="1"/>
  <c r="C68" i="8" s="1"/>
  <c r="C69" i="8" s="1"/>
  <c r="C70" i="8" s="1"/>
  <c r="C71" i="8" s="1"/>
  <c r="C72" i="8" s="1"/>
  <c r="C73" i="8" s="1"/>
  <c r="C74" i="8" s="1"/>
  <c r="C75" i="8" s="1"/>
  <c r="C76" i="8" s="1"/>
  <c r="C77" i="8" s="1"/>
  <c r="C78" i="8" s="1"/>
  <c r="C79" i="8" s="1"/>
  <c r="C80" i="8" s="1"/>
  <c r="C81" i="8" s="1"/>
  <c r="C82" i="8" s="1"/>
  <c r="C83" i="8" s="1"/>
  <c r="C84" i="8" s="1"/>
  <c r="C85" i="8" s="1"/>
  <c r="C86" i="8" s="1"/>
  <c r="C87" i="8" s="1"/>
  <c r="C88" i="8" s="1"/>
  <c r="C89" i="8" s="1"/>
  <c r="C90" i="8" s="1"/>
  <c r="C91" i="8" s="1"/>
  <c r="C92" i="8" s="1"/>
  <c r="C93" i="8" s="1"/>
  <c r="C94" i="8" s="1"/>
  <c r="C95" i="8" s="1"/>
  <c r="C96" i="8" s="1"/>
  <c r="C97" i="8" s="1"/>
  <c r="C98" i="8" s="1"/>
  <c r="C99" i="8" s="1"/>
  <c r="C100" i="8" s="1"/>
  <c r="C101" i="8" s="1"/>
  <c r="C102" i="8" s="1"/>
  <c r="C103" i="8" s="1"/>
  <c r="C104" i="8" s="1"/>
  <c r="C105" i="8" s="1"/>
  <c r="C106" i="8" s="1"/>
  <c r="C107" i="8" s="1"/>
  <c r="C108" i="8" s="1"/>
  <c r="C109" i="8" s="1"/>
  <c r="C110" i="8" s="1"/>
  <c r="C111" i="8" s="1"/>
  <c r="C112" i="8" s="1"/>
  <c r="C113" i="8" s="1"/>
  <c r="C114" i="8" s="1"/>
  <c r="C115" i="8" s="1"/>
  <c r="C116" i="8" s="1"/>
  <c r="C117" i="8" s="1"/>
  <c r="C118" i="8" s="1"/>
  <c r="C119" i="8" s="1"/>
  <c r="C120" i="8" s="1"/>
  <c r="C121" i="8" s="1"/>
  <c r="C122" i="8" s="1"/>
  <c r="C123" i="8" s="1"/>
  <c r="C124" i="8" s="1"/>
  <c r="C125" i="8" s="1"/>
  <c r="C126" i="8" s="1"/>
  <c r="C127" i="8" s="1"/>
  <c r="C128" i="8" s="1"/>
  <c r="C129" i="8" s="1"/>
  <c r="C130" i="8" s="1"/>
  <c r="C131" i="8" s="1"/>
  <c r="C132" i="8" s="1"/>
  <c r="C133" i="8" s="1"/>
  <c r="C134" i="8" s="1"/>
  <c r="C135" i="8" s="1"/>
  <c r="C136" i="8" s="1"/>
  <c r="C137" i="8" s="1"/>
  <c r="C138" i="8" s="1"/>
  <c r="C139" i="8" s="1"/>
  <c r="C140" i="8" s="1"/>
  <c r="C141" i="8" s="1"/>
  <c r="C142" i="8" s="1"/>
  <c r="C143" i="8" s="1"/>
  <c r="C144" i="8" s="1"/>
  <c r="C145" i="8" s="1"/>
  <c r="C146" i="8" s="1"/>
  <c r="C147" i="8" s="1"/>
  <c r="C148" i="8" s="1"/>
  <c r="C149" i="8" s="1"/>
  <c r="C150" i="8" s="1"/>
  <c r="C151" i="8" s="1"/>
  <c r="C152" i="8" s="1"/>
  <c r="C153" i="8" s="1"/>
  <c r="C154" i="8" s="1"/>
  <c r="C155" i="8" s="1"/>
  <c r="C156" i="8" s="1"/>
  <c r="C157" i="8" s="1"/>
  <c r="C158" i="8" s="1"/>
  <c r="C159" i="8" s="1"/>
  <c r="C160" i="8" s="1"/>
  <c r="C161" i="8" s="1"/>
  <c r="C162" i="8" s="1"/>
  <c r="C163" i="8" s="1"/>
  <c r="C164" i="8" s="1"/>
  <c r="C165" i="8" s="1"/>
  <c r="C166" i="8" s="1"/>
  <c r="C167" i="8" s="1"/>
  <c r="C168" i="8" s="1"/>
  <c r="C169" i="8" s="1"/>
  <c r="C170" i="8" s="1"/>
  <c r="C171" i="8" s="1"/>
  <c r="C172" i="8" s="1"/>
  <c r="C173" i="8" s="1"/>
  <c r="C174" i="8" s="1"/>
  <c r="C175" i="8" s="1"/>
  <c r="C176" i="8" s="1"/>
  <c r="C177" i="8" s="1"/>
  <c r="C178" i="8" s="1"/>
  <c r="C179" i="8" s="1"/>
  <c r="C180" i="8" s="1"/>
  <c r="C181" i="8" s="1"/>
  <c r="C182" i="8" s="1"/>
  <c r="C183" i="8" s="1"/>
  <c r="C184" i="8" s="1"/>
  <c r="C185" i="8" s="1"/>
  <c r="C186" i="8" s="1"/>
  <c r="C187" i="8" s="1"/>
  <c r="C188" i="8" s="1"/>
  <c r="C189" i="8" s="1"/>
  <c r="C190" i="8" s="1"/>
  <c r="C191" i="8" s="1"/>
  <c r="C192" i="8" s="1"/>
  <c r="C193" i="8" s="1"/>
  <c r="C194" i="8" s="1"/>
  <c r="C195" i="8" s="1"/>
  <c r="C196" i="8" s="1"/>
  <c r="C197" i="8" s="1"/>
  <c r="C198" i="8" s="1"/>
  <c r="C199" i="8" s="1"/>
  <c r="C200" i="8" s="1"/>
  <c r="C201" i="8" s="1"/>
  <c r="C202" i="8" s="1"/>
  <c r="C203" i="8" s="1"/>
  <c r="C204" i="8" s="1"/>
  <c r="C205" i="8" s="1"/>
  <c r="C206" i="8" s="1"/>
  <c r="C207" i="8" s="1"/>
  <c r="C208" i="8" s="1"/>
  <c r="C209" i="8" s="1"/>
  <c r="C210" i="8" s="1"/>
  <c r="C211" i="8" s="1"/>
  <c r="C212" i="8" s="1"/>
  <c r="C213" i="8" s="1"/>
  <c r="C214" i="8" s="1"/>
  <c r="C215" i="8" s="1"/>
  <c r="C216" i="8" s="1"/>
  <c r="C217" i="8" s="1"/>
  <c r="C218" i="8" s="1"/>
  <c r="C219" i="8" s="1"/>
  <c r="C220" i="8" s="1"/>
  <c r="C221" i="8" s="1"/>
  <c r="C222" i="8" s="1"/>
  <c r="C223" i="8" s="1"/>
  <c r="C224" i="8" s="1"/>
  <c r="C225" i="8" s="1"/>
  <c r="C226" i="8" s="1"/>
  <c r="C227" i="8" s="1"/>
  <c r="C228" i="8" s="1"/>
  <c r="C229" i="8" s="1"/>
  <c r="C230" i="8" s="1"/>
  <c r="C231" i="8" s="1"/>
  <c r="C232" i="8" s="1"/>
  <c r="C233" i="8" s="1"/>
  <c r="C234" i="8" s="1"/>
  <c r="C235" i="8" s="1"/>
  <c r="C236" i="8" s="1"/>
  <c r="C237" i="8" s="1"/>
  <c r="C238" i="8" s="1"/>
  <c r="C239" i="8" s="1"/>
  <c r="C240" i="8" s="1"/>
  <c r="C241" i="8" s="1"/>
  <c r="C242" i="8" s="1"/>
  <c r="C243" i="8" s="1"/>
  <c r="C244" i="8" s="1"/>
  <c r="C245" i="8" s="1"/>
  <c r="C246" i="8" s="1"/>
  <c r="C247" i="8" s="1"/>
  <c r="C248" i="8" s="1"/>
  <c r="C249" i="8" s="1"/>
  <c r="C250" i="8" s="1"/>
  <c r="C251" i="8" s="1"/>
  <c r="C252" i="8" s="1"/>
  <c r="C253" i="8" s="1"/>
  <c r="C254" i="8" s="1"/>
  <c r="C255" i="8" s="1"/>
  <c r="C256" i="8" s="1"/>
  <c r="C257" i="8" s="1"/>
  <c r="C258" i="8" s="1"/>
  <c r="C259" i="8" s="1"/>
  <c r="C260" i="8" s="1"/>
  <c r="C261" i="8" s="1"/>
  <c r="C262" i="8" s="1"/>
  <c r="C263" i="8" s="1"/>
  <c r="C264" i="8" s="1"/>
  <c r="C265" i="8" s="1"/>
  <c r="C266" i="8" s="1"/>
  <c r="C267" i="8" s="1"/>
  <c r="C268" i="8" s="1"/>
  <c r="C269" i="8" s="1"/>
  <c r="C270" i="8" s="1"/>
  <c r="C271" i="8" s="1"/>
  <c r="C272" i="8" s="1"/>
  <c r="C273" i="8" s="1"/>
  <c r="C274" i="8" s="1"/>
  <c r="C275" i="8" s="1"/>
  <c r="C276" i="8" s="1"/>
  <c r="C277" i="8" s="1"/>
  <c r="C278" i="8" s="1"/>
  <c r="C279" i="8" s="1"/>
  <c r="C280" i="8" s="1"/>
  <c r="C281" i="8" s="1"/>
  <c r="C282" i="8" s="1"/>
  <c r="C283" i="8" s="1"/>
  <c r="C284" i="8" s="1"/>
  <c r="C285" i="8" s="1"/>
  <c r="C286" i="8" s="1"/>
  <c r="C287" i="8" s="1"/>
  <c r="C288" i="8" s="1"/>
  <c r="C289" i="8" s="1"/>
  <c r="C290" i="8" s="1"/>
  <c r="C291" i="8" s="1"/>
  <c r="C292" i="8" s="1"/>
  <c r="C293" i="8" s="1"/>
  <c r="C294" i="8" s="1"/>
  <c r="C295" i="8" s="1"/>
  <c r="C296" i="8" s="1"/>
  <c r="C297" i="8" s="1"/>
  <c r="C298" i="8" s="1"/>
  <c r="C299" i="8" s="1"/>
  <c r="C300" i="8" s="1"/>
  <c r="C301" i="8" s="1"/>
  <c r="C302" i="8" s="1"/>
  <c r="C303" i="8" s="1"/>
  <c r="C304" i="8" s="1"/>
  <c r="C305" i="8" s="1"/>
  <c r="C306" i="8" s="1"/>
  <c r="C307" i="8" s="1"/>
  <c r="C308" i="8" s="1"/>
  <c r="C309" i="8" s="1"/>
  <c r="C310" i="8" s="1"/>
  <c r="C311" i="8" s="1"/>
  <c r="C312" i="8" s="1"/>
  <c r="C313" i="8" s="1"/>
  <c r="C314" i="8" s="1"/>
  <c r="C315" i="8" s="1"/>
  <c r="C316" i="8" s="1"/>
  <c r="C317" i="8" s="1"/>
  <c r="C318" i="8" s="1"/>
  <c r="C319" i="8" s="1"/>
  <c r="C320" i="8" s="1"/>
  <c r="C321" i="8" s="1"/>
  <c r="C322" i="8" s="1"/>
  <c r="C323" i="8" s="1"/>
  <c r="C324" i="8" s="1"/>
  <c r="C325" i="8" s="1"/>
  <c r="C326" i="8" s="1"/>
  <c r="C327" i="8" s="1"/>
  <c r="C328" i="8" s="1"/>
  <c r="C329" i="8" s="1"/>
  <c r="C330" i="8" s="1"/>
  <c r="C331" i="8" s="1"/>
  <c r="C332" i="8" s="1"/>
  <c r="C333" i="8" s="1"/>
  <c r="C334" i="8" s="1"/>
  <c r="C335" i="8" s="1"/>
  <c r="C336" i="8" s="1"/>
  <c r="C337" i="8" s="1"/>
  <c r="C338" i="8" s="1"/>
  <c r="C339" i="8" s="1"/>
  <c r="C340" i="8" s="1"/>
  <c r="C341" i="8" s="1"/>
  <c r="C342" i="8" s="1"/>
  <c r="C343" i="8" s="1"/>
  <c r="C344" i="8" s="1"/>
  <c r="C345" i="8" s="1"/>
  <c r="C346" i="8" s="1"/>
  <c r="C347" i="8" s="1"/>
  <c r="C348" i="8" s="1"/>
  <c r="C349" i="8" s="1"/>
  <c r="C350" i="8" s="1"/>
  <c r="C351" i="8" s="1"/>
  <c r="C352" i="8" s="1"/>
  <c r="C353" i="8" s="1"/>
  <c r="C354" i="8" s="1"/>
  <c r="C355" i="8" s="1"/>
  <c r="C356" i="8" s="1"/>
  <c r="C357" i="8" s="1"/>
  <c r="C358" i="8" s="1"/>
  <c r="C359" i="8" s="1"/>
  <c r="C360" i="8" s="1"/>
  <c r="C361" i="8" s="1"/>
  <c r="C362" i="8" s="1"/>
  <c r="C363" i="8" s="1"/>
  <c r="C364" i="8" s="1"/>
  <c r="C365" i="8" s="1"/>
  <c r="C366" i="8" s="1"/>
  <c r="C367" i="8" s="1"/>
  <c r="C368" i="8" s="1"/>
  <c r="C369" i="8" s="1"/>
  <c r="C370" i="8" s="1"/>
  <c r="C371" i="8" s="1"/>
  <c r="C372" i="8" s="1"/>
  <c r="C373" i="8" s="1"/>
  <c r="C374" i="8" s="1"/>
  <c r="C375" i="8" s="1"/>
  <c r="C376" i="8" s="1"/>
  <c r="C377" i="8" s="1"/>
  <c r="C378" i="8" s="1"/>
  <c r="C379" i="8" s="1"/>
  <c r="C380" i="8" s="1"/>
  <c r="C381" i="8" s="1"/>
  <c r="C382" i="8" s="1"/>
  <c r="C383" i="8" s="1"/>
  <c r="C384" i="8" s="1"/>
  <c r="C385" i="8" s="1"/>
  <c r="C386" i="8" s="1"/>
  <c r="C387" i="8" s="1"/>
  <c r="C388" i="8" s="1"/>
  <c r="C389" i="8" s="1"/>
  <c r="C390" i="8" s="1"/>
  <c r="C391" i="8" s="1"/>
  <c r="C392" i="8" s="1"/>
  <c r="C393" i="8" s="1"/>
  <c r="C394" i="8" s="1"/>
  <c r="C395" i="8" s="1"/>
  <c r="C396" i="8" s="1"/>
  <c r="C397" i="8" s="1"/>
  <c r="C398" i="8" s="1"/>
  <c r="C399" i="8" s="1"/>
  <c r="C400" i="8" s="1"/>
  <c r="C401" i="8" s="1"/>
  <c r="C402" i="8" s="1"/>
  <c r="C403" i="8" s="1"/>
  <c r="C404" i="8" s="1"/>
  <c r="C405" i="8" s="1"/>
  <c r="C406" i="8" s="1"/>
  <c r="C407" i="8" s="1"/>
  <c r="C408" i="8" s="1"/>
  <c r="C409" i="8" s="1"/>
  <c r="C410" i="8" s="1"/>
  <c r="C411" i="8" s="1"/>
  <c r="C412" i="8" s="1"/>
  <c r="C413" i="8" s="1"/>
  <c r="C414" i="8" s="1"/>
  <c r="C415" i="8" s="1"/>
  <c r="C416" i="8" s="1"/>
  <c r="C417" i="8" s="1"/>
  <c r="C418" i="8" s="1"/>
  <c r="C419" i="8" s="1"/>
  <c r="C420" i="8" s="1"/>
  <c r="C421" i="8" s="1"/>
  <c r="C422" i="8" s="1"/>
  <c r="C423" i="8" s="1"/>
  <c r="C424" i="8" s="1"/>
  <c r="C425" i="8" s="1"/>
  <c r="C426" i="8" s="1"/>
  <c r="C427" i="8" s="1"/>
  <c r="C428" i="8" s="1"/>
  <c r="C429" i="8" s="1"/>
  <c r="C430" i="8" s="1"/>
  <c r="C431" i="8" s="1"/>
  <c r="C432" i="8" s="1"/>
  <c r="C433" i="8" s="1"/>
  <c r="C434" i="8" s="1"/>
  <c r="C435" i="8" s="1"/>
  <c r="C436" i="8" s="1"/>
  <c r="C437" i="8" s="1"/>
  <c r="C438" i="8" s="1"/>
  <c r="C439" i="8" s="1"/>
  <c r="C440" i="8" s="1"/>
  <c r="C441" i="8" s="1"/>
  <c r="C442" i="8" s="1"/>
  <c r="C443" i="8" s="1"/>
  <c r="C444" i="8" s="1"/>
  <c r="C445" i="8" s="1"/>
  <c r="C446" i="8" s="1"/>
  <c r="C447" i="8" s="1"/>
  <c r="C448" i="8" s="1"/>
  <c r="C449" i="8" s="1"/>
  <c r="C450" i="8" s="1"/>
  <c r="C451" i="8" s="1"/>
  <c r="C452" i="8" s="1"/>
  <c r="C453" i="8" s="1"/>
  <c r="C454" i="8" s="1"/>
  <c r="C455" i="8" s="1"/>
  <c r="C456" i="8" s="1"/>
  <c r="C457" i="8" s="1"/>
  <c r="C458" i="8" s="1"/>
  <c r="C459" i="8" s="1"/>
  <c r="C460" i="8" s="1"/>
  <c r="C461" i="8" s="1"/>
  <c r="C462" i="8" s="1"/>
  <c r="C463" i="8" s="1"/>
  <c r="C464" i="8" s="1"/>
  <c r="C465" i="8" s="1"/>
  <c r="C466" i="8" s="1"/>
  <c r="C467" i="8" s="1"/>
  <c r="C468" i="8" s="1"/>
  <c r="C469" i="8" s="1"/>
  <c r="C470" i="8" s="1"/>
  <c r="C471" i="8" s="1"/>
  <c r="C472" i="8" s="1"/>
  <c r="C473" i="8" s="1"/>
  <c r="C474" i="8" s="1"/>
  <c r="C475" i="8" s="1"/>
  <c r="C476" i="8" s="1"/>
  <c r="C477" i="8" s="1"/>
  <c r="C478" i="8" s="1"/>
  <c r="C479" i="8" s="1"/>
  <c r="C480" i="8" s="1"/>
  <c r="C481" i="8" s="1"/>
  <c r="C482" i="8" s="1"/>
  <c r="C483" i="8" s="1"/>
  <c r="C484" i="8" s="1"/>
  <c r="C485" i="8" s="1"/>
  <c r="C486" i="8" s="1"/>
  <c r="C487" i="8" s="1"/>
  <c r="C488" i="8" s="1"/>
  <c r="C489" i="8" s="1"/>
  <c r="C490" i="8" s="1"/>
  <c r="C491" i="8" s="1"/>
  <c r="C492" i="8" s="1"/>
  <c r="C493" i="8" s="1"/>
  <c r="C494" i="8" s="1"/>
  <c r="C495" i="8" s="1"/>
  <c r="C496" i="8" s="1"/>
  <c r="C497" i="8" s="1"/>
  <c r="C498" i="8" s="1"/>
  <c r="C499" i="8" s="1"/>
  <c r="C500" i="8" s="1"/>
  <c r="C501" i="8" s="1"/>
  <c r="C502" i="8" s="1"/>
  <c r="C503" i="8" s="1"/>
  <c r="C504" i="8" s="1"/>
  <c r="C505" i="8" s="1"/>
  <c r="C506" i="8" s="1"/>
  <c r="C507" i="8" s="1"/>
  <c r="C508" i="8" s="1"/>
  <c r="C509" i="8" s="1"/>
  <c r="C510" i="8" s="1"/>
  <c r="C511" i="8" s="1"/>
  <c r="C512" i="8" s="1"/>
  <c r="C513" i="8" s="1"/>
  <c r="C514" i="8" s="1"/>
  <c r="C515" i="8" s="1"/>
  <c r="C516" i="8" s="1"/>
  <c r="C517" i="8" s="1"/>
  <c r="C518" i="8" s="1"/>
  <c r="C519" i="8" s="1"/>
  <c r="C520" i="8" s="1"/>
  <c r="C521" i="8" s="1"/>
  <c r="C522" i="8" s="1"/>
  <c r="C523" i="8" s="1"/>
  <c r="C524" i="8" s="1"/>
  <c r="C525" i="8" s="1"/>
  <c r="C526" i="8" s="1"/>
  <c r="C527" i="8" s="1"/>
  <c r="C528" i="8" s="1"/>
  <c r="C529" i="8" s="1"/>
  <c r="C530" i="8" s="1"/>
  <c r="C531" i="8" s="1"/>
  <c r="C532" i="8" s="1"/>
  <c r="C533" i="8" s="1"/>
  <c r="C534" i="8" s="1"/>
  <c r="C535" i="8" s="1"/>
  <c r="C536" i="8" s="1"/>
  <c r="C537" i="8" s="1"/>
  <c r="C538" i="8" s="1"/>
  <c r="C539" i="8" s="1"/>
  <c r="C540" i="8" s="1"/>
  <c r="C541" i="8" s="1"/>
  <c r="C542" i="8" s="1"/>
  <c r="C543" i="8" s="1"/>
  <c r="C544" i="8" s="1"/>
  <c r="C545" i="8" s="1"/>
  <c r="C546" i="8" s="1"/>
  <c r="C547" i="8" s="1"/>
  <c r="C548" i="8" s="1"/>
  <c r="C549" i="8" s="1"/>
  <c r="C550" i="8" s="1"/>
  <c r="C551" i="8" s="1"/>
  <c r="C552" i="8" s="1"/>
  <c r="C553" i="8" s="1"/>
  <c r="C554" i="8" s="1"/>
  <c r="C555" i="8" s="1"/>
  <c r="C556" i="8" s="1"/>
  <c r="C557" i="8" s="1"/>
  <c r="C558" i="8" s="1"/>
  <c r="C559" i="8" s="1"/>
  <c r="C560" i="8" s="1"/>
  <c r="C561" i="8" s="1"/>
  <c r="C562" i="8" s="1"/>
  <c r="C563" i="8" s="1"/>
  <c r="C564" i="8" s="1"/>
  <c r="C565" i="8" s="1"/>
  <c r="C566" i="8" s="1"/>
  <c r="C567" i="8" s="1"/>
  <c r="C568" i="8" s="1"/>
  <c r="C569" i="8" s="1"/>
  <c r="C570" i="8" s="1"/>
  <c r="C571" i="8" s="1"/>
  <c r="C572" i="8" s="1"/>
  <c r="C573" i="8" s="1"/>
  <c r="C574" i="8" s="1"/>
  <c r="C575" i="8" s="1"/>
  <c r="C576" i="8" s="1"/>
  <c r="C577" i="8" s="1"/>
  <c r="C578" i="8" s="1"/>
  <c r="C579" i="8" s="1"/>
  <c r="C580" i="8" s="1"/>
  <c r="C581" i="8" s="1"/>
  <c r="C582" i="8" s="1"/>
  <c r="C583" i="8" s="1"/>
  <c r="C584" i="8" s="1"/>
  <c r="C585" i="8" s="1"/>
  <c r="C586" i="8" s="1"/>
  <c r="C587" i="8" s="1"/>
  <c r="C588" i="8" s="1"/>
  <c r="C589" i="8" s="1"/>
  <c r="C590" i="8" s="1"/>
  <c r="C591" i="8" s="1"/>
  <c r="C592" i="8" s="1"/>
  <c r="C593" i="8" s="1"/>
  <c r="C594" i="8" s="1"/>
  <c r="C595" i="8" s="1"/>
  <c r="C596" i="8" s="1"/>
  <c r="C597" i="8" s="1"/>
  <c r="C598" i="8" s="1"/>
  <c r="C599" i="8" s="1"/>
  <c r="C600" i="8" s="1"/>
  <c r="C601" i="8" s="1"/>
  <c r="C602" i="8" s="1"/>
  <c r="C603" i="8" s="1"/>
  <c r="C604" i="8" s="1"/>
  <c r="C605" i="8" s="1"/>
  <c r="C606" i="8" s="1"/>
  <c r="C607" i="8" s="1"/>
  <c r="C608" i="8" s="1"/>
  <c r="C609" i="8" s="1"/>
  <c r="C610" i="8" s="1"/>
  <c r="C611" i="8" s="1"/>
  <c r="C612" i="8" s="1"/>
  <c r="C613" i="8" s="1"/>
  <c r="C614" i="8" s="1"/>
  <c r="C615" i="8" s="1"/>
  <c r="C616" i="8" s="1"/>
  <c r="C617" i="8" s="1"/>
  <c r="C618" i="8" s="1"/>
  <c r="C619" i="8" s="1"/>
  <c r="C620" i="8" s="1"/>
  <c r="C621" i="8" s="1"/>
  <c r="C622" i="8" s="1"/>
  <c r="C623" i="8" s="1"/>
  <c r="C624" i="8" s="1"/>
  <c r="C625" i="8" s="1"/>
  <c r="C626" i="8" s="1"/>
  <c r="C627" i="8" s="1"/>
  <c r="C628" i="8" s="1"/>
  <c r="C629" i="8" s="1"/>
  <c r="C630" i="8" s="1"/>
  <c r="C631" i="8" s="1"/>
  <c r="C632" i="8" s="1"/>
  <c r="C633" i="8" s="1"/>
  <c r="C634" i="8" s="1"/>
  <c r="C635" i="8" s="1"/>
  <c r="C636" i="8" s="1"/>
  <c r="C637" i="8" s="1"/>
  <c r="C638" i="8" s="1"/>
  <c r="C639" i="8" s="1"/>
  <c r="C640" i="8" s="1"/>
  <c r="C641" i="8" s="1"/>
  <c r="C642" i="8" s="1"/>
  <c r="C643" i="8" s="1"/>
  <c r="C644" i="8" s="1"/>
  <c r="C645" i="8" s="1"/>
  <c r="C646" i="8" s="1"/>
  <c r="C647" i="8" s="1"/>
  <c r="C648" i="8" s="1"/>
  <c r="C649" i="8" s="1"/>
  <c r="C650" i="8" s="1"/>
  <c r="C651" i="8" s="1"/>
  <c r="C652" i="8" s="1"/>
  <c r="C653" i="8" s="1"/>
  <c r="C654" i="8" s="1"/>
  <c r="C655" i="8" s="1"/>
  <c r="C656" i="8" s="1"/>
  <c r="C657" i="8" s="1"/>
  <c r="C658" i="8" s="1"/>
  <c r="C659" i="8" s="1"/>
  <c r="C660" i="8" s="1"/>
  <c r="C661" i="8" s="1"/>
  <c r="C662" i="8" s="1"/>
  <c r="C663" i="8" s="1"/>
  <c r="C664" i="8" s="1"/>
  <c r="C665" i="8" s="1"/>
  <c r="C666" i="8" s="1"/>
  <c r="C667" i="8" s="1"/>
  <c r="C668" i="8" s="1"/>
  <c r="C669" i="8" s="1"/>
  <c r="C670" i="8" s="1"/>
  <c r="C671" i="8" s="1"/>
  <c r="C672" i="8" s="1"/>
  <c r="C673" i="8" s="1"/>
  <c r="C674" i="8" s="1"/>
  <c r="C675" i="8" s="1"/>
  <c r="C676" i="8" s="1"/>
  <c r="C677" i="8" s="1"/>
  <c r="C678" i="8" s="1"/>
  <c r="C679" i="8" s="1"/>
  <c r="C680" i="8" s="1"/>
  <c r="C681" i="8" s="1"/>
  <c r="C682" i="8" s="1"/>
  <c r="C683" i="8" s="1"/>
  <c r="C684" i="8" s="1"/>
  <c r="C685" i="8" s="1"/>
  <c r="C686" i="8" s="1"/>
  <c r="C687" i="8" s="1"/>
  <c r="C688" i="8" s="1"/>
  <c r="C689" i="8" s="1"/>
  <c r="C690" i="8" s="1"/>
  <c r="C691" i="8" s="1"/>
  <c r="C692" i="8" s="1"/>
  <c r="C693" i="8" s="1"/>
  <c r="C694" i="8" s="1"/>
  <c r="C695" i="8" s="1"/>
  <c r="C696" i="8" s="1"/>
  <c r="C697" i="8" s="1"/>
  <c r="C698" i="8" s="1"/>
  <c r="C699" i="8" s="1"/>
  <c r="C700" i="8" s="1"/>
  <c r="C701" i="8" s="1"/>
  <c r="C702" i="8" s="1"/>
  <c r="C703" i="8" s="1"/>
  <c r="C704" i="8" s="1"/>
  <c r="C705" i="8" s="1"/>
  <c r="C706" i="8" s="1"/>
  <c r="C707" i="8" s="1"/>
  <c r="C708" i="8" s="1"/>
  <c r="C709" i="8" s="1"/>
  <c r="C710" i="8" s="1"/>
  <c r="C711" i="8" s="1"/>
  <c r="C712" i="8" s="1"/>
  <c r="C713" i="8" s="1"/>
  <c r="C714" i="8" s="1"/>
  <c r="C715" i="8" s="1"/>
  <c r="C716" i="8" s="1"/>
  <c r="C717" i="8" s="1"/>
  <c r="C718" i="8" s="1"/>
  <c r="C719" i="8" s="1"/>
  <c r="C720" i="8" s="1"/>
  <c r="C721" i="8" s="1"/>
  <c r="C722" i="8" s="1"/>
  <c r="C723" i="8" s="1"/>
  <c r="C724" i="8" s="1"/>
  <c r="C725" i="8" s="1"/>
  <c r="C726" i="8" s="1"/>
  <c r="C727" i="8" s="1"/>
  <c r="C728" i="8" s="1"/>
  <c r="C729" i="8" s="1"/>
  <c r="C730" i="8" s="1"/>
  <c r="C731" i="8" s="1"/>
  <c r="C732" i="8" s="1"/>
  <c r="C733" i="8" s="1"/>
  <c r="C734" i="8" s="1"/>
  <c r="C735" i="8" s="1"/>
  <c r="C736" i="8" s="1"/>
  <c r="C737" i="8" s="1"/>
  <c r="C738" i="8" s="1"/>
  <c r="C739" i="8" s="1"/>
  <c r="C740" i="8" s="1"/>
  <c r="C741" i="8" s="1"/>
  <c r="C742" i="8" s="1"/>
  <c r="C743" i="8" s="1"/>
  <c r="C744" i="8" s="1"/>
  <c r="C745" i="8" s="1"/>
  <c r="C746" i="8" s="1"/>
  <c r="C747" i="8" s="1"/>
  <c r="C748" i="8" s="1"/>
  <c r="C749" i="8" s="1"/>
  <c r="C750" i="8" s="1"/>
  <c r="C751" i="8" s="1"/>
  <c r="C752" i="8" s="1"/>
  <c r="C753" i="8" s="1"/>
  <c r="C754" i="8" s="1"/>
  <c r="C755" i="8" s="1"/>
  <c r="C756" i="8" s="1"/>
  <c r="C757" i="8" s="1"/>
  <c r="C758" i="8" s="1"/>
  <c r="C759" i="8" s="1"/>
  <c r="C760" i="8" s="1"/>
  <c r="C761" i="8" s="1"/>
  <c r="C762" i="8" s="1"/>
  <c r="C763" i="8" s="1"/>
  <c r="C764" i="8" s="1"/>
  <c r="C765" i="8" s="1"/>
  <c r="C766" i="8" s="1"/>
  <c r="C767" i="8" s="1"/>
  <c r="C768" i="8" s="1"/>
  <c r="C769" i="8" s="1"/>
  <c r="C770" i="8" s="1"/>
  <c r="C771" i="8" s="1"/>
  <c r="C772" i="8" s="1"/>
  <c r="C773" i="8" s="1"/>
  <c r="C774" i="8" s="1"/>
  <c r="C775" i="8" s="1"/>
  <c r="C776" i="8" s="1"/>
  <c r="C777" i="8" s="1"/>
  <c r="C778" i="8" s="1"/>
  <c r="C779" i="8" s="1"/>
  <c r="C780" i="8" s="1"/>
  <c r="C781" i="8" s="1"/>
  <c r="C782" i="8" s="1"/>
  <c r="C783" i="8" s="1"/>
  <c r="C784" i="8" s="1"/>
  <c r="C785" i="8" s="1"/>
  <c r="C786" i="8" s="1"/>
  <c r="C787" i="8" s="1"/>
  <c r="C788" i="8" s="1"/>
  <c r="C789" i="8" s="1"/>
  <c r="C790" i="8" s="1"/>
  <c r="C791" i="8" s="1"/>
  <c r="C792" i="8" s="1"/>
  <c r="C793" i="8" s="1"/>
  <c r="C794" i="8" s="1"/>
  <c r="C795" i="8" s="1"/>
  <c r="C796" i="8" s="1"/>
  <c r="C797" i="8" s="1"/>
  <c r="C798" i="8" s="1"/>
  <c r="C799" i="8" s="1"/>
  <c r="C800" i="8" s="1"/>
  <c r="C801" i="8" s="1"/>
  <c r="C802" i="8" s="1"/>
  <c r="C803" i="8" s="1"/>
  <c r="C804" i="8" s="1"/>
  <c r="C805" i="8" s="1"/>
  <c r="C806" i="8" s="1"/>
  <c r="C807" i="8" s="1"/>
  <c r="C808" i="8" s="1"/>
  <c r="C809" i="8" s="1"/>
  <c r="C810" i="8" s="1"/>
  <c r="C811" i="8" s="1"/>
  <c r="C812" i="8" s="1"/>
  <c r="C813" i="8" s="1"/>
  <c r="C814" i="8" s="1"/>
  <c r="C815" i="8" s="1"/>
  <c r="C816" i="8" s="1"/>
  <c r="C817" i="8" s="1"/>
  <c r="C818" i="8" s="1"/>
  <c r="C819" i="8" s="1"/>
  <c r="C820" i="8" s="1"/>
  <c r="C821" i="8" s="1"/>
  <c r="C822" i="8" s="1"/>
  <c r="C823" i="8" s="1"/>
  <c r="C824" i="8" s="1"/>
  <c r="C825" i="8" s="1"/>
  <c r="C826" i="8" s="1"/>
  <c r="C827" i="8" s="1"/>
  <c r="C828" i="8" s="1"/>
  <c r="C829" i="8" s="1"/>
  <c r="C830" i="8" s="1"/>
  <c r="C831" i="8" s="1"/>
  <c r="C832" i="8" s="1"/>
  <c r="C833" i="8" s="1"/>
  <c r="C834" i="8" s="1"/>
  <c r="C835" i="8" s="1"/>
  <c r="C836" i="8" s="1"/>
  <c r="C837" i="8" s="1"/>
  <c r="C838" i="8" s="1"/>
  <c r="C839" i="8" s="1"/>
  <c r="C840" i="8" s="1"/>
  <c r="C841" i="8" s="1"/>
  <c r="C842" i="8" s="1"/>
  <c r="C843" i="8" s="1"/>
  <c r="C844" i="8" s="1"/>
  <c r="C845" i="8" s="1"/>
  <c r="C846" i="8" s="1"/>
  <c r="C847" i="8" s="1"/>
  <c r="C848" i="8" s="1"/>
  <c r="C849" i="8" s="1"/>
  <c r="C850" i="8" s="1"/>
  <c r="C851" i="8" s="1"/>
  <c r="C852" i="8" s="1"/>
  <c r="C853" i="8" s="1"/>
  <c r="C854" i="8" s="1"/>
  <c r="C855" i="8" s="1"/>
  <c r="C856" i="8" s="1"/>
  <c r="C857" i="8" s="1"/>
  <c r="C858" i="8" s="1"/>
  <c r="C859" i="8" s="1"/>
  <c r="C860" i="8" s="1"/>
  <c r="C861" i="8" s="1"/>
  <c r="C862" i="8" s="1"/>
  <c r="C863" i="8" s="1"/>
  <c r="C864" i="8" s="1"/>
  <c r="C865" i="8" s="1"/>
  <c r="C866" i="8" s="1"/>
  <c r="C867" i="8" s="1"/>
  <c r="C868" i="8" s="1"/>
  <c r="C869" i="8" s="1"/>
  <c r="C870" i="8" s="1"/>
  <c r="C871" i="8" s="1"/>
  <c r="C872" i="8" s="1"/>
  <c r="C873" i="8" s="1"/>
  <c r="C874" i="8" s="1"/>
  <c r="C875" i="8" s="1"/>
  <c r="C876" i="8" s="1"/>
  <c r="C877" i="8" s="1"/>
  <c r="C878" i="8" s="1"/>
  <c r="C879" i="8" s="1"/>
  <c r="C880" i="8" s="1"/>
  <c r="C881" i="8" s="1"/>
  <c r="C882" i="8" s="1"/>
  <c r="C883" i="8" s="1"/>
  <c r="C884" i="8" s="1"/>
  <c r="C885" i="8" s="1"/>
  <c r="C886" i="8" s="1"/>
  <c r="C887" i="8" s="1"/>
  <c r="C888" i="8" s="1"/>
  <c r="C889" i="8" s="1"/>
  <c r="C890" i="8" s="1"/>
  <c r="C891" i="8" s="1"/>
  <c r="C892" i="8" s="1"/>
  <c r="C893" i="8" s="1"/>
  <c r="C894" i="8" s="1"/>
  <c r="C895" i="8" s="1"/>
  <c r="C896" i="8" s="1"/>
  <c r="C897" i="8" s="1"/>
  <c r="C898" i="8" s="1"/>
  <c r="C899" i="8" s="1"/>
  <c r="C900" i="8" s="1"/>
  <c r="C901" i="8" s="1"/>
  <c r="C902" i="8" s="1"/>
  <c r="C903" i="8" s="1"/>
  <c r="C904" i="8" s="1"/>
  <c r="C905" i="8" s="1"/>
  <c r="C906" i="8" s="1"/>
  <c r="C907" i="8" s="1"/>
  <c r="C908" i="8" s="1"/>
  <c r="C909" i="8" s="1"/>
  <c r="C910" i="8" s="1"/>
  <c r="C911" i="8" s="1"/>
  <c r="C912" i="8" s="1"/>
  <c r="C913" i="8" s="1"/>
  <c r="C914" i="8" s="1"/>
  <c r="C915" i="8" s="1"/>
  <c r="C916" i="8" s="1"/>
  <c r="C917" i="8" s="1"/>
  <c r="C918" i="8" s="1"/>
  <c r="C919" i="8" s="1"/>
  <c r="C920" i="8" s="1"/>
  <c r="C921" i="8" s="1"/>
  <c r="C922" i="8" s="1"/>
  <c r="C923" i="8" s="1"/>
  <c r="C924" i="8" s="1"/>
  <c r="C925" i="8" s="1"/>
  <c r="C926" i="8" s="1"/>
  <c r="C927" i="8" s="1"/>
  <c r="C928" i="8" s="1"/>
  <c r="C929" i="8" s="1"/>
  <c r="C930" i="8" s="1"/>
  <c r="C931" i="8" s="1"/>
  <c r="C932" i="8" s="1"/>
  <c r="C933" i="8" s="1"/>
  <c r="C934" i="8" s="1"/>
  <c r="C935" i="8" s="1"/>
  <c r="C936" i="8" s="1"/>
  <c r="C937" i="8" s="1"/>
  <c r="C938" i="8" s="1"/>
  <c r="C939" i="8" s="1"/>
  <c r="C940" i="8" s="1"/>
  <c r="C941" i="8" s="1"/>
  <c r="C942" i="8" s="1"/>
  <c r="C943" i="8" s="1"/>
  <c r="C944" i="8" s="1"/>
  <c r="C945" i="8" s="1"/>
  <c r="C946" i="8" s="1"/>
  <c r="C947" i="8" s="1"/>
  <c r="C948" i="8" s="1"/>
  <c r="C949" i="8" s="1"/>
  <c r="C950" i="8" s="1"/>
  <c r="C951" i="8" s="1"/>
  <c r="C952" i="8" s="1"/>
  <c r="C953" i="8" s="1"/>
  <c r="C954" i="8" s="1"/>
  <c r="C955" i="8" s="1"/>
  <c r="C956" i="8" s="1"/>
  <c r="C957" i="8" s="1"/>
  <c r="C958" i="8" s="1"/>
  <c r="C959" i="8" s="1"/>
  <c r="C960" i="8" s="1"/>
  <c r="C961" i="8" s="1"/>
  <c r="C962" i="8" s="1"/>
  <c r="C963" i="8" s="1"/>
  <c r="C964" i="8" s="1"/>
  <c r="C965" i="8" s="1"/>
  <c r="C966" i="8" s="1"/>
  <c r="C967" i="8" s="1"/>
  <c r="C968" i="8" s="1"/>
  <c r="C969" i="8" s="1"/>
  <c r="C970" i="8" s="1"/>
  <c r="C971" i="8" s="1"/>
  <c r="C972" i="8" s="1"/>
  <c r="C973" i="8" s="1"/>
  <c r="C974" i="8" s="1"/>
  <c r="C975" i="8" s="1"/>
  <c r="C976" i="8" s="1"/>
  <c r="C977" i="8" s="1"/>
  <c r="C978" i="8" s="1"/>
  <c r="C979" i="8" s="1"/>
  <c r="C980" i="8" s="1"/>
  <c r="C981" i="8" s="1"/>
  <c r="C982" i="8" s="1"/>
  <c r="C983" i="8" s="1"/>
  <c r="C984" i="8" s="1"/>
  <c r="C985" i="8" s="1"/>
  <c r="C986" i="8" s="1"/>
  <c r="C987" i="8" s="1"/>
  <c r="C988" i="8" s="1"/>
  <c r="C989" i="8" s="1"/>
  <c r="C990" i="8" s="1"/>
  <c r="C991" i="8" s="1"/>
  <c r="C992" i="8" s="1"/>
  <c r="C993" i="8" s="1"/>
  <c r="C994" i="8" s="1"/>
  <c r="C995" i="8" s="1"/>
  <c r="C996" i="8" s="1"/>
  <c r="C997" i="8" s="1"/>
  <c r="C998" i="8" s="1"/>
  <c r="C999" i="8" s="1"/>
  <c r="C1000" i="8" s="1"/>
  <c r="C1001" i="8" s="1"/>
  <c r="C1002" i="8" s="1"/>
  <c r="C1003" i="8" s="1"/>
  <c r="C1004" i="8" s="1"/>
  <c r="C1005" i="8" s="1"/>
  <c r="C1006" i="8" s="1"/>
  <c r="C1007" i="8" s="1"/>
  <c r="C1008" i="8" s="1"/>
  <c r="C1009" i="8" s="1"/>
  <c r="C1010" i="8" s="1"/>
  <c r="C1011" i="8" s="1"/>
  <c r="C1012" i="8" s="1"/>
  <c r="C1013" i="8" s="1"/>
  <c r="C1014" i="8" s="1"/>
  <c r="F24" i="2"/>
  <c r="J24" i="2"/>
  <c r="N18" i="2"/>
  <c r="K18" i="2"/>
  <c r="L18" i="2" s="1"/>
  <c r="M18" i="2" s="1"/>
  <c r="E12" i="2"/>
  <c r="E11" i="2" s="1"/>
  <c r="H11" i="2"/>
  <c r="I11" i="2" s="1"/>
  <c r="I12" i="2" s="1"/>
  <c r="D11" i="2"/>
  <c r="AC21" i="2"/>
  <c r="AD21" i="2" s="1"/>
  <c r="AC43" i="2"/>
  <c r="AC36" i="2"/>
  <c r="AC28" i="2" s="1"/>
  <c r="Z36" i="2"/>
  <c r="Z39" i="2"/>
  <c r="Z34" i="2"/>
  <c r="AC34" i="2"/>
  <c r="Z40" i="2"/>
  <c r="W48" i="2"/>
  <c r="AC40" i="2"/>
  <c r="AD40" i="2" s="1"/>
  <c r="AE40" i="2" s="1"/>
  <c r="AF40" i="2" s="1"/>
  <c r="AG40" i="2" s="1"/>
  <c r="AH40" i="2" s="1"/>
  <c r="AC39" i="2"/>
  <c r="AC44" i="2"/>
  <c r="AC45" i="2"/>
  <c r="AD34" i="2" s="1"/>
  <c r="AE34" i="2" s="1"/>
  <c r="AF34" i="2" s="1"/>
  <c r="AG34" i="2" s="1"/>
  <c r="AH34" i="2" s="1"/>
  <c r="AC42" i="2"/>
  <c r="AD39" i="2" s="1"/>
  <c r="AE39" i="2" s="1"/>
  <c r="AF39" i="2" s="1"/>
  <c r="AG39" i="2" s="1"/>
  <c r="AH39" i="2" s="1"/>
  <c r="Z43" i="2"/>
  <c r="AA43" i="2" s="1"/>
  <c r="Z45" i="2"/>
  <c r="AA45" i="2" s="1"/>
  <c r="AB40" i="2" s="1"/>
  <c r="Z42" i="2"/>
  <c r="AA42" i="2" s="1"/>
  <c r="AB39" i="2" s="1"/>
  <c r="J8" i="2"/>
  <c r="F17" i="2"/>
  <c r="F8" i="2" s="1"/>
  <c r="F15" i="2"/>
  <c r="J33" i="8"/>
  <c r="J34" i="8" s="1"/>
  <c r="C7" i="8" s="1"/>
  <c r="J26" i="8"/>
  <c r="J27" i="8" s="1"/>
  <c r="C5" i="8" s="1"/>
  <c r="J19" i="8"/>
  <c r="J20" i="8" s="1"/>
  <c r="C3" i="8" s="1"/>
  <c r="J29" i="8"/>
  <c r="J22" i="8"/>
  <c r="C4" i="8" s="1"/>
  <c r="J15" i="8"/>
  <c r="C2" i="8" s="1"/>
  <c r="AC4" i="2"/>
  <c r="AC3" i="2"/>
  <c r="F15" i="8"/>
  <c r="A16" i="8"/>
  <c r="A17" i="8" s="1"/>
  <c r="A18" i="8" s="1"/>
  <c r="A19" i="8" s="1"/>
  <c r="A20" i="8" s="1"/>
  <c r="A21" i="8" s="1"/>
  <c r="A22" i="8" s="1"/>
  <c r="A23" i="8" s="1"/>
  <c r="A24" i="8" s="1"/>
  <c r="A25" i="8" s="1"/>
  <c r="A26" i="8" s="1"/>
  <c r="A27" i="8" s="1"/>
  <c r="A28" i="8" s="1"/>
  <c r="A29" i="8" s="1"/>
  <c r="A30" i="8" s="1"/>
  <c r="A31" i="8" s="1"/>
  <c r="A32" i="8" s="1"/>
  <c r="A33" i="8" s="1"/>
  <c r="A34" i="8" s="1"/>
  <c r="A35" i="8" s="1"/>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67" i="8" s="1"/>
  <c r="A68" i="8" s="1"/>
  <c r="A69" i="8" s="1"/>
  <c r="A70" i="8" s="1"/>
  <c r="A71" i="8" s="1"/>
  <c r="A72" i="8" s="1"/>
  <c r="A73" i="8" s="1"/>
  <c r="A74" i="8" s="1"/>
  <c r="A75" i="8" s="1"/>
  <c r="A76" i="8" s="1"/>
  <c r="A77" i="8" s="1"/>
  <c r="A78" i="8" s="1"/>
  <c r="A79" i="8" s="1"/>
  <c r="A80" i="8" s="1"/>
  <c r="A81" i="8" s="1"/>
  <c r="A82" i="8" s="1"/>
  <c r="A83" i="8" s="1"/>
  <c r="A84" i="8" s="1"/>
  <c r="A85" i="8" s="1"/>
  <c r="A86" i="8" s="1"/>
  <c r="A87" i="8" s="1"/>
  <c r="A88" i="8" s="1"/>
  <c r="A89" i="8" s="1"/>
  <c r="A90" i="8" s="1"/>
  <c r="A91" i="8" s="1"/>
  <c r="A92" i="8" s="1"/>
  <c r="A93" i="8" s="1"/>
  <c r="A94" i="8" s="1"/>
  <c r="A95" i="8" s="1"/>
  <c r="A96" i="8" s="1"/>
  <c r="A97" i="8" s="1"/>
  <c r="A98" i="8" s="1"/>
  <c r="A99" i="8" s="1"/>
  <c r="A100" i="8" s="1"/>
  <c r="A101" i="8" s="1"/>
  <c r="A102" i="8" s="1"/>
  <c r="A103" i="8" s="1"/>
  <c r="A104" i="8" s="1"/>
  <c r="A105" i="8" s="1"/>
  <c r="A106" i="8" s="1"/>
  <c r="A107" i="8" s="1"/>
  <c r="A108" i="8" s="1"/>
  <c r="A109" i="8" s="1"/>
  <c r="A110" i="8" s="1"/>
  <c r="A111" i="8" s="1"/>
  <c r="A112" i="8" s="1"/>
  <c r="A113" i="8" s="1"/>
  <c r="A114" i="8" s="1"/>
  <c r="A115" i="8" s="1"/>
  <c r="A116" i="8" s="1"/>
  <c r="A117" i="8" s="1"/>
  <c r="A118" i="8" s="1"/>
  <c r="A119" i="8" s="1"/>
  <c r="A120" i="8" s="1"/>
  <c r="A121" i="8" s="1"/>
  <c r="A122" i="8" s="1"/>
  <c r="A123" i="8" s="1"/>
  <c r="A124" i="8" s="1"/>
  <c r="A125" i="8" s="1"/>
  <c r="A126" i="8" s="1"/>
  <c r="A127" i="8" s="1"/>
  <c r="A128" i="8" s="1"/>
  <c r="A129" i="8" s="1"/>
  <c r="A130" i="8" s="1"/>
  <c r="A131" i="8" s="1"/>
  <c r="A132" i="8" s="1"/>
  <c r="A133" i="8" s="1"/>
  <c r="A134" i="8" s="1"/>
  <c r="A135" i="8" s="1"/>
  <c r="A136" i="8" s="1"/>
  <c r="A137" i="8" s="1"/>
  <c r="A138" i="8" s="1"/>
  <c r="A139" i="8" s="1"/>
  <c r="A140" i="8" s="1"/>
  <c r="A141" i="8" s="1"/>
  <c r="A142" i="8" s="1"/>
  <c r="A143" i="8" s="1"/>
  <c r="A144" i="8" s="1"/>
  <c r="A145" i="8" s="1"/>
  <c r="A146" i="8" s="1"/>
  <c r="A147" i="8" s="1"/>
  <c r="A148" i="8" s="1"/>
  <c r="A149" i="8" s="1"/>
  <c r="A150" i="8" s="1"/>
  <c r="A151" i="8" s="1"/>
  <c r="A152" i="8" s="1"/>
  <c r="A153" i="8" s="1"/>
  <c r="A154" i="8" s="1"/>
  <c r="A155" i="8" s="1"/>
  <c r="A156" i="8" s="1"/>
  <c r="A157" i="8" s="1"/>
  <c r="A158" i="8" s="1"/>
  <c r="A159" i="8" s="1"/>
  <c r="A160" i="8" s="1"/>
  <c r="A161" i="8" s="1"/>
  <c r="A162" i="8" s="1"/>
  <c r="A163" i="8" s="1"/>
  <c r="A164" i="8" s="1"/>
  <c r="A165" i="8" s="1"/>
  <c r="A166" i="8" s="1"/>
  <c r="A167" i="8" s="1"/>
  <c r="A168" i="8" s="1"/>
  <c r="A169" i="8" s="1"/>
  <c r="A170" i="8" s="1"/>
  <c r="A171" i="8" s="1"/>
  <c r="A172" i="8" s="1"/>
  <c r="A173" i="8" s="1"/>
  <c r="A174" i="8" s="1"/>
  <c r="A175" i="8" s="1"/>
  <c r="A176" i="8" s="1"/>
  <c r="A177" i="8" s="1"/>
  <c r="A178" i="8" s="1"/>
  <c r="A179" i="8" s="1"/>
  <c r="A180" i="8" s="1"/>
  <c r="A181" i="8" s="1"/>
  <c r="A182" i="8" s="1"/>
  <c r="A183" i="8" s="1"/>
  <c r="A184" i="8" s="1"/>
  <c r="A185" i="8" s="1"/>
  <c r="A186" i="8" s="1"/>
  <c r="A187" i="8" s="1"/>
  <c r="A188" i="8" s="1"/>
  <c r="A189" i="8" s="1"/>
  <c r="A190" i="8" s="1"/>
  <c r="A191" i="8" s="1"/>
  <c r="A192" i="8" s="1"/>
  <c r="A193" i="8" s="1"/>
  <c r="A194" i="8" s="1"/>
  <c r="A195" i="8" s="1"/>
  <c r="A196" i="8" s="1"/>
  <c r="A197" i="8" s="1"/>
  <c r="A198" i="8" s="1"/>
  <c r="A199" i="8" s="1"/>
  <c r="A200" i="8" s="1"/>
  <c r="A201" i="8" s="1"/>
  <c r="A202" i="8" s="1"/>
  <c r="A203" i="8" s="1"/>
  <c r="A204" i="8" s="1"/>
  <c r="A205" i="8" s="1"/>
  <c r="A206" i="8" s="1"/>
  <c r="A207" i="8" s="1"/>
  <c r="A208" i="8" s="1"/>
  <c r="A209" i="8" s="1"/>
  <c r="A210" i="8" s="1"/>
  <c r="A211" i="8" s="1"/>
  <c r="A212" i="8" s="1"/>
  <c r="A213" i="8" s="1"/>
  <c r="A214" i="8" s="1"/>
  <c r="A215" i="8" s="1"/>
  <c r="A216" i="8" s="1"/>
  <c r="A217" i="8" s="1"/>
  <c r="A218" i="8" s="1"/>
  <c r="A219" i="8" s="1"/>
  <c r="A220" i="8" s="1"/>
  <c r="A221" i="8" s="1"/>
  <c r="A222" i="8" s="1"/>
  <c r="A223" i="8" s="1"/>
  <c r="A224" i="8" s="1"/>
  <c r="A225" i="8" s="1"/>
  <c r="A226" i="8" s="1"/>
  <c r="A227" i="8" s="1"/>
  <c r="A228" i="8" s="1"/>
  <c r="A229" i="8" s="1"/>
  <c r="A230" i="8" s="1"/>
  <c r="A231" i="8" s="1"/>
  <c r="A232" i="8" s="1"/>
  <c r="A233" i="8" s="1"/>
  <c r="A234" i="8" s="1"/>
  <c r="A235" i="8" s="1"/>
  <c r="A236" i="8" s="1"/>
  <c r="A237" i="8" s="1"/>
  <c r="A238" i="8" s="1"/>
  <c r="A239" i="8" s="1"/>
  <c r="A240" i="8" s="1"/>
  <c r="A241" i="8" s="1"/>
  <c r="A242" i="8" s="1"/>
  <c r="A243" i="8" s="1"/>
  <c r="A244" i="8" s="1"/>
  <c r="A245" i="8" s="1"/>
  <c r="A246" i="8" s="1"/>
  <c r="A247" i="8" s="1"/>
  <c r="A248" i="8" s="1"/>
  <c r="A249" i="8" s="1"/>
  <c r="A250" i="8" s="1"/>
  <c r="A251" i="8" s="1"/>
  <c r="A252" i="8" s="1"/>
  <c r="A253" i="8" s="1"/>
  <c r="A254" i="8" s="1"/>
  <c r="A255" i="8" s="1"/>
  <c r="A256" i="8" s="1"/>
  <c r="A257" i="8" s="1"/>
  <c r="A258" i="8" s="1"/>
  <c r="A259" i="8" s="1"/>
  <c r="A260" i="8" s="1"/>
  <c r="A261" i="8" s="1"/>
  <c r="A262" i="8" s="1"/>
  <c r="A263" i="8" s="1"/>
  <c r="A264" i="8" s="1"/>
  <c r="A265" i="8" s="1"/>
  <c r="A266" i="8" s="1"/>
  <c r="A267" i="8" s="1"/>
  <c r="A268" i="8" s="1"/>
  <c r="A269" i="8" s="1"/>
  <c r="A270" i="8" s="1"/>
  <c r="A271" i="8" s="1"/>
  <c r="A272" i="8" s="1"/>
  <c r="A273" i="8" s="1"/>
  <c r="A274" i="8" s="1"/>
  <c r="A275" i="8" s="1"/>
  <c r="A276" i="8" s="1"/>
  <c r="A277" i="8" s="1"/>
  <c r="A278" i="8" s="1"/>
  <c r="A279" i="8" s="1"/>
  <c r="A280" i="8" s="1"/>
  <c r="A281" i="8" s="1"/>
  <c r="A282" i="8" s="1"/>
  <c r="A283" i="8" s="1"/>
  <c r="A284" i="8" s="1"/>
  <c r="A285" i="8" s="1"/>
  <c r="A286" i="8" s="1"/>
  <c r="A287" i="8" s="1"/>
  <c r="A288" i="8" s="1"/>
  <c r="A289" i="8" s="1"/>
  <c r="A290" i="8" s="1"/>
  <c r="A291" i="8" s="1"/>
  <c r="A292" i="8" s="1"/>
  <c r="A293" i="8" s="1"/>
  <c r="A294" i="8" s="1"/>
  <c r="A295" i="8" s="1"/>
  <c r="A296" i="8" s="1"/>
  <c r="A297" i="8" s="1"/>
  <c r="A298" i="8" s="1"/>
  <c r="A299" i="8" s="1"/>
  <c r="A300" i="8" s="1"/>
  <c r="A301" i="8" s="1"/>
  <c r="A302" i="8" s="1"/>
  <c r="A303" i="8" s="1"/>
  <c r="A304" i="8" s="1"/>
  <c r="A305" i="8" s="1"/>
  <c r="A306" i="8" s="1"/>
  <c r="A307" i="8" s="1"/>
  <c r="A308" i="8" s="1"/>
  <c r="A309" i="8" s="1"/>
  <c r="A310" i="8" s="1"/>
  <c r="A311" i="8" s="1"/>
  <c r="A312" i="8" s="1"/>
  <c r="A313" i="8" s="1"/>
  <c r="A314" i="8" s="1"/>
  <c r="A315" i="8" s="1"/>
  <c r="A316" i="8" s="1"/>
  <c r="A317" i="8" s="1"/>
  <c r="A318" i="8" s="1"/>
  <c r="A319" i="8" s="1"/>
  <c r="A320" i="8" s="1"/>
  <c r="A321" i="8" s="1"/>
  <c r="A322" i="8" s="1"/>
  <c r="A323" i="8" s="1"/>
  <c r="A324" i="8" s="1"/>
  <c r="A325" i="8" s="1"/>
  <c r="A326" i="8" s="1"/>
  <c r="A327" i="8" s="1"/>
  <c r="A328" i="8" s="1"/>
  <c r="A329" i="8" s="1"/>
  <c r="A330" i="8" s="1"/>
  <c r="A331" i="8" s="1"/>
  <c r="A332" i="8" s="1"/>
  <c r="A333" i="8" s="1"/>
  <c r="A334" i="8" s="1"/>
  <c r="A335" i="8" s="1"/>
  <c r="A336" i="8" s="1"/>
  <c r="A337" i="8" s="1"/>
  <c r="A338" i="8" s="1"/>
  <c r="A339" i="8" s="1"/>
  <c r="A340" i="8" s="1"/>
  <c r="A341" i="8" s="1"/>
  <c r="A342" i="8" s="1"/>
  <c r="A343" i="8" s="1"/>
  <c r="A344" i="8" s="1"/>
  <c r="A345" i="8" s="1"/>
  <c r="A346" i="8" s="1"/>
  <c r="A347" i="8" s="1"/>
  <c r="A348" i="8" s="1"/>
  <c r="A349" i="8" s="1"/>
  <c r="A350" i="8" s="1"/>
  <c r="A351" i="8" s="1"/>
  <c r="A352" i="8" s="1"/>
  <c r="A353" i="8" s="1"/>
  <c r="A354" i="8" s="1"/>
  <c r="A355" i="8" s="1"/>
  <c r="A356" i="8" s="1"/>
  <c r="A357" i="8" s="1"/>
  <c r="A358" i="8" s="1"/>
  <c r="A359" i="8" s="1"/>
  <c r="A360" i="8" s="1"/>
  <c r="A361" i="8" s="1"/>
  <c r="A362" i="8" s="1"/>
  <c r="A363" i="8" s="1"/>
  <c r="A364" i="8" s="1"/>
  <c r="A365" i="8" s="1"/>
  <c r="A366" i="8" s="1"/>
  <c r="A367" i="8" s="1"/>
  <c r="A368" i="8" s="1"/>
  <c r="A369" i="8" s="1"/>
  <c r="A370" i="8" s="1"/>
  <c r="A371" i="8" s="1"/>
  <c r="A372" i="8" s="1"/>
  <c r="A373" i="8" s="1"/>
  <c r="A374" i="8" s="1"/>
  <c r="A375" i="8" s="1"/>
  <c r="A376" i="8" s="1"/>
  <c r="A377" i="8" s="1"/>
  <c r="A378" i="8" s="1"/>
  <c r="A379" i="8" s="1"/>
  <c r="A380" i="8" s="1"/>
  <c r="A381" i="8" s="1"/>
  <c r="A382" i="8" s="1"/>
  <c r="A383" i="8" s="1"/>
  <c r="A384" i="8" s="1"/>
  <c r="A385" i="8" s="1"/>
  <c r="A386" i="8" s="1"/>
  <c r="A387" i="8" s="1"/>
  <c r="A388" i="8" s="1"/>
  <c r="A389" i="8" s="1"/>
  <c r="A390" i="8" s="1"/>
  <c r="A391" i="8" s="1"/>
  <c r="A392" i="8" s="1"/>
  <c r="A393" i="8" s="1"/>
  <c r="A394" i="8" s="1"/>
  <c r="A395" i="8" s="1"/>
  <c r="A396" i="8" s="1"/>
  <c r="A397" i="8" s="1"/>
  <c r="A398" i="8" s="1"/>
  <c r="A399" i="8" s="1"/>
  <c r="A400" i="8" s="1"/>
  <c r="A401" i="8" s="1"/>
  <c r="A402" i="8" s="1"/>
  <c r="A403" i="8" s="1"/>
  <c r="A404" i="8" s="1"/>
  <c r="A405" i="8" s="1"/>
  <c r="A406" i="8" s="1"/>
  <c r="A407" i="8" s="1"/>
  <c r="A408" i="8" s="1"/>
  <c r="A409" i="8" s="1"/>
  <c r="A410" i="8" s="1"/>
  <c r="A411" i="8" s="1"/>
  <c r="A412" i="8" s="1"/>
  <c r="A413" i="8" s="1"/>
  <c r="A414" i="8" s="1"/>
  <c r="A415" i="8" s="1"/>
  <c r="A416" i="8" s="1"/>
  <c r="A417" i="8" s="1"/>
  <c r="A418" i="8" s="1"/>
  <c r="A419" i="8" s="1"/>
  <c r="A420" i="8" s="1"/>
  <c r="A421" i="8" s="1"/>
  <c r="A422" i="8" s="1"/>
  <c r="A423" i="8" s="1"/>
  <c r="A424" i="8" s="1"/>
  <c r="A425" i="8" s="1"/>
  <c r="A426" i="8" s="1"/>
  <c r="A427" i="8" s="1"/>
  <c r="A428" i="8" s="1"/>
  <c r="A429" i="8" s="1"/>
  <c r="A430" i="8" s="1"/>
  <c r="A431" i="8" s="1"/>
  <c r="A432" i="8" s="1"/>
  <c r="A433" i="8" s="1"/>
  <c r="A434" i="8" s="1"/>
  <c r="A435" i="8" s="1"/>
  <c r="A436" i="8" s="1"/>
  <c r="A437" i="8" s="1"/>
  <c r="A438" i="8" s="1"/>
  <c r="A439" i="8" s="1"/>
  <c r="A440" i="8" s="1"/>
  <c r="A441" i="8" s="1"/>
  <c r="A442" i="8" s="1"/>
  <c r="A443" i="8" s="1"/>
  <c r="A444" i="8" s="1"/>
  <c r="A445" i="8" s="1"/>
  <c r="A446" i="8" s="1"/>
  <c r="A447" i="8" s="1"/>
  <c r="A448" i="8" s="1"/>
  <c r="A449" i="8" s="1"/>
  <c r="A450" i="8" s="1"/>
  <c r="A451" i="8" s="1"/>
  <c r="A452" i="8" s="1"/>
  <c r="A453" i="8" s="1"/>
  <c r="A454" i="8" s="1"/>
  <c r="A455" i="8" s="1"/>
  <c r="A456" i="8" s="1"/>
  <c r="A457" i="8" s="1"/>
  <c r="A458" i="8" s="1"/>
  <c r="A459" i="8" s="1"/>
  <c r="A460" i="8" s="1"/>
  <c r="A461" i="8" s="1"/>
  <c r="A462" i="8" s="1"/>
  <c r="A463" i="8" s="1"/>
  <c r="A464" i="8" s="1"/>
  <c r="A465" i="8" s="1"/>
  <c r="A466" i="8" s="1"/>
  <c r="A467" i="8" s="1"/>
  <c r="A468" i="8" s="1"/>
  <c r="A469" i="8" s="1"/>
  <c r="A470" i="8" s="1"/>
  <c r="A471" i="8" s="1"/>
  <c r="A472" i="8" s="1"/>
  <c r="A473" i="8" s="1"/>
  <c r="A474" i="8" s="1"/>
  <c r="A475" i="8" s="1"/>
  <c r="A476" i="8" s="1"/>
  <c r="A477" i="8" s="1"/>
  <c r="A478" i="8" s="1"/>
  <c r="A479" i="8" s="1"/>
  <c r="A480" i="8" s="1"/>
  <c r="A481" i="8" s="1"/>
  <c r="A482" i="8" s="1"/>
  <c r="A483" i="8" s="1"/>
  <c r="A484" i="8" s="1"/>
  <c r="A485" i="8" s="1"/>
  <c r="A486" i="8" s="1"/>
  <c r="A487" i="8" s="1"/>
  <c r="A488" i="8" s="1"/>
  <c r="A489" i="8" s="1"/>
  <c r="A490" i="8" s="1"/>
  <c r="A491" i="8" s="1"/>
  <c r="A492" i="8" s="1"/>
  <c r="A493" i="8" s="1"/>
  <c r="A494" i="8" s="1"/>
  <c r="A495" i="8" s="1"/>
  <c r="A496" i="8" s="1"/>
  <c r="A497" i="8" s="1"/>
  <c r="A498" i="8" s="1"/>
  <c r="A499" i="8" s="1"/>
  <c r="A500" i="8" s="1"/>
  <c r="A501" i="8" s="1"/>
  <c r="A502" i="8" s="1"/>
  <c r="A503" i="8" s="1"/>
  <c r="A504" i="8" s="1"/>
  <c r="A505" i="8" s="1"/>
  <c r="A506" i="8" s="1"/>
  <c r="A507" i="8" s="1"/>
  <c r="A508" i="8" s="1"/>
  <c r="A509" i="8" s="1"/>
  <c r="A510" i="8" s="1"/>
  <c r="A511" i="8" s="1"/>
  <c r="A512" i="8" s="1"/>
  <c r="A513" i="8" s="1"/>
  <c r="A514" i="8" s="1"/>
  <c r="A515" i="8" s="1"/>
  <c r="A516" i="8" s="1"/>
  <c r="A517" i="8" s="1"/>
  <c r="A518" i="8" s="1"/>
  <c r="A519" i="8" s="1"/>
  <c r="A520" i="8" s="1"/>
  <c r="A521" i="8" s="1"/>
  <c r="A522" i="8" s="1"/>
  <c r="A523" i="8" s="1"/>
  <c r="A524" i="8" s="1"/>
  <c r="A525" i="8" s="1"/>
  <c r="A526" i="8" s="1"/>
  <c r="A527" i="8" s="1"/>
  <c r="A528" i="8" s="1"/>
  <c r="A529" i="8" s="1"/>
  <c r="A530" i="8" s="1"/>
  <c r="A531" i="8" s="1"/>
  <c r="A532" i="8" s="1"/>
  <c r="A533" i="8" s="1"/>
  <c r="A534" i="8" s="1"/>
  <c r="A535" i="8" s="1"/>
  <c r="A536" i="8" s="1"/>
  <c r="A537" i="8" s="1"/>
  <c r="A538" i="8" s="1"/>
  <c r="A539" i="8" s="1"/>
  <c r="A540" i="8" s="1"/>
  <c r="A541" i="8" s="1"/>
  <c r="A542" i="8" s="1"/>
  <c r="A543" i="8" s="1"/>
  <c r="A544" i="8" s="1"/>
  <c r="A545" i="8" s="1"/>
  <c r="A546" i="8" s="1"/>
  <c r="A547" i="8" s="1"/>
  <c r="A548" i="8" s="1"/>
  <c r="A549" i="8" s="1"/>
  <c r="A550" i="8" s="1"/>
  <c r="A551" i="8" s="1"/>
  <c r="A552" i="8" s="1"/>
  <c r="A553" i="8" s="1"/>
  <c r="A554" i="8" s="1"/>
  <c r="A555" i="8" s="1"/>
  <c r="A556" i="8" s="1"/>
  <c r="A557" i="8" s="1"/>
  <c r="A558" i="8" s="1"/>
  <c r="A559" i="8" s="1"/>
  <c r="A560" i="8" s="1"/>
  <c r="A561" i="8" s="1"/>
  <c r="A562" i="8" s="1"/>
  <c r="A563" i="8" s="1"/>
  <c r="A564" i="8" s="1"/>
  <c r="A565" i="8" s="1"/>
  <c r="A566" i="8" s="1"/>
  <c r="A567" i="8" s="1"/>
  <c r="A568" i="8" s="1"/>
  <c r="A569" i="8" s="1"/>
  <c r="A570" i="8" s="1"/>
  <c r="A571" i="8" s="1"/>
  <c r="A572" i="8" s="1"/>
  <c r="A573" i="8" s="1"/>
  <c r="A574" i="8" s="1"/>
  <c r="A575" i="8" s="1"/>
  <c r="A576" i="8" s="1"/>
  <c r="A577" i="8" s="1"/>
  <c r="A578" i="8" s="1"/>
  <c r="A579" i="8" s="1"/>
  <c r="A580" i="8" s="1"/>
  <c r="A581" i="8" s="1"/>
  <c r="A582" i="8" s="1"/>
  <c r="A583" i="8" s="1"/>
  <c r="A584" i="8" s="1"/>
  <c r="A585" i="8" s="1"/>
  <c r="A586" i="8" s="1"/>
  <c r="A587" i="8" s="1"/>
  <c r="A588" i="8" s="1"/>
  <c r="A589" i="8" s="1"/>
  <c r="A590" i="8" s="1"/>
  <c r="A591" i="8" s="1"/>
  <c r="A592" i="8" s="1"/>
  <c r="A593" i="8" s="1"/>
  <c r="A594" i="8" s="1"/>
  <c r="A595" i="8" s="1"/>
  <c r="A596" i="8" s="1"/>
  <c r="A597" i="8" s="1"/>
  <c r="A598" i="8" s="1"/>
  <c r="A599" i="8" s="1"/>
  <c r="A600" i="8" s="1"/>
  <c r="A601" i="8" s="1"/>
  <c r="A602" i="8" s="1"/>
  <c r="A603" i="8" s="1"/>
  <c r="A604" i="8" s="1"/>
  <c r="A605" i="8" s="1"/>
  <c r="A606" i="8" s="1"/>
  <c r="A607" i="8" s="1"/>
  <c r="A608" i="8" s="1"/>
  <c r="A609" i="8" s="1"/>
  <c r="A610" i="8" s="1"/>
  <c r="A611" i="8" s="1"/>
  <c r="A612" i="8" s="1"/>
  <c r="A613" i="8" s="1"/>
  <c r="A614" i="8" s="1"/>
  <c r="A615" i="8" s="1"/>
  <c r="A616" i="8" s="1"/>
  <c r="A617" i="8" s="1"/>
  <c r="A618" i="8" s="1"/>
  <c r="A619" i="8" s="1"/>
  <c r="A620" i="8" s="1"/>
  <c r="A621" i="8" s="1"/>
  <c r="A622" i="8" s="1"/>
  <c r="A623" i="8" s="1"/>
  <c r="A624" i="8" s="1"/>
  <c r="A625" i="8" s="1"/>
  <c r="A626" i="8" s="1"/>
  <c r="A627" i="8" s="1"/>
  <c r="A628" i="8" s="1"/>
  <c r="A629" i="8" s="1"/>
  <c r="A630" i="8" s="1"/>
  <c r="A631" i="8" s="1"/>
  <c r="A632" i="8" s="1"/>
  <c r="A633" i="8" s="1"/>
  <c r="A634" i="8" s="1"/>
  <c r="A635" i="8" s="1"/>
  <c r="A636" i="8" s="1"/>
  <c r="A637" i="8" s="1"/>
  <c r="A638" i="8" s="1"/>
  <c r="A639" i="8" s="1"/>
  <c r="A640" i="8" s="1"/>
  <c r="A641" i="8" s="1"/>
  <c r="A642" i="8" s="1"/>
  <c r="A643" i="8" s="1"/>
  <c r="A644" i="8" s="1"/>
  <c r="A645" i="8" s="1"/>
  <c r="A646" i="8" s="1"/>
  <c r="A647" i="8" s="1"/>
  <c r="A648" i="8" s="1"/>
  <c r="A649" i="8" s="1"/>
  <c r="A650" i="8" s="1"/>
  <c r="A651" i="8" s="1"/>
  <c r="A652" i="8" s="1"/>
  <c r="A653" i="8" s="1"/>
  <c r="A654" i="8" s="1"/>
  <c r="A655" i="8" s="1"/>
  <c r="A656" i="8" s="1"/>
  <c r="A657" i="8" s="1"/>
  <c r="A658" i="8" s="1"/>
  <c r="A659" i="8" s="1"/>
  <c r="A660" i="8" s="1"/>
  <c r="A661" i="8" s="1"/>
  <c r="A662" i="8" s="1"/>
  <c r="A663" i="8" s="1"/>
  <c r="A664" i="8" s="1"/>
  <c r="A665" i="8" s="1"/>
  <c r="A666" i="8" s="1"/>
  <c r="A667" i="8" s="1"/>
  <c r="A668" i="8" s="1"/>
  <c r="A669" i="8" s="1"/>
  <c r="A670" i="8" s="1"/>
  <c r="A671" i="8" s="1"/>
  <c r="A672" i="8" s="1"/>
  <c r="A673" i="8" s="1"/>
  <c r="A674" i="8" s="1"/>
  <c r="A675" i="8" s="1"/>
  <c r="A676" i="8" s="1"/>
  <c r="A677" i="8" s="1"/>
  <c r="A678" i="8" s="1"/>
  <c r="A679" i="8" s="1"/>
  <c r="A680" i="8" s="1"/>
  <c r="A681" i="8" s="1"/>
  <c r="A682" i="8" s="1"/>
  <c r="A683" i="8" s="1"/>
  <c r="A684" i="8" s="1"/>
  <c r="A685" i="8" s="1"/>
  <c r="A686" i="8" s="1"/>
  <c r="A687" i="8" s="1"/>
  <c r="A688" i="8" s="1"/>
  <c r="A689" i="8" s="1"/>
  <c r="A690" i="8" s="1"/>
  <c r="A691" i="8" s="1"/>
  <c r="A692" i="8" s="1"/>
  <c r="A693" i="8" s="1"/>
  <c r="A694" i="8" s="1"/>
  <c r="A695" i="8" s="1"/>
  <c r="A696" i="8" s="1"/>
  <c r="A697" i="8" s="1"/>
  <c r="A698" i="8" s="1"/>
  <c r="A699" i="8" s="1"/>
  <c r="A700" i="8" s="1"/>
  <c r="A701" i="8" s="1"/>
  <c r="A702" i="8" s="1"/>
  <c r="A703" i="8" s="1"/>
  <c r="A704" i="8" s="1"/>
  <c r="A705" i="8" s="1"/>
  <c r="A706" i="8" s="1"/>
  <c r="A707" i="8" s="1"/>
  <c r="A708" i="8" s="1"/>
  <c r="A709" i="8" s="1"/>
  <c r="A710" i="8" s="1"/>
  <c r="A711" i="8" s="1"/>
  <c r="A712" i="8" s="1"/>
  <c r="A713" i="8" s="1"/>
  <c r="A714" i="8" s="1"/>
  <c r="A715" i="8" s="1"/>
  <c r="A716" i="8" s="1"/>
  <c r="A717" i="8" s="1"/>
  <c r="A718" i="8" s="1"/>
  <c r="A719" i="8" s="1"/>
  <c r="A720" i="8" s="1"/>
  <c r="A721" i="8" s="1"/>
  <c r="A722" i="8" s="1"/>
  <c r="A723" i="8" s="1"/>
  <c r="A724" i="8" s="1"/>
  <c r="A725" i="8" s="1"/>
  <c r="A726" i="8" s="1"/>
  <c r="A727" i="8" s="1"/>
  <c r="A728" i="8" s="1"/>
  <c r="A729" i="8" s="1"/>
  <c r="A730" i="8" s="1"/>
  <c r="A731" i="8" s="1"/>
  <c r="A732" i="8" s="1"/>
  <c r="A733" i="8" s="1"/>
  <c r="A734" i="8" s="1"/>
  <c r="A735" i="8" s="1"/>
  <c r="A736" i="8" s="1"/>
  <c r="A737" i="8" s="1"/>
  <c r="A738" i="8" s="1"/>
  <c r="A739" i="8" s="1"/>
  <c r="A740" i="8" s="1"/>
  <c r="A741" i="8" s="1"/>
  <c r="A742" i="8" s="1"/>
  <c r="A743" i="8" s="1"/>
  <c r="A744" i="8" s="1"/>
  <c r="A745" i="8" s="1"/>
  <c r="A746" i="8" s="1"/>
  <c r="A747" i="8" s="1"/>
  <c r="A748" i="8" s="1"/>
  <c r="A749" i="8" s="1"/>
  <c r="A750" i="8" s="1"/>
  <c r="A751" i="8" s="1"/>
  <c r="A752" i="8" s="1"/>
  <c r="A753" i="8" s="1"/>
  <c r="A754" i="8" s="1"/>
  <c r="A755" i="8" s="1"/>
  <c r="A756" i="8" s="1"/>
  <c r="A757" i="8" s="1"/>
  <c r="A758" i="8" s="1"/>
  <c r="A759" i="8" s="1"/>
  <c r="A760" i="8" s="1"/>
  <c r="A761" i="8" s="1"/>
  <c r="A762" i="8" s="1"/>
  <c r="A763" i="8" s="1"/>
  <c r="A764" i="8" s="1"/>
  <c r="A765" i="8" s="1"/>
  <c r="A766" i="8" s="1"/>
  <c r="A767" i="8" s="1"/>
  <c r="A768" i="8" s="1"/>
  <c r="A769" i="8" s="1"/>
  <c r="A770" i="8" s="1"/>
  <c r="A771" i="8" s="1"/>
  <c r="A772" i="8" s="1"/>
  <c r="A773" i="8" s="1"/>
  <c r="A774" i="8" s="1"/>
  <c r="A775" i="8" s="1"/>
  <c r="A776" i="8" s="1"/>
  <c r="A777" i="8" s="1"/>
  <c r="A778" i="8" s="1"/>
  <c r="A779" i="8" s="1"/>
  <c r="A780" i="8" s="1"/>
  <c r="A781" i="8" s="1"/>
  <c r="A782" i="8" s="1"/>
  <c r="A783" i="8" s="1"/>
  <c r="A784" i="8" s="1"/>
  <c r="A785" i="8" s="1"/>
  <c r="A786" i="8" s="1"/>
  <c r="A787" i="8" s="1"/>
  <c r="A788" i="8" s="1"/>
  <c r="A789" i="8" s="1"/>
  <c r="A790" i="8" s="1"/>
  <c r="A791" i="8" s="1"/>
  <c r="A792" i="8" s="1"/>
  <c r="A793" i="8" s="1"/>
  <c r="A794" i="8" s="1"/>
  <c r="A795" i="8" s="1"/>
  <c r="A796" i="8" s="1"/>
  <c r="A797" i="8" s="1"/>
  <c r="A798" i="8" s="1"/>
  <c r="A799" i="8" s="1"/>
  <c r="A800" i="8" s="1"/>
  <c r="A801" i="8" s="1"/>
  <c r="A802" i="8" s="1"/>
  <c r="A803" i="8" s="1"/>
  <c r="A804" i="8" s="1"/>
  <c r="A805" i="8" s="1"/>
  <c r="A806" i="8" s="1"/>
  <c r="A807" i="8" s="1"/>
  <c r="A808" i="8" s="1"/>
  <c r="A809" i="8" s="1"/>
  <c r="A810" i="8" s="1"/>
  <c r="A811" i="8" s="1"/>
  <c r="A812" i="8" s="1"/>
  <c r="A813" i="8" s="1"/>
  <c r="A814" i="8" s="1"/>
  <c r="A815" i="8" s="1"/>
  <c r="A816" i="8" s="1"/>
  <c r="A817" i="8" s="1"/>
  <c r="A818" i="8" s="1"/>
  <c r="A819" i="8" s="1"/>
  <c r="A820" i="8" s="1"/>
  <c r="A821" i="8" s="1"/>
  <c r="A822" i="8" s="1"/>
  <c r="A823" i="8" s="1"/>
  <c r="A824" i="8" s="1"/>
  <c r="A825" i="8" s="1"/>
  <c r="A826" i="8" s="1"/>
  <c r="A827" i="8" s="1"/>
  <c r="A828" i="8" s="1"/>
  <c r="A829" i="8" s="1"/>
  <c r="A830" i="8" s="1"/>
  <c r="A831" i="8" s="1"/>
  <c r="A832" i="8" s="1"/>
  <c r="A833" i="8" s="1"/>
  <c r="A834" i="8" s="1"/>
  <c r="A835" i="8" s="1"/>
  <c r="A836" i="8" s="1"/>
  <c r="A837" i="8" s="1"/>
  <c r="A838" i="8" s="1"/>
  <c r="A839" i="8" s="1"/>
  <c r="A840" i="8" s="1"/>
  <c r="A841" i="8" s="1"/>
  <c r="A842" i="8" s="1"/>
  <c r="A843" i="8" s="1"/>
  <c r="A844" i="8" s="1"/>
  <c r="A845" i="8" s="1"/>
  <c r="A846" i="8" s="1"/>
  <c r="A847" i="8" s="1"/>
  <c r="A848" i="8" s="1"/>
  <c r="A849" i="8" s="1"/>
  <c r="A850" i="8" s="1"/>
  <c r="A851" i="8" s="1"/>
  <c r="A852" i="8" s="1"/>
  <c r="A853" i="8" s="1"/>
  <c r="A854" i="8" s="1"/>
  <c r="A855" i="8" s="1"/>
  <c r="A856" i="8" s="1"/>
  <c r="A857" i="8" s="1"/>
  <c r="A858" i="8" s="1"/>
  <c r="A859" i="8" s="1"/>
  <c r="A860" i="8" s="1"/>
  <c r="A861" i="8" s="1"/>
  <c r="A862" i="8" s="1"/>
  <c r="A863" i="8" s="1"/>
  <c r="A864" i="8" s="1"/>
  <c r="A865" i="8" s="1"/>
  <c r="A866" i="8" s="1"/>
  <c r="A867" i="8" s="1"/>
  <c r="A868" i="8" s="1"/>
  <c r="A869" i="8" s="1"/>
  <c r="A870" i="8" s="1"/>
  <c r="A871" i="8" s="1"/>
  <c r="A872" i="8" s="1"/>
  <c r="A873" i="8" s="1"/>
  <c r="A874" i="8" s="1"/>
  <c r="A875" i="8" s="1"/>
  <c r="A876" i="8" s="1"/>
  <c r="A877" i="8" s="1"/>
  <c r="A878" i="8" s="1"/>
  <c r="A879" i="8" s="1"/>
  <c r="A880" i="8" s="1"/>
  <c r="A881" i="8" s="1"/>
  <c r="A882" i="8" s="1"/>
  <c r="A883" i="8" s="1"/>
  <c r="A884" i="8" s="1"/>
  <c r="A885" i="8" s="1"/>
  <c r="A886" i="8" s="1"/>
  <c r="A887" i="8" s="1"/>
  <c r="A888" i="8" s="1"/>
  <c r="A889" i="8" s="1"/>
  <c r="A890" i="8" s="1"/>
  <c r="A891" i="8" s="1"/>
  <c r="A892" i="8" s="1"/>
  <c r="A893" i="8" s="1"/>
  <c r="A894" i="8" s="1"/>
  <c r="A895" i="8" s="1"/>
  <c r="A896" i="8" s="1"/>
  <c r="A897" i="8" s="1"/>
  <c r="A898" i="8" s="1"/>
  <c r="A899" i="8" s="1"/>
  <c r="A900" i="8" s="1"/>
  <c r="A901" i="8" s="1"/>
  <c r="A902" i="8" s="1"/>
  <c r="A903" i="8" s="1"/>
  <c r="A904" i="8" s="1"/>
  <c r="A905" i="8" s="1"/>
  <c r="A906" i="8" s="1"/>
  <c r="A907" i="8" s="1"/>
  <c r="A908" i="8" s="1"/>
  <c r="A909" i="8" s="1"/>
  <c r="A910" i="8" s="1"/>
  <c r="A911" i="8" s="1"/>
  <c r="A912" i="8" s="1"/>
  <c r="A913" i="8" s="1"/>
  <c r="A914" i="8" s="1"/>
  <c r="A915" i="8" s="1"/>
  <c r="A916" i="8" s="1"/>
  <c r="A917" i="8" s="1"/>
  <c r="A918" i="8" s="1"/>
  <c r="A919" i="8" s="1"/>
  <c r="A920" i="8" s="1"/>
  <c r="A921" i="8" s="1"/>
  <c r="A922" i="8" s="1"/>
  <c r="A923" i="8" s="1"/>
  <c r="A924" i="8" s="1"/>
  <c r="A925" i="8" s="1"/>
  <c r="A926" i="8" s="1"/>
  <c r="A927" i="8" s="1"/>
  <c r="A928" i="8" s="1"/>
  <c r="A929" i="8" s="1"/>
  <c r="A930" i="8" s="1"/>
  <c r="A931" i="8" s="1"/>
  <c r="A932" i="8" s="1"/>
  <c r="A933" i="8" s="1"/>
  <c r="A934" i="8" s="1"/>
  <c r="A935" i="8" s="1"/>
  <c r="A936" i="8" s="1"/>
  <c r="A937" i="8" s="1"/>
  <c r="A938" i="8" s="1"/>
  <c r="A939" i="8" s="1"/>
  <c r="A940" i="8" s="1"/>
  <c r="A941" i="8" s="1"/>
  <c r="A942" i="8" s="1"/>
  <c r="A943" i="8" s="1"/>
  <c r="A944" i="8" s="1"/>
  <c r="A945" i="8" s="1"/>
  <c r="A946" i="8" s="1"/>
  <c r="A947" i="8" s="1"/>
  <c r="A948" i="8" s="1"/>
  <c r="A949" i="8" s="1"/>
  <c r="A950" i="8" s="1"/>
  <c r="A951" i="8" s="1"/>
  <c r="A952" i="8" s="1"/>
  <c r="A953" i="8" s="1"/>
  <c r="A954" i="8" s="1"/>
  <c r="A955" i="8" s="1"/>
  <c r="A956" i="8" s="1"/>
  <c r="A957" i="8" s="1"/>
  <c r="A958" i="8" s="1"/>
  <c r="A959" i="8" s="1"/>
  <c r="A960" i="8" s="1"/>
  <c r="A961" i="8" s="1"/>
  <c r="A962" i="8" s="1"/>
  <c r="A963" i="8" s="1"/>
  <c r="A964" i="8" s="1"/>
  <c r="A965" i="8" s="1"/>
  <c r="A966" i="8" s="1"/>
  <c r="A967" i="8" s="1"/>
  <c r="A968" i="8" s="1"/>
  <c r="A969" i="8" s="1"/>
  <c r="A970" i="8" s="1"/>
  <c r="A971" i="8" s="1"/>
  <c r="A972" i="8" s="1"/>
  <c r="A973" i="8" s="1"/>
  <c r="A974" i="8" s="1"/>
  <c r="A975" i="8" s="1"/>
  <c r="A976" i="8" s="1"/>
  <c r="A977" i="8" s="1"/>
  <c r="A978" i="8" s="1"/>
  <c r="A979" i="8" s="1"/>
  <c r="A980" i="8" s="1"/>
  <c r="A981" i="8" s="1"/>
  <c r="A982" i="8" s="1"/>
  <c r="A983" i="8" s="1"/>
  <c r="A984" i="8" s="1"/>
  <c r="A985" i="8" s="1"/>
  <c r="A986" i="8" s="1"/>
  <c r="A987" i="8" s="1"/>
  <c r="A988" i="8" s="1"/>
  <c r="A989" i="8" s="1"/>
  <c r="A990" i="8" s="1"/>
  <c r="A991" i="8" s="1"/>
  <c r="A992" i="8" s="1"/>
  <c r="A993" i="8" s="1"/>
  <c r="A994" i="8" s="1"/>
  <c r="A995" i="8" s="1"/>
  <c r="A996" i="8" s="1"/>
  <c r="A997" i="8" s="1"/>
  <c r="A998" i="8" s="1"/>
  <c r="A999" i="8" s="1"/>
  <c r="A1000" i="8" s="1"/>
  <c r="A1001" i="8" s="1"/>
  <c r="A1002" i="8" s="1"/>
  <c r="A1003" i="8" s="1"/>
  <c r="A1004" i="8" s="1"/>
  <c r="A1005" i="8" s="1"/>
  <c r="A1006" i="8" s="1"/>
  <c r="A1007" i="8" s="1"/>
  <c r="A1008" i="8" s="1"/>
  <c r="A1009" i="8" s="1"/>
  <c r="A1010" i="8" s="1"/>
  <c r="A1011" i="8" s="1"/>
  <c r="A1012" i="8" s="1"/>
  <c r="A1013" i="8" s="1"/>
  <c r="A1014" i="8" s="1"/>
  <c r="AI110" i="2"/>
  <c r="AF32" i="2"/>
  <c r="AG32" i="2" s="1"/>
  <c r="AH32" i="2" s="1"/>
  <c r="AC30" i="2"/>
  <c r="AD30" i="2" s="1"/>
  <c r="AE30" i="2" s="1"/>
  <c r="AF30" i="2" s="1"/>
  <c r="AG30" i="2" s="1"/>
  <c r="AH30" i="2" s="1"/>
  <c r="AC32" i="2"/>
  <c r="AD32" i="2" s="1"/>
  <c r="AI124" i="2"/>
  <c r="AC94" i="2"/>
  <c r="AA111" i="2"/>
  <c r="AB111" i="2"/>
  <c r="AB128" i="2" s="1"/>
  <c r="Z111" i="2"/>
  <c r="G36" i="8" l="1"/>
  <c r="G35" i="8"/>
  <c r="AA34" i="2"/>
  <c r="E2" i="8"/>
  <c r="AB34" i="2"/>
  <c r="AA40" i="2"/>
  <c r="F12" i="2"/>
  <c r="E4" i="8"/>
  <c r="AA39" i="2"/>
  <c r="AA36" i="2"/>
  <c r="C2" i="4"/>
  <c r="C6" i="4" s="1"/>
  <c r="C7" i="4" s="1"/>
  <c r="C6" i="8"/>
  <c r="E6" i="8" s="1"/>
  <c r="AA110" i="2"/>
  <c r="AB110" i="2"/>
  <c r="Z110" i="2"/>
  <c r="AA124" i="2"/>
  <c r="AB124" i="2"/>
  <c r="AC124" i="2"/>
  <c r="AD124" i="2"/>
  <c r="AE124" i="2"/>
  <c r="AF124" i="2"/>
  <c r="AG124" i="2"/>
  <c r="AH124" i="2"/>
  <c r="Z124" i="2"/>
  <c r="AA118" i="2"/>
  <c r="AB118" i="2"/>
  <c r="AC118" i="2"/>
  <c r="Z118" i="2"/>
  <c r="F11" i="2" l="1"/>
  <c r="G11" i="2"/>
  <c r="E8" i="8"/>
  <c r="AC31" i="2"/>
  <c r="C22" i="4"/>
  <c r="AB112" i="2"/>
  <c r="AB91" i="2"/>
  <c r="AA91" i="2"/>
  <c r="AA96" i="2" s="1"/>
  <c r="AB89" i="2"/>
  <c r="AA80" i="2"/>
  <c r="AC106" i="2"/>
  <c r="AD31" i="2" l="1"/>
  <c r="AD37" i="2" s="1"/>
  <c r="B14" i="8"/>
  <c r="J11" i="2"/>
  <c r="F25" i="2"/>
  <c r="AC29" i="2"/>
  <c r="AD29" i="2" s="1"/>
  <c r="AE29" i="2" s="1"/>
  <c r="AF29" i="2" s="1"/>
  <c r="AG29" i="2" s="1"/>
  <c r="AH29" i="2" s="1"/>
  <c r="AA89" i="2"/>
  <c r="AA97" i="2" s="1"/>
  <c r="AA98" i="2" s="1"/>
  <c r="AA79" i="2"/>
  <c r="AB96" i="2"/>
  <c r="AB97" i="2" s="1"/>
  <c r="AB98" i="2" s="1"/>
  <c r="AB79" i="2"/>
  <c r="AB126" i="2"/>
  <c r="Z126" i="2"/>
  <c r="Z128" i="2"/>
  <c r="AA126" i="2"/>
  <c r="AA128" i="2"/>
  <c r="Y47" i="2"/>
  <c r="Z47" i="2" s="1"/>
  <c r="V47" i="2"/>
  <c r="P36" i="2"/>
  <c r="Q2" i="2"/>
  <c r="R2" i="2" s="1"/>
  <c r="S2" i="2" s="1"/>
  <c r="T2" i="2" s="1"/>
  <c r="U2" i="2" s="1"/>
  <c r="V2" i="2" s="1"/>
  <c r="K6" i="1"/>
  <c r="K5" i="1"/>
  <c r="AC60" i="2"/>
  <c r="AC61" i="2"/>
  <c r="AD61" i="2" s="1"/>
  <c r="AE61" i="2" s="1"/>
  <c r="AF61" i="2" s="1"/>
  <c r="AG61" i="2" s="1"/>
  <c r="AH61" i="2" s="1"/>
  <c r="X74" i="2"/>
  <c r="Y74" i="2"/>
  <c r="Z74" i="2"/>
  <c r="W62" i="2"/>
  <c r="W63" i="2" s="1"/>
  <c r="W65" i="2" s="1"/>
  <c r="W67" i="2" s="1"/>
  <c r="W69" i="2" s="1"/>
  <c r="X62" i="2"/>
  <c r="X63" i="2" s="1"/>
  <c r="X65" i="2" s="1"/>
  <c r="X67" i="2" s="1"/>
  <c r="X69" i="2" s="1"/>
  <c r="Y62" i="2"/>
  <c r="Y63" i="2" s="1"/>
  <c r="Y65" i="2" s="1"/>
  <c r="Y67" i="2" s="1"/>
  <c r="Y69" i="2" s="1"/>
  <c r="W57" i="2"/>
  <c r="X57" i="2"/>
  <c r="Y57" i="2"/>
  <c r="W53" i="2"/>
  <c r="X53" i="2"/>
  <c r="Y53" i="2"/>
  <c r="I61" i="2"/>
  <c r="J61" i="2" s="1"/>
  <c r="I60" i="2"/>
  <c r="J60" i="2" s="1"/>
  <c r="I59" i="2"/>
  <c r="J59" i="2" s="1"/>
  <c r="I68" i="2"/>
  <c r="J68" i="2" s="1"/>
  <c r="D62" i="2"/>
  <c r="E62" i="2"/>
  <c r="F62" i="2"/>
  <c r="G62" i="2"/>
  <c r="H62" i="2"/>
  <c r="C62" i="2"/>
  <c r="H81" i="2"/>
  <c r="H80" i="2"/>
  <c r="C79" i="2"/>
  <c r="D79" i="2"/>
  <c r="E79" i="2"/>
  <c r="F79" i="2"/>
  <c r="E57" i="2"/>
  <c r="F57" i="2"/>
  <c r="G57" i="2"/>
  <c r="G58" i="2" s="1"/>
  <c r="G76" i="2" s="1"/>
  <c r="H57" i="2"/>
  <c r="C57" i="2"/>
  <c r="D57" i="2"/>
  <c r="H53" i="2"/>
  <c r="H73" i="2" s="1"/>
  <c r="F53" i="2"/>
  <c r="E53" i="2"/>
  <c r="C53" i="2"/>
  <c r="G72" i="2" s="1"/>
  <c r="D53" i="2"/>
  <c r="AA53" i="2"/>
  <c r="AB53" i="2" s="1"/>
  <c r="AB74" i="2"/>
  <c r="AA74" i="2"/>
  <c r="AB64" i="2"/>
  <c r="AA64" i="2"/>
  <c r="Z64" i="2"/>
  <c r="AA62" i="2"/>
  <c r="AB62" i="2"/>
  <c r="Z62" i="2"/>
  <c r="AA57" i="2"/>
  <c r="AB101" i="2" s="1"/>
  <c r="AB57" i="2"/>
  <c r="Z57" i="2"/>
  <c r="AA101" i="2" s="1"/>
  <c r="Z53" i="2"/>
  <c r="G81" i="2"/>
  <c r="G80" i="2"/>
  <c r="Y2" i="2"/>
  <c r="Z2" i="2" s="1"/>
  <c r="AA2" i="2" s="1"/>
  <c r="AB2" i="2" s="1"/>
  <c r="AC2" i="2" s="1"/>
  <c r="AD2" i="2" s="1"/>
  <c r="AE2" i="2" s="1"/>
  <c r="AF2" i="2" s="1"/>
  <c r="AG2" i="2" s="1"/>
  <c r="AH2" i="2" s="1"/>
  <c r="J12" i="2" l="1"/>
  <c r="J25" i="2"/>
  <c r="AC38" i="2"/>
  <c r="AC93" i="2"/>
  <c r="AD60" i="2"/>
  <c r="AD93" i="2" s="1"/>
  <c r="AC37" i="2"/>
  <c r="Y72" i="2"/>
  <c r="X72" i="2"/>
  <c r="Z72" i="2"/>
  <c r="K7" i="1"/>
  <c r="F73" i="2"/>
  <c r="C58" i="2"/>
  <c r="C76" i="2" s="1"/>
  <c r="G73" i="2"/>
  <c r="J53" i="2"/>
  <c r="J72" i="2" s="1"/>
  <c r="H72" i="2"/>
  <c r="H79" i="2"/>
  <c r="I64" i="2" s="1"/>
  <c r="I62" i="2"/>
  <c r="J62" i="2"/>
  <c r="I73" i="2"/>
  <c r="I57" i="2"/>
  <c r="I58" i="2" s="1"/>
  <c r="G63" i="2"/>
  <c r="E73" i="2"/>
  <c r="H58" i="2"/>
  <c r="F58" i="2"/>
  <c r="D73" i="2"/>
  <c r="E58" i="2"/>
  <c r="D58" i="2"/>
  <c r="I72" i="2"/>
  <c r="AC74" i="2"/>
  <c r="AB100" i="2"/>
  <c r="AA100" i="2"/>
  <c r="Z58" i="2"/>
  <c r="Z76" i="2" s="1"/>
  <c r="G79" i="2"/>
  <c r="AB72" i="2"/>
  <c r="AA72" i="2"/>
  <c r="AC72" i="2"/>
  <c r="AC57" i="2"/>
  <c r="AB58" i="2"/>
  <c r="AB76" i="2" s="1"/>
  <c r="AA58" i="2"/>
  <c r="AA76" i="2" s="1"/>
  <c r="AD38" i="2" l="1"/>
  <c r="AE31" i="2"/>
  <c r="AF31" i="2" s="1"/>
  <c r="AG31" i="2" s="1"/>
  <c r="AH31" i="2" s="1"/>
  <c r="AE60" i="2"/>
  <c r="AC58" i="2"/>
  <c r="AC92" i="2"/>
  <c r="AD27" i="2"/>
  <c r="J73" i="2"/>
  <c r="C63" i="2"/>
  <c r="C65" i="2" s="1"/>
  <c r="C67" i="2" s="1"/>
  <c r="C69" i="2" s="1"/>
  <c r="I63" i="2"/>
  <c r="I65" i="2" s="1"/>
  <c r="I66" i="2" s="1"/>
  <c r="I67" i="2" s="1"/>
  <c r="I79" i="2" s="1"/>
  <c r="J57" i="2"/>
  <c r="J58" i="2" s="1"/>
  <c r="J63" i="2" s="1"/>
  <c r="J77" i="2" s="1"/>
  <c r="E76" i="2"/>
  <c r="E63" i="2"/>
  <c r="D76" i="2"/>
  <c r="D63" i="2"/>
  <c r="F76" i="2"/>
  <c r="F63" i="2"/>
  <c r="G77" i="2"/>
  <c r="G65" i="2"/>
  <c r="G67" i="2" s="1"/>
  <c r="G69" i="2" s="1"/>
  <c r="K8" i="1" s="1"/>
  <c r="H76" i="2"/>
  <c r="H63" i="2"/>
  <c r="Z63" i="2"/>
  <c r="Z65" i="2" s="1"/>
  <c r="AC59" i="2"/>
  <c r="AC62" i="2" s="1"/>
  <c r="AC108" i="2"/>
  <c r="AC107" i="2"/>
  <c r="AC105" i="2"/>
  <c r="AC109" i="2"/>
  <c r="AA63" i="2"/>
  <c r="AB63" i="2"/>
  <c r="AD36" i="2" l="1"/>
  <c r="AD53" i="2" s="1"/>
  <c r="AE38" i="2"/>
  <c r="AE10" i="2"/>
  <c r="AC101" i="2"/>
  <c r="AC110" i="2"/>
  <c r="AC112" i="2" s="1"/>
  <c r="AE93" i="2"/>
  <c r="AF60" i="2"/>
  <c r="C77" i="2"/>
  <c r="AE37" i="2"/>
  <c r="AE27" i="2"/>
  <c r="I77" i="2"/>
  <c r="H77" i="2"/>
  <c r="H65" i="2"/>
  <c r="H67" i="2" s="1"/>
  <c r="H69" i="2" s="1"/>
  <c r="F65" i="2"/>
  <c r="F67" i="2" s="1"/>
  <c r="F69" i="2" s="1"/>
  <c r="F77" i="2"/>
  <c r="D65" i="2"/>
  <c r="D67" i="2" s="1"/>
  <c r="D69" i="2" s="1"/>
  <c r="D77" i="2"/>
  <c r="E65" i="2"/>
  <c r="E67" i="2" s="1"/>
  <c r="E69" i="2" s="1"/>
  <c r="E77" i="2"/>
  <c r="I69" i="2"/>
  <c r="J64" i="2"/>
  <c r="Z77" i="2"/>
  <c r="AA65" i="2"/>
  <c r="AA67" i="2" s="1"/>
  <c r="AA77" i="2"/>
  <c r="Z67" i="2"/>
  <c r="AB65" i="2"/>
  <c r="AB77" i="2"/>
  <c r="AD105" i="2" l="1"/>
  <c r="AD28" i="2"/>
  <c r="AF38" i="2"/>
  <c r="AH37" i="2"/>
  <c r="F16" i="8" s="1"/>
  <c r="AD72" i="2"/>
  <c r="AD57" i="2"/>
  <c r="AD58" i="2" s="1"/>
  <c r="AG60" i="2"/>
  <c r="AF93" i="2"/>
  <c r="AD114" i="2"/>
  <c r="AD118" i="2" s="1"/>
  <c r="AD94" i="2"/>
  <c r="AF37" i="2"/>
  <c r="AF36" i="2" s="1"/>
  <c r="AF53" i="2" s="1"/>
  <c r="AF27" i="2"/>
  <c r="AE36" i="2"/>
  <c r="AE53" i="2" s="1"/>
  <c r="J65" i="2"/>
  <c r="J66" i="2" s="1"/>
  <c r="J67" i="2" s="1"/>
  <c r="AC64" i="2"/>
  <c r="AB67" i="2"/>
  <c r="AB69" i="2" s="1"/>
  <c r="Z69" i="2"/>
  <c r="Z103" i="2"/>
  <c r="AA69" i="2"/>
  <c r="AA103" i="2"/>
  <c r="AH38" i="2" l="1"/>
  <c r="AG38" i="2"/>
  <c r="AD92" i="2"/>
  <c r="AD101" i="2" s="1"/>
  <c r="AD62" i="2"/>
  <c r="AH60" i="2"/>
  <c r="AH93" i="2" s="1"/>
  <c r="AG93" i="2"/>
  <c r="AG37" i="2"/>
  <c r="AG27" i="2"/>
  <c r="AF105" i="2"/>
  <c r="AF28" i="2"/>
  <c r="AE105" i="2"/>
  <c r="AE28" i="2"/>
  <c r="AB103" i="2"/>
  <c r="J69" i="2"/>
  <c r="J79" i="2"/>
  <c r="AC79" i="2" s="1"/>
  <c r="AD63" i="2" l="1"/>
  <c r="AD77" i="2" s="1"/>
  <c r="AD59" i="2"/>
  <c r="E12" i="8"/>
  <c r="AG36" i="2"/>
  <c r="AG53" i="2" s="1"/>
  <c r="AD110" i="2"/>
  <c r="AD112" i="2" s="1"/>
  <c r="AF57" i="2"/>
  <c r="AF58" i="2" s="1"/>
  <c r="AF62" i="2" s="1"/>
  <c r="AF59" i="2" s="1"/>
  <c r="AF72" i="2"/>
  <c r="AE94" i="2"/>
  <c r="AF114" i="2"/>
  <c r="AF118" i="2" s="1"/>
  <c r="AF94" i="2"/>
  <c r="AH36" i="2"/>
  <c r="AH53" i="2" s="1"/>
  <c r="AH27" i="2"/>
  <c r="AE72" i="2"/>
  <c r="AE114" i="2"/>
  <c r="AE118" i="2" s="1"/>
  <c r="AE57" i="2"/>
  <c r="AD64" i="2"/>
  <c r="AD65" i="2" s="1"/>
  <c r="AD66" i="2" s="1"/>
  <c r="AG72" i="2" l="1"/>
  <c r="AG28" i="2"/>
  <c r="AF92" i="2"/>
  <c r="AF110" i="2" s="1"/>
  <c r="AG114" i="2"/>
  <c r="AG118" i="2" s="1"/>
  <c r="AG94" i="2"/>
  <c r="AG105" i="2"/>
  <c r="AE58" i="2"/>
  <c r="AE62" i="2" s="1"/>
  <c r="AE92" i="2"/>
  <c r="AE101" i="2" s="1"/>
  <c r="AH28" i="2"/>
  <c r="AD67" i="2"/>
  <c r="AD103" i="2" s="1"/>
  <c r="AD111" i="2" s="1"/>
  <c r="AD128" i="2" s="1"/>
  <c r="AF63" i="2"/>
  <c r="AF77" i="2" s="1"/>
  <c r="AE63" i="2" l="1"/>
  <c r="AE77" i="2" s="1"/>
  <c r="AE59" i="2"/>
  <c r="AG57" i="2"/>
  <c r="AF101" i="2"/>
  <c r="AE110" i="2"/>
  <c r="AE112" i="2" s="1"/>
  <c r="AH94" i="2"/>
  <c r="AI53" i="2"/>
  <c r="AI105" i="2" s="1"/>
  <c r="AI114" i="2" s="1"/>
  <c r="AI118" i="2" s="1"/>
  <c r="AH105" i="2"/>
  <c r="AH114" i="2"/>
  <c r="AH57" i="2"/>
  <c r="AH72" i="2"/>
  <c r="AD79" i="2"/>
  <c r="AE64" i="2" s="1"/>
  <c r="AE65" i="2" s="1"/>
  <c r="AE66" i="2" s="1"/>
  <c r="AD69" i="2"/>
  <c r="AG58" i="2" l="1"/>
  <c r="AG92" i="2"/>
  <c r="AF112" i="2"/>
  <c r="AH118" i="2"/>
  <c r="AH58" i="2"/>
  <c r="AH92" i="2"/>
  <c r="AD126" i="2"/>
  <c r="AE67" i="2"/>
  <c r="AE103" i="2" s="1"/>
  <c r="AE111" i="2" s="1"/>
  <c r="AE128" i="2" s="1"/>
  <c r="AG101" i="2" l="1"/>
  <c r="AG110" i="2"/>
  <c r="AG112" i="2" s="1"/>
  <c r="AG62" i="2"/>
  <c r="AE126" i="2"/>
  <c r="AH101" i="2"/>
  <c r="AH110" i="2"/>
  <c r="AH112" i="2" s="1"/>
  <c r="AH62" i="2"/>
  <c r="AE79" i="2"/>
  <c r="AF64" i="2" s="1"/>
  <c r="AF65" i="2" s="1"/>
  <c r="AF66" i="2" s="1"/>
  <c r="AE69" i="2"/>
  <c r="AH63" i="2" l="1"/>
  <c r="AH77" i="2" s="1"/>
  <c r="AH59" i="2"/>
  <c r="AG63" i="2"/>
  <c r="AG77" i="2" s="1"/>
  <c r="AG59" i="2"/>
  <c r="AI63" i="2"/>
  <c r="AI65" i="2" s="1"/>
  <c r="AI66" i="2" s="1"/>
  <c r="AI67" i="2" s="1"/>
  <c r="AI103" i="2" s="1"/>
  <c r="AI111" i="2" s="1"/>
  <c r="AI128" i="2" s="1"/>
  <c r="AL126" i="2" s="1"/>
  <c r="AF67" i="2"/>
  <c r="AI126" i="2" l="1"/>
  <c r="AF103" i="2"/>
  <c r="AF111" i="2" s="1"/>
  <c r="AF128" i="2" s="1"/>
  <c r="AF79" i="2"/>
  <c r="AG64" i="2" s="1"/>
  <c r="AG65" i="2" s="1"/>
  <c r="AG66" i="2" s="1"/>
  <c r="AF69" i="2"/>
  <c r="AG67" i="2" l="1"/>
  <c r="AF126" i="2" l="1"/>
  <c r="AG103" i="2"/>
  <c r="AG111" i="2" s="1"/>
  <c r="AG128" i="2" s="1"/>
  <c r="AG69" i="2"/>
  <c r="AG79" i="2"/>
  <c r="AH64" i="2" l="1"/>
  <c r="AH65" i="2" s="1"/>
  <c r="AH66" i="2" s="1"/>
  <c r="AG126" i="2" l="1"/>
  <c r="AH67" i="2"/>
  <c r="AH103" i="2" l="1"/>
  <c r="AH111" i="2" s="1"/>
  <c r="AH128" i="2" s="1"/>
  <c r="AK126" i="2" s="1"/>
  <c r="AM126" i="2" s="1"/>
  <c r="AH69" i="2"/>
  <c r="AH79" i="2"/>
  <c r="AH126" i="2" l="1"/>
  <c r="AC63" i="2"/>
  <c r="AC77" i="2" s="1"/>
  <c r="AC65" i="2" l="1"/>
  <c r="AC67" i="2" s="1"/>
  <c r="AC69" i="2" s="1"/>
  <c r="AC103" i="2" l="1"/>
  <c r="AC111" i="2" s="1"/>
  <c r="AC128" i="2" s="1"/>
  <c r="G33" i="8" l="1"/>
  <c r="AC126" i="2"/>
  <c r="G37" i="8" l="1"/>
  <c r="G39" i="8" s="1"/>
  <c r="G40" i="8" s="1"/>
  <c r="AJ128" i="2"/>
  <c r="AK128" i="2" l="1"/>
  <c r="AL128" i="2" s="1"/>
  <c r="AM128" i="2" s="1"/>
  <c r="AN128" i="2" s="1"/>
  <c r="AO128" i="2" s="1"/>
  <c r="AP128" i="2" s="1"/>
  <c r="AQ128" i="2" s="1"/>
  <c r="AR128" i="2" s="1"/>
  <c r="AS128" i="2" s="1"/>
  <c r="AT128" i="2" s="1"/>
  <c r="AU128" i="2" s="1"/>
  <c r="AV128" i="2" s="1"/>
  <c r="AW128" i="2" s="1"/>
  <c r="AX128" i="2" s="1"/>
  <c r="AY128" i="2" s="1"/>
  <c r="AZ128" i="2" s="1"/>
  <c r="BA128" i="2" s="1"/>
  <c r="BB128" i="2" s="1"/>
  <c r="BC128" i="2" s="1"/>
  <c r="BD128" i="2" s="1"/>
  <c r="BE128" i="2" s="1"/>
  <c r="BF128" i="2" s="1"/>
  <c r="BG128" i="2" s="1"/>
  <c r="BH128" i="2" s="1"/>
  <c r="BI128" i="2" s="1"/>
  <c r="BJ128" i="2" s="1"/>
  <c r="BK128" i="2" s="1"/>
  <c r="BL128" i="2" s="1"/>
  <c r="BM128" i="2" s="1"/>
  <c r="BN128" i="2" s="1"/>
  <c r="BO128" i="2" s="1"/>
  <c r="BP128" i="2" s="1"/>
  <c r="BQ128" i="2" s="1"/>
  <c r="BR128" i="2" s="1"/>
  <c r="BS128" i="2" s="1"/>
  <c r="BT128" i="2" s="1"/>
  <c r="BU128" i="2" s="1"/>
  <c r="BV128" i="2" s="1"/>
  <c r="BW128" i="2" s="1"/>
  <c r="BX128" i="2" s="1"/>
  <c r="BY128" i="2" s="1"/>
  <c r="BZ128" i="2" s="1"/>
  <c r="CA128" i="2" s="1"/>
  <c r="CB128" i="2" s="1"/>
  <c r="CC128" i="2" s="1"/>
  <c r="CD128" i="2" s="1"/>
  <c r="CE128" i="2" s="1"/>
  <c r="CF128" i="2" s="1"/>
  <c r="CG128" i="2" s="1"/>
  <c r="CH128" i="2" s="1"/>
  <c r="CI128" i="2" s="1"/>
  <c r="CJ128" i="2" s="1"/>
  <c r="CK128" i="2" s="1"/>
  <c r="CL128" i="2" s="1"/>
  <c r="CM128" i="2" s="1"/>
  <c r="CN128" i="2" s="1"/>
  <c r="CO128" i="2" s="1"/>
  <c r="CP128" i="2" s="1"/>
  <c r="CQ128" i="2" s="1"/>
  <c r="CR128" i="2" s="1"/>
  <c r="CS128" i="2" s="1"/>
  <c r="CT128" i="2" s="1"/>
  <c r="CU128" i="2" s="1"/>
  <c r="CV128" i="2" s="1"/>
  <c r="CW128" i="2" s="1"/>
  <c r="CX128" i="2" s="1"/>
  <c r="CY128" i="2" s="1"/>
  <c r="CZ128" i="2" s="1"/>
  <c r="DA128" i="2" s="1"/>
  <c r="DB128" i="2" s="1"/>
  <c r="DC128" i="2" s="1"/>
  <c r="DD128" i="2" s="1"/>
  <c r="DE128" i="2" s="1"/>
  <c r="DF128" i="2" s="1"/>
  <c r="DG128" i="2" s="1"/>
  <c r="DH128" i="2" s="1"/>
  <c r="DI128" i="2" s="1"/>
  <c r="DJ128" i="2" s="1"/>
  <c r="DK128" i="2" s="1"/>
  <c r="DL128" i="2" s="1"/>
  <c r="DM128" i="2" s="1"/>
  <c r="C11" i="9"/>
  <c r="AL123" i="2" l="1"/>
  <c r="C9" i="9" s="1"/>
  <c r="AL119" i="2"/>
  <c r="C7" i="9" s="1"/>
  <c r="AK130" i="2"/>
  <c r="AJ67" i="2" l="1"/>
  <c r="J11" i="8" s="1"/>
  <c r="J12" i="8" s="1"/>
  <c r="J13" i="8" s="1"/>
  <c r="C10" i="8" s="1"/>
  <c r="AL124" i="2"/>
  <c r="C13" i="9" s="1"/>
  <c r="C15" i="9" s="1"/>
  <c r="C20" i="9"/>
  <c r="C18" i="9"/>
  <c r="C19" i="9"/>
  <c r="F22" i="8"/>
  <c r="AL125" i="2"/>
  <c r="F20" i="8"/>
  <c r="F24" i="8"/>
  <c r="J8" i="8" l="1"/>
  <c r="C9" i="8"/>
  <c r="C21" i="9"/>
  <c r="C24" i="9" s="1"/>
  <c r="C25" i="9" s="1"/>
  <c r="E9" i="8"/>
  <c r="E11" i="8" s="1"/>
  <c r="D14" i="8" s="1"/>
  <c r="C23" i="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tc={B6688284-DA35-4372-A780-A5694C758617}</author>
    <author>tc={3E6E881E-5C03-49D3-A62C-7EA905923519}</author>
    <author>tc={3BDEB456-6E56-4BAC-B1EF-1DAA966C8FCA}</author>
    <author>tc={83E63C21-977C-438F-8B57-7BF1A98B7083}</author>
    <author>tc={930402CF-3C62-4243-A4C1-01A5F2FB1BBD}</author>
    <author>tc={706AA5D0-3B68-4316-9AB5-E7BDFD5EF801}</author>
    <author>tc={3BD375D7-0B10-42FC-9699-90B801AF29CC}</author>
    <author>tc={0C61AB74-6410-4899-92DB-71CC8802C6FA}</author>
    <author>tc={9110625B-A20F-4814-80C6-6F1F6BAF5A5E}</author>
    <author>tc={E13E47F7-F728-4330-AB6F-377167A8CC30}</author>
    <author>tc={A1AC085D-6825-4B37-8D01-4B2B2237006B}</author>
    <author>tc={579D2475-8567-4E48-BB9B-9F5FA93F9BAE}</author>
    <author>tc={0C8D69BF-FC7E-49A8-9710-5453D28F245F}</author>
    <author>tc={039CF15E-A2F2-4AB9-BED3-79C4EA0446D8}</author>
    <author>tc={8DBC8CD6-1AF2-4E50-B99B-EDC1B76D28A6}</author>
    <author>tc={F007FFDD-AFCC-4115-9860-68DC6499D0AF}</author>
    <author>tc={1417E9F7-7BF3-48C8-B545-D5AA41BF9A25}</author>
    <author>tc={9A65DC37-BB25-49CD-AFD2-D979FE5EDFD4}</author>
    <author>tc={BD0DFD12-C48B-4B89-A9A3-E190FE6FA510}</author>
    <author>tc={3004BDB1-6123-4BE0-B846-0EEAF6DAF4B2}</author>
  </authors>
  <commentList>
    <comment ref="AE2" authorId="0" shapeId="0" xr:uid="{B6688284-DA35-4372-A780-A5694C758617}">
      <text>
        <t>[Threaded comment]
Your version of Excel allows you to read this threaded comment; however, any edits to it will get removed if the file is opened in a newer version of Excel. Learn more: https://go.microsoft.com/fwlink/?linkid=870924
Comment:
    Assumed year of complete transition of enterprise clients to ai tools/reduction in seats. AI tools will increase enterprise ARPU, decrease seats, ultimated lead to less revenue for enterprise clients (CC enterprise, marketing). However, Jevon’s paradox (as tools in an industry get more productive, more users will use the software) so I assume a normal growth rate afterwards to be conservative.</t>
      </text>
    </comment>
    <comment ref="B18" authorId="1" shapeId="0" xr:uid="{3E6E881E-5C03-49D3-A62C-7EA905923519}">
      <text>
        <t>[Threaded comment]
Your version of Excel allows you to read this threaded comment; however, any edits to it will get removed if the file is opened in a newer version of Excel. Learn more: https://go.microsoft.com/fwlink/?linkid=870924
Comment:
    Built in AI: CC, Express, AEP, AEM, Acrobat, etc.</t>
      </text>
    </comment>
    <comment ref="B19" authorId="2" shapeId="0" xr:uid="{3BDEB456-6E56-4BAC-B1EF-1DAA966C8FCA}">
      <text>
        <t>[Threaded comment]
Your version of Excel allows you to read this threaded comment; however, any edits to it will get removed if the file is opened in a newer version of Excel. Learn more: https://go.microsoft.com/fwlink/?linkid=870924
Comment:
    Firefly, GenStudio, Acrobat AI Assistant</t>
      </text>
    </comment>
    <comment ref="AE20" authorId="3" shapeId="0" xr:uid="{83E63C21-977C-438F-8B57-7BF1A98B7083}">
      <text>
        <t>[Threaded comment]
Your version of Excel allows you to read this threaded comment; however, any edits to it will get removed if the file is opened in a newer version of Excel. Learn more: https://go.microsoft.com/fwlink/?linkid=870924
Comment:
    2024 estimate by adobe</t>
      </text>
    </comment>
    <comment ref="B29" authorId="4" shapeId="0" xr:uid="{930402CF-3C62-4243-A4C1-01A5F2FB1BBD}">
      <text>
        <t>[Threaded comment]
Your version of Excel allows you to read this threaded comment; however, any edits to it will get removed if the file is opened in a newer version of Excel. Learn more: https://go.microsoft.com/fwlink/?linkid=870924
Comment:
    Millions; calculated through assuming the ARPU for enterprise and non-enterprise based on subscription pricing with the creative cloud revenue numbers and the total creative cloud seats to find x and y (enterprise seats and non-enterprise seats)</t>
      </text>
    </comment>
    <comment ref="AE29" authorId="5" shapeId="0" xr:uid="{706AA5D0-3B68-4316-9AB5-E7BDFD5EF801}">
      <text>
        <t>[Threaded comment]
Your version of Excel allows you to read this threaded comment; however, any edits to it will get removed if the file is opened in a newer version of Excel. Learn more: https://go.microsoft.com/fwlink/?linkid=870924
Comment:
    Non-enterprise is likely mostly more tied to the art industry/highly elastic many reasons why seats wouldn’t decrease for non-enterprise clients</t>
      </text>
    </comment>
    <comment ref="AE30" authorId="6" shapeId="0" xr:uid="{3BD375D7-0B10-42FC-9699-90B801AF29CC}">
      <text>
        <t>[Threaded comment]
Your version of Excel allows you to read this threaded comment; however, any edits to it will get removed if the file is opened in a newer version of Excel. Learn more: https://go.microsoft.com/fwlink/?linkid=870924
Comment:
    Likely small increase in ARPU due to user gen tokens</t>
      </text>
    </comment>
    <comment ref="B31" authorId="7" shapeId="0" xr:uid="{0C61AB74-6410-4899-92DB-71CC8802C6FA}">
      <text>
        <t>[Threaded comment]
Your version of Excel allows you to read this threaded comment; however, any edits to it will get removed if the file is opened in a newer version of Excel. Learn more: https://go.microsoft.com/fwlink/?linkid=870924
Comment:
    millions</t>
      </text>
    </comment>
    <comment ref="AE31" authorId="8" shapeId="0" xr:uid="{9110625B-A20F-4814-80C6-6F1F6BAF5A5E}">
      <text>
        <t>[Threaded comment]
Your version of Excel allows you to read this threaded comment; however, any edits to it will get removed if the file is opened in a newer version of Excel. Learn more: https://go.microsoft.com/fwlink/?linkid=870924
Comment:
    50% decrease in seats as companies transition to ai -&gt; 100% increased productivity</t>
      </text>
    </comment>
    <comment ref="AE32" authorId="9" shapeId="0" xr:uid="{E13E47F7-F728-4330-AB6F-377167A8CC30}">
      <text>
        <t>[Threaded comment]
Your version of Excel allows you to read this threaded comment; however, any edits to it will get removed if the file is opened in a newer version of Excel. Learn more: https://go.microsoft.com/fwlink/?linkid=870924
Comment:
    Assumed, yet to be conclusively calcuated with research. Assuming a 100% price increase for generative ai tokens. This 100% price increase is justified in the model through an assumed 100% increase in productivity which would let companies reduce seats by 50% which the cost of a human assumed to be ~60k/year vs previous 480/year software license will easily let adobe charge a lot more. The highest firefly tier is currently 200/month for 50k tokens, not everyone is likely to use this much and to be conservative I use a lot less ARPU for enterprise deals and etc.</t>
      </text>
    </comment>
    <comment ref="AB36" authorId="10" shapeId="0" xr:uid="{A1AC085D-6825-4B37-8D01-4B2B2237006B}">
      <text>
        <t>[Threaded comment]
Your version of Excel allows you to read this threaded comment; however, any edits to it will get removed if the file is opened in a newer version of Excel. Learn more: https://go.microsoft.com/fwlink/?linkid=870924
Comment:
    From Q424 end of year segments</t>
      </text>
    </comment>
    <comment ref="AD53" authorId="11" shapeId="0" xr:uid="{579D2475-8567-4E48-BB9B-9F5FA93F9BAE}">
      <text>
        <t>[Threaded comment]
Your version of Excel allows you to read this threaded comment; however, any edits to it will get removed if the file is opened in a newer version of Excel. Learn more: https://go.microsoft.com/fwlink/?linkid=870924
Comment:
    26,000 guidance</t>
      </text>
    </comment>
    <comment ref="AD62" authorId="12" shapeId="0" xr:uid="{0C8D69BF-FC7E-49A8-9710-5453D28F245F}">
      <text>
        <t>[Threaded comment]
Your version of Excel allows you to read this threaded comment; however, any edits to it will get removed if the file is opened in a newer version of Excel. Learn more: https://go.microsoft.com/fwlink/?linkid=870924
Comment:
    Operating margin stable</t>
      </text>
    </comment>
    <comment ref="AD92" authorId="13" shapeId="0" xr:uid="{039CF15E-A2F2-4AB9-BED3-79C4EA0446D8}">
      <text>
        <t>[Threaded comment]
Your version of Excel allows you to read this threaded comment; however, any edits to it will get removed if the file is opened in a newer version of Excel. Learn more: https://go.microsoft.com/fwlink/?linkid=870924
Comment:
    Dpo from cogs</t>
      </text>
    </comment>
    <comment ref="AD93" authorId="14" shapeId="0" xr:uid="{8DBC8CD6-1AF2-4E50-B99B-EDC1B76D28A6}">
      <text>
        <t>[Threaded comment]
Your version of Excel allows you to read this threaded comment; however, any edits to it will get removed if the file is opened in a newer version of Excel. Learn more: https://go.microsoft.com/fwlink/?linkid=870924
Comment:
    Percent of sg&amp;a</t>
      </text>
    </comment>
    <comment ref="AD94" authorId="15" shapeId="0" xr:uid="{F007FFDD-AFCC-4115-9860-68DC6499D0AF}">
      <text>
        <t>[Threaded comment]
Your version of Excel allows you to read this threaded comment; however, any edits to it will get removed if the file is opened in a newer version of Excel. Learn more: https://go.microsoft.com/fwlink/?linkid=870924
Comment:
    Percent of rev</t>
      </text>
    </comment>
    <comment ref="AL120" authorId="16" shapeId="0" xr:uid="{1417E9F7-7BF3-48C8-B545-D5AA41BF9A25}">
      <text>
        <t>[Threaded comment]
Your version of Excel allows you to read this threaded comment; however, any edits to it will get removed if the file is opened in a newer version of Excel. Learn more: https://go.microsoft.com/fwlink/?linkid=870924
Comment:
    ROIC here calculates only return on excess cash held (Interest Income)based on RFR. Not a lot of cash so no reason to model an exact gradient of risk-free return for each year. Only effects valuation minimally.</t>
      </text>
    </comment>
    <comment ref="AL121" authorId="17" shapeId="0" xr:uid="{9A65DC37-BB25-49CD-AFD2-D979FE5EDFD4}">
      <text>
        <t>[Threaded comment]
Your version of Excel allows you to read this threaded comment; however, any edits to it will get removed if the file is opened in a newer version of Excel. Learn more: https://go.microsoft.com/fwlink/?linkid=870924
Comment:
    Long term inflation</t>
      </text>
    </comment>
    <comment ref="AK134" authorId="18" shapeId="0" xr:uid="{BD0DFD12-C48B-4B89-A9A3-E190FE6FA510}">
      <text>
        <t>[Threaded comment]
Your version of Excel allows you to read this threaded comment; however, any edits to it will get removed if the file is opened in a newer version of Excel. Learn more: https://go.microsoft.com/fwlink/?linkid=870924
Comment:
    Around the likely current enterprise ARPU for CC</t>
      </text>
    </comment>
    <comment ref="AK137" authorId="19" shapeId="0" xr:uid="{3004BDB1-6123-4BE0-B846-0EEAF6DAF4B2}">
      <text>
        <t>[Threaded comment]
Your version of Excel allows you to read this threaded comment; however, any edits to it will get removed if the file is opened in a newer version of Excel. Learn more: https://go.microsoft.com/fwlink/?linkid=870924
Comment:
    Current Firefly pricing, theoretical max w/full adoption unless price is raised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tc={F22905CE-BFCC-4EFF-8752-825B27DFA4A9}</author>
    <author>tc={AEE174BD-935D-4D42-A02F-ABA138BCCB63}</author>
    <author>tc={A092ED0B-E1FF-4C9A-93A7-27A118AC35E4}</author>
    <author>tc={EB8EA757-6B7F-4CF6-98CC-C024E14BCD0D}</author>
  </authors>
  <commentList>
    <comment ref="C2" authorId="0" shapeId="0" xr:uid="{F22905CE-BFCC-4EFF-8752-825B27DFA4A9}">
      <text>
        <t>[Threaded comment]
Your version of Excel allows you to read this threaded comment; however, any edits to it will get removed if the file is opened in a newer version of Excel. Learn more: https://go.microsoft.com/fwlink/?linkid=870924
Comment:
    End of 2024 ARR</t>
      </text>
    </comment>
    <comment ref="C3" authorId="1" shapeId="0" xr:uid="{AEE174BD-935D-4D42-A02F-ABA138BCCB63}">
      <text>
        <t>[Threaded comment]
Your version of Excel allows you to read this threaded comment; however, any edits to it will get removed if the file is opened in a newer version of Excel. Learn more: https://go.microsoft.com/fwlink/?linkid=870924
Comment:
    End of 2024 numbers provided</t>
      </text>
    </comment>
    <comment ref="C4" authorId="2" shapeId="0" xr:uid="{A092ED0B-E1FF-4C9A-93A7-27A118AC35E4}">
      <text>
        <t>[Threaded comment]
Your version of Excel allows you to read this threaded comment; however, any edits to it will get removed if the file is opened in a newer version of Excel. Learn more: https://go.microsoft.com/fwlink/?linkid=870924
Comment:
    Base pricing CC suite 35, 23 for singular products, assumed lower due to discounts 15-20 is realistic</t>
      </text>
    </comment>
    <comment ref="C5" authorId="3" shapeId="0" xr:uid="{EB8EA757-6B7F-4CF6-98CC-C024E14BCD0D}">
      <text>
        <t>[Threaded comment]
Your version of Excel allows you to read this threaded comment; however, any edits to it will get removed if the file is opened in a newer version of Excel. Learn more: https://go.microsoft.com/fwlink/?linkid=870924
Comment:
    100 base pricing, up to 25% for enterprise commerical (assumed 25% conservative)</t>
      </text>
    </comment>
  </commentList>
</comments>
</file>

<file path=xl/sharedStrings.xml><?xml version="1.0" encoding="utf-8"?>
<sst xmlns="http://schemas.openxmlformats.org/spreadsheetml/2006/main" count="373" uniqueCount="322">
  <si>
    <t>Price</t>
  </si>
  <si>
    <t>Shares</t>
  </si>
  <si>
    <t>MC</t>
  </si>
  <si>
    <t>Cash</t>
  </si>
  <si>
    <t>Debt</t>
  </si>
  <si>
    <t>EV</t>
  </si>
  <si>
    <t>Subscription</t>
  </si>
  <si>
    <t>Product</t>
  </si>
  <si>
    <t>Services</t>
  </si>
  <si>
    <t>Revenue</t>
  </si>
  <si>
    <t>Subscription COGS</t>
  </si>
  <si>
    <t>Product COGS</t>
  </si>
  <si>
    <t>Services COGS</t>
  </si>
  <si>
    <t>COGS</t>
  </si>
  <si>
    <t>Gross Profit</t>
  </si>
  <si>
    <t>R&amp;D</t>
  </si>
  <si>
    <t>S&amp;M</t>
  </si>
  <si>
    <t>G&amp;A</t>
  </si>
  <si>
    <t>OPEX</t>
  </si>
  <si>
    <t>Operating Income</t>
  </si>
  <si>
    <t>Pretax Income</t>
  </si>
  <si>
    <t>Tax</t>
  </si>
  <si>
    <t>Net Income</t>
  </si>
  <si>
    <t>EPS</t>
  </si>
  <si>
    <t>Gross Margin</t>
  </si>
  <si>
    <t>CFFO</t>
  </si>
  <si>
    <t>FCF</t>
  </si>
  <si>
    <t>Net Cash</t>
  </si>
  <si>
    <t>Q125</t>
  </si>
  <si>
    <t>ROIC</t>
  </si>
  <si>
    <t>Maturity</t>
  </si>
  <si>
    <t>Discount</t>
  </si>
  <si>
    <t>NPV</t>
  </si>
  <si>
    <t>Revenue y/y</t>
  </si>
  <si>
    <t>Operating Margin</t>
  </si>
  <si>
    <t>PP&amp;E</t>
  </si>
  <si>
    <t>GW</t>
  </si>
  <si>
    <t>Other Intangibles</t>
  </si>
  <si>
    <t>Assets</t>
  </si>
  <si>
    <t>SE</t>
  </si>
  <si>
    <t>Liabilities</t>
  </si>
  <si>
    <t>L+SE</t>
  </si>
  <si>
    <t>Main</t>
  </si>
  <si>
    <t>Q124</t>
  </si>
  <si>
    <t>Q224</t>
  </si>
  <si>
    <t>Q324</t>
  </si>
  <si>
    <t>Q425</t>
  </si>
  <si>
    <t>Q225</t>
  </si>
  <si>
    <t>Q325</t>
  </si>
  <si>
    <t>DSO</t>
  </si>
  <si>
    <t>Model NI</t>
  </si>
  <si>
    <t>Reported NI</t>
  </si>
  <si>
    <t>D&amp;A</t>
  </si>
  <si>
    <t>AP</t>
  </si>
  <si>
    <t>DR</t>
  </si>
  <si>
    <t>Digital Media</t>
  </si>
  <si>
    <t>Digital Experience</t>
  </si>
  <si>
    <t>SG&amp;A y/y</t>
  </si>
  <si>
    <t>Revenue q/q</t>
  </si>
  <si>
    <t>Interest Income</t>
  </si>
  <si>
    <t>Share</t>
  </si>
  <si>
    <t>Innovation:</t>
  </si>
  <si>
    <t>https://doi.org/10.1093/pnasnexus/pgae052</t>
  </si>
  <si>
    <t>Creative &amp; Marketing</t>
  </si>
  <si>
    <t>Business &amp; Consumers</t>
  </si>
  <si>
    <t>Marketing (AEP, AEM)</t>
  </si>
  <si>
    <t>Creators &amp; Creative (Creative Cloud)</t>
  </si>
  <si>
    <t>Creative Cloud</t>
  </si>
  <si>
    <t>Acrobat</t>
  </si>
  <si>
    <t>Consumer</t>
  </si>
  <si>
    <t>Creative Cloud non-Enterprise</t>
  </si>
  <si>
    <t>Image/Video Editing and Graphic Design 9% CAGR</t>
  </si>
  <si>
    <t>DAM Software 14% CAGR</t>
  </si>
  <si>
    <t>Creative Cloud Enterprise</t>
  </si>
  <si>
    <t>e-signature and digital document 10% cagr</t>
  </si>
  <si>
    <t>WC</t>
  </si>
  <si>
    <t>CapEx</t>
  </si>
  <si>
    <t>Investments</t>
  </si>
  <si>
    <t>Acquisitions/IPRD</t>
  </si>
  <si>
    <t>Other</t>
  </si>
  <si>
    <t>CFFI</t>
  </si>
  <si>
    <t>Dividends</t>
  </si>
  <si>
    <t>Borrowing</t>
  </si>
  <si>
    <t>Buyback</t>
  </si>
  <si>
    <t>CFFF</t>
  </si>
  <si>
    <t>FX</t>
  </si>
  <si>
    <t>CIC</t>
  </si>
  <si>
    <t>DT</t>
  </si>
  <si>
    <t>SBC</t>
  </si>
  <si>
    <t>A/R</t>
  </si>
  <si>
    <t>Prepaids</t>
  </si>
  <si>
    <t>OCA</t>
  </si>
  <si>
    <t>ONCA</t>
  </si>
  <si>
    <t>Compensation</t>
  </si>
  <si>
    <t>Taxes</t>
  </si>
  <si>
    <t>CC Enterprise Seats</t>
  </si>
  <si>
    <t>CC Enterprise ARPU/month</t>
  </si>
  <si>
    <t>CC ARPU/month</t>
  </si>
  <si>
    <t>CC Seats</t>
  </si>
  <si>
    <t>CC Non-Enterprise ARPU/month</t>
  </si>
  <si>
    <t>CC Non-Enterprise Seats</t>
  </si>
  <si>
    <t>x+y=40</t>
  </si>
  <si>
    <t>y=40-x</t>
  </si>
  <si>
    <t>DPO</t>
  </si>
  <si>
    <t>CIWC</t>
  </si>
  <si>
    <t>T</t>
  </si>
  <si>
    <t>Total CC Revenue</t>
  </si>
  <si>
    <t>Total CC Seats</t>
  </si>
  <si>
    <t>Non-Enterprise ARPU/mo</t>
  </si>
  <si>
    <t>Enterprise ARPU/mo</t>
  </si>
  <si>
    <t>Enterprise Seats</t>
  </si>
  <si>
    <t>Non-Enterprise Seats</t>
  </si>
  <si>
    <t>v</t>
  </si>
  <si>
    <t>Logic:</t>
  </si>
  <si>
    <t>x=Enterprise Seats; y=Non-Enterprise Seats</t>
  </si>
  <si>
    <t>Variables:</t>
  </si>
  <si>
    <t>Unknowns:</t>
  </si>
  <si>
    <t>Knowns:</t>
  </si>
  <si>
    <t>CC Revenue/year</t>
  </si>
  <si>
    <t>CC Seats/year</t>
  </si>
  <si>
    <t>Adjusted for yearly by multiplying by 12</t>
  </si>
  <si>
    <t>Ent ARPU</t>
  </si>
  <si>
    <t>NonENT ARPU</t>
  </si>
  <si>
    <t>Sensitivity Analysis; End Value = ENT Revenue</t>
  </si>
  <si>
    <t>25% of rev</t>
  </si>
  <si>
    <t>46% of rev</t>
  </si>
  <si>
    <t>15% of rev</t>
  </si>
  <si>
    <t>14% of rev</t>
  </si>
  <si>
    <t xml:space="preserve"> CC Enterprise</t>
  </si>
  <si>
    <t xml:space="preserve"> CC NonEnt</t>
  </si>
  <si>
    <t>43% of CC</t>
  </si>
  <si>
    <t>57% of CC</t>
  </si>
  <si>
    <t>Enterprise Software/ Marketing</t>
  </si>
  <si>
    <t>Current CEO takes over, was COO since 2005</t>
  </si>
  <si>
    <t>Adobe stagnates as its business model is outdated and not innovating</t>
  </si>
  <si>
    <t>Adobe transitions to a monthly subscription model and starts focusing on enterprise deals and software</t>
  </si>
  <si>
    <t>Post 2014</t>
  </si>
  <si>
    <t>The new direction of the company which marks the current model of Adobe is very successful</t>
  </si>
  <si>
    <t>Firefly: Adobe's AI Suite</t>
  </si>
  <si>
    <t>Creative Cloud: Digital Art, Visual Media, Digital Editing, etc. Suite of tools package</t>
  </si>
  <si>
    <t>AEP, AEM: Adobe's Enterprise Software</t>
  </si>
  <si>
    <t>Acrobat: Industry Standard Document Tool</t>
  </si>
  <si>
    <t>Firefly?</t>
  </si>
  <si>
    <t>Adobe GenAI seat reduction fears stock collapses ~40%</t>
  </si>
  <si>
    <t>Todo:</t>
  </si>
  <si>
    <t xml:space="preserve"> Management Research &amp; Company History</t>
  </si>
  <si>
    <t xml:space="preserve"> GenAI current legality and future</t>
  </si>
  <si>
    <t>GenAI:</t>
  </si>
  <si>
    <t>Jevon's Paradox:</t>
  </si>
  <si>
    <t>Mean ARPU</t>
  </si>
  <si>
    <t>SD ARPU</t>
  </si>
  <si>
    <t>Mean Growth</t>
  </si>
  <si>
    <t>SD Growth</t>
  </si>
  <si>
    <t>Mean ENT Seats</t>
  </si>
  <si>
    <t>SD ENT Seats</t>
  </si>
  <si>
    <t>a</t>
  </si>
  <si>
    <t>Share Price</t>
  </si>
  <si>
    <t>1000 iterations average</t>
  </si>
  <si>
    <t>Multiple</t>
  </si>
  <si>
    <t>ENT Revenue</t>
  </si>
  <si>
    <t>Bottom 25% Price</t>
  </si>
  <si>
    <t>Top 25% Price</t>
  </si>
  <si>
    <t>Diff</t>
  </si>
  <si>
    <t>Add covariance to show correlation between ARPU and Seats instead of complete randomness</t>
  </si>
  <si>
    <t>Add limits to remove numbers that cannot occur such as negative seats</t>
  </si>
  <si>
    <t>Optimal Portfolio Allocation</t>
  </si>
  <si>
    <t>WinRate</t>
  </si>
  <si>
    <t>LossRate</t>
  </si>
  <si>
    <t>W/L Ratio</t>
  </si>
  <si>
    <t xml:space="preserve">Avg Win </t>
  </si>
  <si>
    <t xml:space="preserve">Avg Loss </t>
  </si>
  <si>
    <t>Optimal Kelly Allocation</t>
  </si>
  <si>
    <t>Half-Kelly</t>
  </si>
  <si>
    <t>DOI</t>
  </si>
  <si>
    <t>Title</t>
  </si>
  <si>
    <t>Description</t>
  </si>
  <si>
    <t>Question</t>
  </si>
  <si>
    <t>Answer</t>
  </si>
  <si>
    <t>Date</t>
  </si>
  <si>
    <t>Interviewee</t>
  </si>
  <si>
    <t>Consenses:</t>
  </si>
  <si>
    <t>KPIs</t>
  </si>
  <si>
    <t xml:space="preserve"> ARR</t>
  </si>
  <si>
    <t xml:space="preserve"> Firefly ARR</t>
  </si>
  <si>
    <t xml:space="preserve"> CC Enterprise Seat Churn</t>
  </si>
  <si>
    <t xml:space="preserve"> GenAI Tokens</t>
  </si>
  <si>
    <t xml:space="preserve"> CC Non Enterprise Seat Churn</t>
  </si>
  <si>
    <t>ARPU</t>
  </si>
  <si>
    <t>Seats</t>
  </si>
  <si>
    <t>Growth</t>
  </si>
  <si>
    <t xml:space="preserve"> Min</t>
  </si>
  <si>
    <t xml:space="preserve"> Max</t>
  </si>
  <si>
    <t xml:space="preserve"> Mode</t>
  </si>
  <si>
    <t xml:space="preserve"> Variance</t>
  </si>
  <si>
    <t xml:space="preserve"> SD</t>
  </si>
  <si>
    <t>&lt;- 5 years normal growth with 50% seat compression</t>
  </si>
  <si>
    <t>&lt;-decelerated growth &amp; seat compression</t>
  </si>
  <si>
    <t>based on ARPU calculations max vs min</t>
  </si>
  <si>
    <t>&lt;- firefly adoption</t>
  </si>
  <si>
    <t>&lt;- normal</t>
  </si>
  <si>
    <t>&lt;- firefly failure, seat compression</t>
  </si>
  <si>
    <t>&lt;- seat compression accelerated growth Jevon's paradox</t>
  </si>
  <si>
    <t>Q126</t>
  </si>
  <si>
    <t>Q226</t>
  </si>
  <si>
    <t>Q326</t>
  </si>
  <si>
    <t>Q426</t>
  </si>
  <si>
    <t xml:space="preserve"> RPOs</t>
  </si>
  <si>
    <t xml:space="preserve"> cRPO</t>
  </si>
  <si>
    <t xml:space="preserve"> customers ARR &gt;10m</t>
  </si>
  <si>
    <t xml:space="preserve"> AEP + Apps ARR</t>
  </si>
  <si>
    <t>"30% yoy"</t>
  </si>
  <si>
    <t>Semrush Acquisition 1H26 @ 1.9b</t>
  </si>
  <si>
    <t>Acrobat+Express</t>
  </si>
  <si>
    <t>Creative Cloud+Firefly</t>
  </si>
  <si>
    <t>"AEP &gt;40%yoy"</t>
  </si>
  <si>
    <t xml:space="preserve"> GenStudio ARR</t>
  </si>
  <si>
    <t xml:space="preserve"> "AI-influenced" ARR</t>
  </si>
  <si>
    <t>Document Cloud ARR</t>
  </si>
  <si>
    <t>CC ARR</t>
  </si>
  <si>
    <t>Experience Cloud ARR</t>
  </si>
  <si>
    <t xml:space="preserve"> "AI-first" ARR</t>
  </si>
  <si>
    <t>CC enterprise ARR</t>
  </si>
  <si>
    <t xml:space="preserve"> TAM</t>
  </si>
  <si>
    <t xml:space="preserve"> CC TAM</t>
  </si>
  <si>
    <t xml:space="preserve"> Document Cloud TAM</t>
  </si>
  <si>
    <t xml:space="preserve"> Experience Cloud TAM</t>
  </si>
  <si>
    <t>(12*15)x+(12*80)y=13900</t>
  </si>
  <si>
    <t>(12*15)x+(12*80)(40-x)=13900</t>
  </si>
  <si>
    <t>Do genAI models destroy creative seats by automating tasks / increasing productivity?</t>
  </si>
  <si>
    <t>Management says AI acts as an accelerant and expands the TAM due to more need for fine-tuning, color-correction, compositing, and assembly</t>
  </si>
  <si>
    <t>Strategy for monetizing AI: higher-priced tiers that include AI capabilities, Acrobat AI assistant, shifting from seat-based pricing to consumption-based pricing.</t>
  </si>
  <si>
    <t>Notes</t>
  </si>
  <si>
    <t>Even though there will be fewer seats, consumption will increase, and the need for fine-tuning outputs increase which leads to a total increase in TAM</t>
  </si>
  <si>
    <t>Are the prospects of Firefly's IP-safe training leading to more in-house AI model use than 3rd party?</t>
  </si>
  <si>
    <t xml:space="preserve"> Cumulative Generations</t>
  </si>
  <si>
    <t>When will Adobe enforce hard caps on gen credits to drive consumption revenue?</t>
  </si>
  <si>
    <t>Management says they want to avoid generation anxiety currently</t>
  </si>
  <si>
    <t>ARR from seat vs AI-price hikes?</t>
  </si>
  <si>
    <t xml:space="preserve"> Firefly Seats</t>
  </si>
  <si>
    <t xml:space="preserve"> Tokens/Firefly per year</t>
  </si>
  <si>
    <t xml:space="preserve"> </t>
  </si>
  <si>
    <t>Mean Multiple</t>
  </si>
  <si>
    <t>SD Multiple</t>
  </si>
  <si>
    <t>NonENT Revenue</t>
  </si>
  <si>
    <t>Current Share</t>
  </si>
  <si>
    <t>ERP</t>
  </si>
  <si>
    <t>RFR</t>
  </si>
  <si>
    <t>Intrinsic</t>
  </si>
  <si>
    <t>Current</t>
  </si>
  <si>
    <t>Risk</t>
  </si>
  <si>
    <t>At-Risk Value</t>
  </si>
  <si>
    <t>Allowed Assumption Margin of Safety</t>
  </si>
  <si>
    <t>Total Excess</t>
  </si>
  <si>
    <t>Excess-Value from Price</t>
  </si>
  <si>
    <t>Risk-Free Alpha</t>
  </si>
  <si>
    <t>Max Buy-Price</t>
  </si>
  <si>
    <t>MoS</t>
  </si>
  <si>
    <t>&lt;- removing ai seat compression risk and assumption risk this is the MoS required for alpha to be generated</t>
  </si>
  <si>
    <t>&lt;-20% of total rev, half of it is at risk (50% seat compression)</t>
  </si>
  <si>
    <t>&lt;- current excess intrinsic value from market</t>
  </si>
  <si>
    <t>at 0 excess value (MoS %) on average the stock has to return &gt;= 0%; at &gt; 0 excess value, stock &gt; 0%</t>
  </si>
  <si>
    <t>&lt;- intrsinic value model assumptions (without at-risk value) allowed 15% margin of error (large stable company, smaller companies assumptions swing way more and require a lot greater &gt;30%, &gt;50% assumption margin of errors)</t>
  </si>
  <si>
    <t>https://pages.stern.nyu.edu/~adamodar/</t>
  </si>
  <si>
    <t>Discount Rate assumptions</t>
  </si>
  <si>
    <t>T-Bond</t>
  </si>
  <si>
    <t>https://helpx.adobe.com/au/enterprise/kb/vip-select-discounts.html#:~:text=Table_title:%20Team%20products%20(all%20regions%2C%20except%20Japan),Communications%20Suite%2C%20FrameMaker%2C%20and%20RoboHelp:%207.50%25%20%7C</t>
  </si>
  <si>
    <t>Adobe Firefly Enterprise: 200/mo without special pricing; Creative Cloud Enterprise: 100/mo without special pricing; Creative Cloud: 70/mo without special pricing, individual apps ~20/mo, schools 35/mo</t>
  </si>
  <si>
    <t>https://www.adobe.com/creativecloud/plans.html</t>
  </si>
  <si>
    <t>Pricing</t>
  </si>
  <si>
    <t>Enterprise Discounts</t>
  </si>
  <si>
    <t>Up to 25% for enterprise commerical</t>
  </si>
  <si>
    <t>Moat: Barrier to entry -&gt; refined industry standard many functions and large suite constant updates and proven reliability; User switching cost -&gt; takes time to learn the tools and long standing company provides updates and longevity users want to not want to learn new tools;</t>
  </si>
  <si>
    <t xml:space="preserve"> Literature review for AI adoption curve, </t>
  </si>
  <si>
    <t xml:space="preserve"> jevon's paradox &amp; seat compression</t>
  </si>
  <si>
    <t xml:space="preserve"> Channel Checks</t>
  </si>
  <si>
    <t xml:space="preserve"> Finish mapping out quarters and</t>
  </si>
  <si>
    <t xml:space="preserve"> creating a model to predict &amp; track KPIs</t>
  </si>
  <si>
    <t xml:space="preserve"> on a quarterly basis</t>
  </si>
  <si>
    <t xml:space="preserve"> Map out KPI trends that will confirm theories</t>
  </si>
  <si>
    <t>COO:</t>
  </si>
  <si>
    <t xml:space="preserve"> Transfer Monte Carlo simulation into python</t>
  </si>
  <si>
    <t xml:space="preserve"> for more functionality and reworking</t>
  </si>
  <si>
    <t>ENT ARPU post-Firefly</t>
  </si>
  <si>
    <t>Implied (source in literature)</t>
  </si>
  <si>
    <t>SaaSpocalyse Channel Checks:</t>
  </si>
  <si>
    <t>R&amp;D Effectiveness</t>
  </si>
  <si>
    <t>CoD</t>
  </si>
  <si>
    <t>CoE</t>
  </si>
  <si>
    <t>Implied IRR</t>
  </si>
  <si>
    <t>IRR</t>
  </si>
  <si>
    <t xml:space="preserve"> Implied IRR</t>
  </si>
  <si>
    <t xml:space="preserve"> IRR</t>
  </si>
  <si>
    <t>WACC</t>
  </si>
  <si>
    <t>Implied Exit Multiple</t>
  </si>
  <si>
    <t>Historical Exit Multiple</t>
  </si>
  <si>
    <t>Implied Maturity</t>
  </si>
  <si>
    <t>Consensus EPS</t>
  </si>
  <si>
    <t>Adobe is transtitioning from a seat-based SaaS subscription model into a hybrid usage-based AI/credit model.</t>
  </si>
  <si>
    <t>Jevon's Paradox will cause an increase in TAM and users but also in the short term current customers will cut seats but increase token-based usage.</t>
  </si>
  <si>
    <t>In the long term this turns Adobe from a current more mature growth company and throws them into another tumultuous period where they have more potential growth but also higher chance of failing.</t>
  </si>
  <si>
    <t>Due to these circumstances it is key the upcoming new CEO announced is of high quality and his direction he wants to pivot the company should be heavily analyzed.</t>
  </si>
  <si>
    <t>Adobe is currently in a very good position but needs good leadership and direction and I think Firefly being "legal safe" is not enough for the new period.</t>
  </si>
  <si>
    <t>Timeline:</t>
  </si>
  <si>
    <t>AI dramatically increases productivity; near term seats compress from current users and token-based revenue grows. However, management states they're currently focused on acquiring a large amount of new consumer base and will monetize the "freemium" tier later or pivot them into higher tiers.</t>
  </si>
  <si>
    <t>Now</t>
  </si>
  <si>
    <t>Jevons paradox kicks in; Market, media, creative demand are all highly elastic and lower costs of creation lead to increased accessibility and increased usage which leads to increased TAM and massive increase in token usage. This is where mangagement pivots the monetization.</t>
  </si>
  <si>
    <t>Revenue model shifts from primarily seat-based to hybrid (subcription + usage-based). Key here for management to monetize correctly. Revenue per user increases. ARR and seat count becomes less relevant and not key indicators anymore.</t>
  </si>
  <si>
    <t>If execution is good -&gt; then long term revenue should increase from previous consensus; Token-based pricing is margin accretive; Revenue growth accelerates; TAM increases.</t>
  </si>
  <si>
    <t>AI Usage Growth</t>
  </si>
  <si>
    <t>Token Pricing Power</t>
  </si>
  <si>
    <t>Key Variables:</t>
  </si>
  <si>
    <t>Seat Dynamics</t>
  </si>
  <si>
    <t>KPIs:</t>
  </si>
  <si>
    <t>AI Usage (tokens/generations growing rapidly)</t>
  </si>
  <si>
    <t>AI Revenue (scales meaningfully)</t>
  </si>
  <si>
    <t>RPU (increases)</t>
  </si>
  <si>
    <t>Total Revenue Growth (holds short term, accelerates long term despite seat pressure)</t>
  </si>
  <si>
    <t>Thesis / Variant Perspective:</t>
  </si>
  <si>
    <t>Catalyst: 1-2 year revenue model pivot from SaaS subscription into hybrid usage-based AI credit model. KPIs will show enough proof in this time period for the market to re-rate the stock. Also, key new CEO appointment and direction could lead to a large swing in price.</t>
  </si>
  <si>
    <t>Management: New CEO soon, be on the lookout</t>
  </si>
  <si>
    <t xml:space="preserve">Industry: </t>
  </si>
  <si>
    <t>CEO: Shantanu Narayen; New one soon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</si>
</sst>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m/d;@"/>
    <numFmt numFmtId="166" formatCode="0.0"/>
    <numFmt numFmtId="167" formatCode="#,##0.0"/>
  </numFmts>
  <fonts count="30" x14ac:knownFonts="1">
    <font>
      <sz val="11"/>
      <color theme="1"/>
      <name val="Aptos Narrow"/>
      <family val="2"/>
      <scheme val="minor"/>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u/>
      <sz val="11"/>
      <color theme="10"/>
      <name val="Aptos Narrow"/>
      <family val="2"/>
      <scheme val="minor"/>
    </font>
    <font>
      <b/>
      <sz val="10"/>
      <color theme="1"/>
      <name val="Arial"/>
      <family val="2"/>
    </font>
    <font>
      <u/>
      <sz val="10"/>
      <color theme="10"/>
      <name val="Arial"/>
      <family val="2"/>
    </font>
    <font>
      <u/>
      <sz val="10"/>
      <color theme="1"/>
      <name val="Arial"/>
      <family val="2"/>
    </font>
    <font>
      <i/>
      <sz val="10"/>
      <color theme="1"/>
      <name val="Arial"/>
      <family val="2"/>
    </font>
  </fonts>
  <fills count="2">
    <fill>
      <patternFill patternType="none"/>
    </fill>
    <fill>
      <patternFill patternType="gray125"/>
    </fill>
  </fills>
  <borders count="1">
    <border>
      <left/>
      <right/>
      <top/>
      <bottom/>
      <diagonal/>
    </border>
  </borders>
  <cellStyleXfs count="4">
    <xf numFmtId="0" fontId="0" fillId="0" borderId="0"/>
    <xf numFmtId="0" fontId="25" fillId="0" borderId="0" applyNumberFormat="0" applyFill="0" applyBorder="0" applyAlignment="0" applyProtection="0"/>
    <xf numFmtId="0" fontId="13" fillId="0" borderId="0"/>
    <xf numFmtId="0" fontId="27" fillId="0" borderId="0" applyNumberFormat="0" applyFill="0" applyBorder="0" applyAlignment="0" applyProtection="0"/>
  </cellStyleXfs>
  <cellXfs count="74">
    <xf numFmtId="0" fontId="0" fillId="0" borderId="0" xfId="0"/>
    <xf numFmtId="0" fontId="26" fillId="0" borderId="0" xfId="0" applyFont="1"/>
    <xf numFmtId="0" fontId="24" fillId="0" borderId="0" xfId="0" applyFont="1"/>
    <xf numFmtId="4" fontId="24" fillId="0" borderId="0" xfId="0" applyNumberFormat="1" applyFont="1"/>
    <xf numFmtId="3" fontId="24" fillId="0" borderId="0" xfId="0" applyNumberFormat="1" applyFont="1"/>
    <xf numFmtId="3" fontId="27" fillId="0" borderId="0" xfId="1" applyNumberFormat="1" applyFont="1"/>
    <xf numFmtId="3" fontId="23" fillId="0" borderId="0" xfId="0" applyNumberFormat="1" applyFont="1"/>
    <xf numFmtId="0" fontId="23" fillId="0" borderId="0" xfId="0" applyFont="1"/>
    <xf numFmtId="1" fontId="23" fillId="0" borderId="0" xfId="0" applyNumberFormat="1" applyFont="1"/>
    <xf numFmtId="4" fontId="23" fillId="0" borderId="0" xfId="0" applyNumberFormat="1" applyFont="1"/>
    <xf numFmtId="3" fontId="26" fillId="0" borderId="0" xfId="0" applyNumberFormat="1" applyFont="1"/>
    <xf numFmtId="10" fontId="23" fillId="0" borderId="0" xfId="0" applyNumberFormat="1" applyFont="1"/>
    <xf numFmtId="9" fontId="26" fillId="0" borderId="0" xfId="0" applyNumberFormat="1" applyFont="1"/>
    <xf numFmtId="164" fontId="26" fillId="0" borderId="0" xfId="0" applyNumberFormat="1" applyFont="1"/>
    <xf numFmtId="9" fontId="23" fillId="0" borderId="0" xfId="0" applyNumberFormat="1" applyFont="1"/>
    <xf numFmtId="164" fontId="23" fillId="0" borderId="0" xfId="0" applyNumberFormat="1" applyFont="1"/>
    <xf numFmtId="3" fontId="22" fillId="0" borderId="0" xfId="0" applyNumberFormat="1" applyFont="1"/>
    <xf numFmtId="3" fontId="21" fillId="0" borderId="0" xfId="0" applyNumberFormat="1" applyFont="1"/>
    <xf numFmtId="3" fontId="20" fillId="0" borderId="0" xfId="0" applyNumberFormat="1" applyFont="1"/>
    <xf numFmtId="3" fontId="19" fillId="0" borderId="0" xfId="0" applyNumberFormat="1" applyFont="1"/>
    <xf numFmtId="0" fontId="18" fillId="0" borderId="0" xfId="0" applyFont="1"/>
    <xf numFmtId="3" fontId="18" fillId="0" borderId="0" xfId="0" applyNumberFormat="1" applyFont="1"/>
    <xf numFmtId="0" fontId="17" fillId="0" borderId="0" xfId="0" applyFont="1"/>
    <xf numFmtId="0" fontId="16" fillId="0" borderId="0" xfId="0" applyFont="1"/>
    <xf numFmtId="0" fontId="15" fillId="0" borderId="0" xfId="0" applyFont="1"/>
    <xf numFmtId="3" fontId="14" fillId="0" borderId="0" xfId="0" applyNumberFormat="1" applyFont="1"/>
    <xf numFmtId="0" fontId="14" fillId="0" borderId="0" xfId="0" applyFont="1"/>
    <xf numFmtId="3" fontId="13" fillId="0" borderId="0" xfId="0" applyNumberFormat="1" applyFont="1"/>
    <xf numFmtId="0" fontId="13" fillId="0" borderId="0" xfId="0" applyFont="1"/>
    <xf numFmtId="1" fontId="13" fillId="0" borderId="0" xfId="0" applyNumberFormat="1" applyFont="1"/>
    <xf numFmtId="9" fontId="13" fillId="0" borderId="0" xfId="0" applyNumberFormat="1" applyFont="1"/>
    <xf numFmtId="3" fontId="13" fillId="0" borderId="0" xfId="2" applyNumberFormat="1"/>
    <xf numFmtId="0" fontId="28" fillId="0" borderId="0" xfId="0" applyFont="1"/>
    <xf numFmtId="0" fontId="29" fillId="0" borderId="0" xfId="0" applyFont="1"/>
    <xf numFmtId="0" fontId="27" fillId="0" borderId="0" xfId="1" applyFont="1"/>
    <xf numFmtId="0" fontId="12" fillId="0" borderId="0" xfId="0" applyFont="1"/>
    <xf numFmtId="0" fontId="11" fillId="0" borderId="0" xfId="0" applyFont="1"/>
    <xf numFmtId="3" fontId="10" fillId="0" borderId="0" xfId="0" applyNumberFormat="1" applyFont="1"/>
    <xf numFmtId="0" fontId="10" fillId="0" borderId="0" xfId="0" applyFont="1"/>
    <xf numFmtId="9" fontId="10" fillId="0" borderId="0" xfId="0" applyNumberFormat="1" applyFont="1"/>
    <xf numFmtId="4" fontId="10" fillId="0" borderId="0" xfId="0" applyNumberFormat="1" applyFont="1"/>
    <xf numFmtId="165" fontId="10" fillId="0" borderId="0" xfId="0" applyNumberFormat="1" applyFont="1"/>
    <xf numFmtId="0" fontId="9" fillId="0" borderId="0" xfId="0" applyFont="1"/>
    <xf numFmtId="166" fontId="10" fillId="0" borderId="0" xfId="0" applyNumberFormat="1" applyFont="1"/>
    <xf numFmtId="0" fontId="8" fillId="0" borderId="0" xfId="0" applyFont="1"/>
    <xf numFmtId="3" fontId="8" fillId="0" borderId="0" xfId="0" applyNumberFormat="1" applyFont="1"/>
    <xf numFmtId="1" fontId="8" fillId="0" borderId="0" xfId="0" applyNumberFormat="1" applyFont="1"/>
    <xf numFmtId="16" fontId="24" fillId="0" borderId="0" xfId="0" applyNumberFormat="1" applyFont="1"/>
    <xf numFmtId="3" fontId="7" fillId="0" borderId="0" xfId="0" applyNumberFormat="1" applyFont="1"/>
    <xf numFmtId="0" fontId="6" fillId="0" borderId="0" xfId="0" applyFont="1"/>
    <xf numFmtId="4" fontId="26" fillId="0" borderId="0" xfId="0" applyNumberFormat="1" applyFont="1"/>
    <xf numFmtId="3" fontId="6" fillId="0" borderId="0" xfId="0" applyNumberFormat="1" applyFont="1"/>
    <xf numFmtId="4" fontId="6" fillId="0" borderId="0" xfId="0" applyNumberFormat="1" applyFont="1"/>
    <xf numFmtId="0" fontId="5" fillId="0" borderId="0" xfId="0" applyFont="1"/>
    <xf numFmtId="3" fontId="5" fillId="0" borderId="0" xfId="0" applyNumberFormat="1" applyFont="1"/>
    <xf numFmtId="9" fontId="5" fillId="0" borderId="0" xfId="0" applyNumberFormat="1" applyFont="1"/>
    <xf numFmtId="4" fontId="5" fillId="0" borderId="0" xfId="0" applyNumberFormat="1" applyFont="1"/>
    <xf numFmtId="0" fontId="25" fillId="0" borderId="0" xfId="1"/>
    <xf numFmtId="10" fontId="5" fillId="0" borderId="0" xfId="0" applyNumberFormat="1" applyFont="1"/>
    <xf numFmtId="38" fontId="5" fillId="0" borderId="0" xfId="0" applyNumberFormat="1" applyFont="1"/>
    <xf numFmtId="9" fontId="24" fillId="0" borderId="0" xfId="0" applyNumberFormat="1" applyFont="1"/>
    <xf numFmtId="16" fontId="5" fillId="0" borderId="0" xfId="0" applyNumberFormat="1" applyFont="1"/>
    <xf numFmtId="0" fontId="4" fillId="0" borderId="0" xfId="0" applyFont="1"/>
    <xf numFmtId="0" fontId="3" fillId="0" borderId="0" xfId="0" applyFont="1"/>
    <xf numFmtId="3" fontId="3" fillId="0" borderId="0" xfId="0" applyNumberFormat="1" applyFont="1"/>
    <xf numFmtId="167" fontId="3" fillId="0" borderId="0" xfId="0" applyNumberFormat="1" applyFont="1"/>
    <xf numFmtId="10" fontId="26" fillId="0" borderId="0" xfId="0" applyNumberFormat="1" applyFont="1"/>
    <xf numFmtId="16" fontId="26" fillId="0" borderId="0" xfId="0" applyNumberFormat="1" applyFont="1"/>
    <xf numFmtId="10" fontId="3" fillId="0" borderId="0" xfId="0" applyNumberFormat="1" applyFont="1"/>
    <xf numFmtId="16" fontId="3" fillId="0" borderId="0" xfId="0" applyNumberFormat="1" applyFont="1"/>
    <xf numFmtId="4" fontId="3" fillId="0" borderId="0" xfId="0" applyNumberFormat="1" applyFont="1"/>
    <xf numFmtId="164" fontId="3" fillId="0" borderId="0" xfId="0" applyNumberFormat="1" applyFont="1"/>
    <xf numFmtId="0" fontId="2" fillId="0" borderId="0" xfId="0" applyFont="1"/>
    <xf numFmtId="0" fontId="1" fillId="0" borderId="0" xfId="0" applyFont="1"/>
  </cellXfs>
  <cellStyles count="4">
    <cellStyle name="Hyperlink" xfId="1" builtinId="8"/>
    <cellStyle name="Hyperlink 2" xfId="3" xr:uid="{8167C2B3-41E3-49A0-85D6-3E655CEE2A2F}"/>
    <cellStyle name="Normal" xfId="0" builtinId="0"/>
    <cellStyle name="Normal 2" xfId="2" xr:uid="{B0BB5EB7-AD62-4847-82AD-78D8E6650A1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29</xdr:col>
      <xdr:colOff>2198</xdr:colOff>
      <xdr:row>1</xdr:row>
      <xdr:rowOff>57883</xdr:rowOff>
    </xdr:from>
    <xdr:to>
      <xdr:col>29</xdr:col>
      <xdr:colOff>7327</xdr:colOff>
      <xdr:row>133</xdr:row>
      <xdr:rowOff>7327</xdr:rowOff>
    </xdr:to>
    <xdr:cxnSp macro="">
      <xdr:nvCxnSpPr>
        <xdr:cNvPr id="3" name="Straight Connector 2">
          <a:extLst>
            <a:ext uri="{FF2B5EF4-FFF2-40B4-BE49-F238E27FC236}">
              <a16:creationId xmlns:a16="http://schemas.microsoft.com/office/drawing/2014/main" id="{D27E734B-78F6-25CF-AF3A-9164F515D047}"/>
            </a:ext>
          </a:extLst>
        </xdr:cNvPr>
        <xdr:cNvCxnSpPr/>
      </xdr:nvCxnSpPr>
      <xdr:spPr>
        <a:xfrm>
          <a:off x="16245986" y="219075"/>
          <a:ext cx="5129" cy="1719702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583221</xdr:colOff>
      <xdr:row>0</xdr:row>
      <xdr:rowOff>95249</xdr:rowOff>
    </xdr:from>
    <xdr:to>
      <xdr:col>9</xdr:col>
      <xdr:colOff>600808</xdr:colOff>
      <xdr:row>104</xdr:row>
      <xdr:rowOff>87923</xdr:rowOff>
    </xdr:to>
    <xdr:cxnSp macro="">
      <xdr:nvCxnSpPr>
        <xdr:cNvPr id="4" name="Straight Connector 3">
          <a:extLst>
            <a:ext uri="{FF2B5EF4-FFF2-40B4-BE49-F238E27FC236}">
              <a16:creationId xmlns:a16="http://schemas.microsoft.com/office/drawing/2014/main" id="{81F5E25C-17F0-4F8D-1774-386610D8C3FE}"/>
            </a:ext>
          </a:extLst>
        </xdr:cNvPr>
        <xdr:cNvCxnSpPr/>
      </xdr:nvCxnSpPr>
      <xdr:spPr>
        <a:xfrm>
          <a:off x="7067548" y="95249"/>
          <a:ext cx="17587" cy="1369402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person displayName="Liam R" id="{CD58ED4A-AE3D-49F0-854E-D35C7D332244}" userId="be0b8782fa6c70c8"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E2" dT="2026-03-02T03:18:09.99" personId="{CD58ED4A-AE3D-49F0-854E-D35C7D332244}" id="{B6688284-DA35-4372-A780-A5694C758617}">
    <text>Assumed year of complete transition of enterprise clients to ai tools/reduction in seats. AI tools will increase enterprise ARPU, decrease seats, ultimated lead to less revenue for enterprise clients (CC enterprise, marketing). However, Jevon’s paradox (as tools in an industry get more productive, more users will use the software) so I assume a normal growth rate afterwards to be conservative.</text>
  </threadedComment>
  <threadedComment ref="B18" dT="2026-03-05T03:07:59.56" personId="{CD58ED4A-AE3D-49F0-854E-D35C7D332244}" id="{3E6E881E-5C03-49D3-A62C-7EA905923519}">
    <text>Built in AI: CC, Express, AEP, AEM, Acrobat, etc.</text>
  </threadedComment>
  <threadedComment ref="B19" dT="2026-03-05T03:07:15.14" personId="{CD58ED4A-AE3D-49F0-854E-D35C7D332244}" id="{3BDEB456-6E56-4BAC-B1EF-1DAA966C8FCA}">
    <text>Firefly, GenStudio, Acrobat AI Assistant</text>
  </threadedComment>
  <threadedComment ref="AE20" dT="2026-03-05T03:20:29.67" personId="{CD58ED4A-AE3D-49F0-854E-D35C7D332244}" id="{83E63C21-977C-438F-8B57-7BF1A98B7083}">
    <text>2024 estimate by adobe</text>
  </threadedComment>
  <threadedComment ref="B29" dT="2026-03-02T03:05:41.51" personId="{CD58ED4A-AE3D-49F0-854E-D35C7D332244}" id="{930402CF-3C62-4243-A4C1-01A5F2FB1BBD}">
    <text>Millions; calculated through assuming the ARPU for enterprise and non-enterprise based on subscription pricing with the creative cloud revenue numbers and the total creative cloud seats to find x and y (enterprise seats and non-enterprise seats)</text>
  </threadedComment>
  <threadedComment ref="AE29" dT="2026-03-02T03:14:55.31" personId="{CD58ED4A-AE3D-49F0-854E-D35C7D332244}" id="{706AA5D0-3B68-4316-9AB5-E7BDFD5EF801}">
    <text>Non-enterprise is likely mostly more tied to the art industry/highly elastic many reasons why seats wouldn’t decrease for non-enterprise clients</text>
  </threadedComment>
  <threadedComment ref="AE30" dT="2026-03-02T03:12:15.85" personId="{CD58ED4A-AE3D-49F0-854E-D35C7D332244}" id="{3BD375D7-0B10-42FC-9699-90B801AF29CC}">
    <text>Likely small increase in ARPU due to user gen tokens</text>
  </threadedComment>
  <threadedComment ref="B31" dT="2026-03-02T02:49:18.15" personId="{CD58ED4A-AE3D-49F0-854E-D35C7D332244}" id="{0C61AB74-6410-4899-92DB-71CC8802C6FA}">
    <text>millions</text>
  </threadedComment>
  <threadedComment ref="AE31" dT="2026-03-02T03:13:44.29" personId="{CD58ED4A-AE3D-49F0-854E-D35C7D332244}" id="{9110625B-A20F-4814-80C6-6F1F6BAF5A5E}">
    <text>50% decrease in seats as companies transition to ai -&gt; 100% increased productivity</text>
  </threadedComment>
  <threadedComment ref="AE32" dT="2026-03-02T03:11:40.77" personId="{CD58ED4A-AE3D-49F0-854E-D35C7D332244}" id="{E13E47F7-F728-4330-AB6F-377167A8CC30}">
    <text>Assumed, yet to be conclusively calcuated with research. Assuming a 100% price increase for generative ai tokens. This 100% price increase is justified in the model through an assumed 100% increase in productivity which would let companies reduce seats by 50% which the cost of a human assumed to be ~60k/year vs previous 480/year software license will easily let adobe charge a lot more. The highest firefly tier is currently 200/month for 50k tokens, not everyone is likely to use this much and to be conservative I use a lot less ARPU for enterprise deals and etc.</text>
  </threadedComment>
  <threadedComment ref="AB36" dT="2026-02-28T07:47:32.23" personId="{CD58ED4A-AE3D-49F0-854E-D35C7D332244}" id="{A1AC085D-6825-4B37-8D01-4B2B2237006B}">
    <text>From Q424 end of year segments</text>
  </threadedComment>
  <threadedComment ref="AD53" dT="2026-02-28T07:54:37.47" personId="{CD58ED4A-AE3D-49F0-854E-D35C7D332244}" id="{579D2475-8567-4E48-BB9B-9F5FA93F9BAE}">
    <text>26,000 guidance</text>
  </threadedComment>
  <threadedComment ref="AD62" dT="2026-03-02T04:38:57.44" personId="{CD58ED4A-AE3D-49F0-854E-D35C7D332244}" id="{0C8D69BF-FC7E-49A8-9710-5453D28F245F}">
    <text>Operating margin stable</text>
  </threadedComment>
  <threadedComment ref="AD92" dT="2026-03-02T04:37:17.19" personId="{CD58ED4A-AE3D-49F0-854E-D35C7D332244}" id="{039CF15E-A2F2-4AB9-BED3-79C4EA0446D8}">
    <text>Dpo from cogs</text>
  </threadedComment>
  <threadedComment ref="AD93" dT="2026-03-02T04:36:57.79" personId="{CD58ED4A-AE3D-49F0-854E-D35C7D332244}" id="{8DBC8CD6-1AF2-4E50-B99B-EDC1B76D28A6}">
    <text>Percent of sg&amp;a</text>
  </threadedComment>
  <threadedComment ref="AD94" dT="2026-03-02T04:37:24.16" personId="{CD58ED4A-AE3D-49F0-854E-D35C7D332244}" id="{F007FFDD-AFCC-4115-9860-68DC6499D0AF}">
    <text>Percent of rev</text>
  </threadedComment>
  <threadedComment ref="AL120" dT="2026-03-09T04:35:17.52" personId="{CD58ED4A-AE3D-49F0-854E-D35C7D332244}" id="{1417E9F7-7BF3-48C8-B545-D5AA41BF9A25}">
    <text>ROIC here calculates only return on excess cash held (Interest Income)based on RFR. Not a lot of cash so no reason to model an exact gradient of risk-free return for each year. Only effects valuation minimally.</text>
  </threadedComment>
  <threadedComment ref="AL121" dT="2026-03-09T11:30:18.58" personId="{CD58ED4A-AE3D-49F0-854E-D35C7D332244}" id="{9A65DC37-BB25-49CD-AFD2-D979FE5EDFD4}">
    <text>Long term inflation</text>
  </threadedComment>
  <threadedComment ref="AK134" dT="2026-03-09T04:32:06.11" personId="{CD58ED4A-AE3D-49F0-854E-D35C7D332244}" id="{BD0DFD12-C48B-4B89-A9A3-E190FE6FA510}">
    <text>Around the likely current enterprise ARPU for CC</text>
  </threadedComment>
  <threadedComment ref="AK137" dT="2026-03-09T04:31:12.59" personId="{CD58ED4A-AE3D-49F0-854E-D35C7D332244}" id="{3004BDB1-6123-4BE0-B846-0EEAF6DAF4B2}">
    <text>Current Firefly pricing, theoretical max w/full adoption unless price is raised</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3-09T04:29:07.45" personId="{CD58ED4A-AE3D-49F0-854E-D35C7D332244}" id="{F22905CE-BFCC-4EFF-8752-825B27DFA4A9}">
    <text>End of 2024 ARR</text>
  </threadedComment>
  <threadedComment ref="C3" dT="2026-03-09T04:28:32.30" personId="{CD58ED4A-AE3D-49F0-854E-D35C7D332244}" id="{AEE174BD-935D-4D42-A02F-ABA138BCCB63}">
    <text>End of 2024 numbers provided</text>
  </threadedComment>
  <threadedComment ref="C4" dT="2026-03-09T04:18:02.10" personId="{CD58ED4A-AE3D-49F0-854E-D35C7D332244}" id="{A092ED0B-E1FF-4C9A-93A7-27A118AC35E4}">
    <text>Base pricing CC suite 35, 23 for singular products, assumed lower due to discounts 15-20 is realistic</text>
  </threadedComment>
  <threadedComment ref="C5" dT="2026-03-09T04:16:58.58" personId="{CD58ED4A-AE3D-49F0-854E-D35C7D332244}" id="{EB8EA757-6B7F-4CF6-98CC-C024E14BCD0D}">
    <text>100 base pricing, up to 25% for enterprise commerical (assumed 25% conservative)</text>
  </threadedComment>
</ThreadedComments>
</file>

<file path=xl/worksheets/_rels/sheet2.xml.rels><?xml version="1.0" encoding="UTF-8" standalone="yes"?>
<Relationships xmlns="http://schemas.openxmlformats.org/package/2006/relationships"><Relationship Id="rId3" Type="http://schemas.openxmlformats.org/officeDocument/2006/relationships/hyperlink" Target="https://helpx.adobe.com/au/enterprise/kb/vip-select-discounts.html" TargetMode="External"/><Relationship Id="rId2" Type="http://schemas.openxmlformats.org/officeDocument/2006/relationships/hyperlink" Target="https://pages.stern.nyu.edu/~adamodar/" TargetMode="External"/><Relationship Id="rId1" Type="http://schemas.openxmlformats.org/officeDocument/2006/relationships/hyperlink" Target="https://doi.org/10.1093/pnasnexus/pgae052" TargetMode="External"/><Relationship Id="rId4" Type="http://schemas.openxmlformats.org/officeDocument/2006/relationships/hyperlink" Target="https://www.adobe.com/creativecloud/plans.html"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5A162-EAE9-4CC5-AE4B-8B686CFC5399}">
  <dimension ref="A1:L77"/>
  <sheetViews>
    <sheetView tabSelected="1" zoomScale="115" zoomScaleNormal="115" workbookViewId="0">
      <selection activeCell="J11" sqref="J11"/>
    </sheetView>
  </sheetViews>
  <sheetFormatPr defaultRowHeight="12.75" x14ac:dyDescent="0.2"/>
  <cols>
    <col min="1" max="1" width="3" style="2" customWidth="1"/>
    <col min="2" max="16384" width="9.140625" style="2"/>
  </cols>
  <sheetData>
    <row r="1" spans="1:12" x14ac:dyDescent="0.2">
      <c r="A1" s="1"/>
    </row>
    <row r="2" spans="1:12" x14ac:dyDescent="0.2">
      <c r="J2" s="2" t="s">
        <v>0</v>
      </c>
      <c r="K2" s="3">
        <v>244</v>
      </c>
      <c r="L2" s="47">
        <v>46131</v>
      </c>
    </row>
    <row r="3" spans="1:12" x14ac:dyDescent="0.2">
      <c r="A3" s="23"/>
      <c r="B3" s="28" t="s">
        <v>138</v>
      </c>
      <c r="F3" s="1" t="s">
        <v>132</v>
      </c>
      <c r="G3" s="1" t="s">
        <v>124</v>
      </c>
      <c r="J3" s="2" t="s">
        <v>1</v>
      </c>
      <c r="K3" s="4">
        <v>410.5</v>
      </c>
      <c r="L3" s="22" t="s">
        <v>46</v>
      </c>
    </row>
    <row r="4" spans="1:12" x14ac:dyDescent="0.2">
      <c r="B4" s="28" t="s">
        <v>139</v>
      </c>
      <c r="F4" s="12" t="s">
        <v>67</v>
      </c>
      <c r="G4" s="1" t="s">
        <v>125</v>
      </c>
      <c r="J4" s="2" t="s">
        <v>2</v>
      </c>
      <c r="K4" s="4">
        <f>K3*K2</f>
        <v>100162</v>
      </c>
      <c r="L4" s="22"/>
    </row>
    <row r="5" spans="1:12" x14ac:dyDescent="0.2">
      <c r="B5" s="28" t="s">
        <v>140</v>
      </c>
      <c r="F5" s="30" t="s">
        <v>128</v>
      </c>
      <c r="G5" s="28" t="s">
        <v>130</v>
      </c>
      <c r="H5" s="60">
        <f>0.46*0.43</f>
        <v>0.1978</v>
      </c>
      <c r="J5" s="2" t="s">
        <v>3</v>
      </c>
      <c r="K5" s="4">
        <f>5431+1164</f>
        <v>6595</v>
      </c>
      <c r="L5" s="22" t="s">
        <v>46</v>
      </c>
    </row>
    <row r="6" spans="1:12" x14ac:dyDescent="0.2">
      <c r="B6" s="28" t="s">
        <v>141</v>
      </c>
      <c r="F6" s="30" t="s">
        <v>129</v>
      </c>
      <c r="G6" s="28" t="s">
        <v>131</v>
      </c>
      <c r="J6" s="2" t="s">
        <v>4</v>
      </c>
      <c r="K6" s="4">
        <f>6210+469+125+361+508</f>
        <v>7673</v>
      </c>
      <c r="L6" s="22" t="s">
        <v>46</v>
      </c>
    </row>
    <row r="7" spans="1:12" x14ac:dyDescent="0.2">
      <c r="F7" s="12" t="s">
        <v>68</v>
      </c>
      <c r="G7" s="1" t="s">
        <v>126</v>
      </c>
      <c r="J7" s="2" t="s">
        <v>5</v>
      </c>
      <c r="K7" s="4">
        <f>K4+K6-K5</f>
        <v>101240</v>
      </c>
    </row>
    <row r="8" spans="1:12" x14ac:dyDescent="0.2">
      <c r="B8" s="44" t="s">
        <v>211</v>
      </c>
      <c r="F8" s="1" t="s">
        <v>69</v>
      </c>
      <c r="G8" s="1" t="s">
        <v>127</v>
      </c>
      <c r="K8" s="3" t="e">
        <f>K2/(1.1*4*Model!G69)</f>
        <v>#DIV/0!</v>
      </c>
    </row>
    <row r="9" spans="1:12" x14ac:dyDescent="0.2">
      <c r="J9" s="73" t="s">
        <v>321</v>
      </c>
    </row>
    <row r="10" spans="1:12" x14ac:dyDescent="0.2">
      <c r="B10" s="28" t="s">
        <v>144</v>
      </c>
      <c r="F10" s="28"/>
      <c r="J10" s="53" t="s">
        <v>279</v>
      </c>
    </row>
    <row r="11" spans="1:12" x14ac:dyDescent="0.2">
      <c r="A11" s="23"/>
      <c r="B11" s="53" t="s">
        <v>272</v>
      </c>
      <c r="F11" s="36"/>
    </row>
    <row r="12" spans="1:12" x14ac:dyDescent="0.2">
      <c r="B12" s="53" t="s">
        <v>273</v>
      </c>
      <c r="F12" s="73" t="s">
        <v>318</v>
      </c>
    </row>
    <row r="14" spans="1:12" x14ac:dyDescent="0.2">
      <c r="B14" s="53" t="s">
        <v>274</v>
      </c>
      <c r="F14" s="73" t="s">
        <v>180</v>
      </c>
    </row>
    <row r="15" spans="1:12" x14ac:dyDescent="0.2">
      <c r="B15" s="28"/>
      <c r="F15" s="28"/>
    </row>
    <row r="16" spans="1:12" x14ac:dyDescent="0.2">
      <c r="B16" s="28" t="s">
        <v>145</v>
      </c>
      <c r="F16" s="28"/>
    </row>
    <row r="17" spans="2:7" x14ac:dyDescent="0.2">
      <c r="F17" s="73" t="s">
        <v>317</v>
      </c>
    </row>
    <row r="18" spans="2:7" x14ac:dyDescent="0.2">
      <c r="B18" s="35" t="s">
        <v>146</v>
      </c>
      <c r="F18" s="73" t="s">
        <v>297</v>
      </c>
    </row>
    <row r="19" spans="2:7" x14ac:dyDescent="0.2">
      <c r="B19" s="35"/>
      <c r="F19" s="73" t="s">
        <v>298</v>
      </c>
    </row>
    <row r="20" spans="2:7" x14ac:dyDescent="0.2">
      <c r="B20" s="53" t="s">
        <v>275</v>
      </c>
      <c r="F20" s="73" t="s">
        <v>299</v>
      </c>
    </row>
    <row r="21" spans="2:7" x14ac:dyDescent="0.2">
      <c r="B21" s="53" t="s">
        <v>276</v>
      </c>
      <c r="F21" s="73" t="s">
        <v>300</v>
      </c>
    </row>
    <row r="22" spans="2:7" x14ac:dyDescent="0.2">
      <c r="B22" s="53" t="s">
        <v>277</v>
      </c>
      <c r="F22" s="73" t="s">
        <v>301</v>
      </c>
    </row>
    <row r="24" spans="2:7" x14ac:dyDescent="0.2">
      <c r="B24" s="53" t="s">
        <v>278</v>
      </c>
      <c r="G24" s="73" t="s">
        <v>302</v>
      </c>
    </row>
    <row r="25" spans="2:7" x14ac:dyDescent="0.2">
      <c r="B25" s="38"/>
      <c r="F25" s="73" t="s">
        <v>304</v>
      </c>
      <c r="G25" s="73" t="s">
        <v>303</v>
      </c>
    </row>
    <row r="26" spans="2:7" x14ac:dyDescent="0.2">
      <c r="B26" s="53" t="s">
        <v>280</v>
      </c>
      <c r="G26" s="73" t="s">
        <v>305</v>
      </c>
    </row>
    <row r="27" spans="2:7" x14ac:dyDescent="0.2">
      <c r="B27" s="53" t="s">
        <v>281</v>
      </c>
      <c r="G27" s="73" t="s">
        <v>306</v>
      </c>
    </row>
    <row r="28" spans="2:7" x14ac:dyDescent="0.2">
      <c r="G28" s="73" t="s">
        <v>307</v>
      </c>
    </row>
    <row r="30" spans="2:7" x14ac:dyDescent="0.2">
      <c r="F30" s="73" t="s">
        <v>310</v>
      </c>
    </row>
    <row r="31" spans="2:7" x14ac:dyDescent="0.2">
      <c r="G31" s="73" t="s">
        <v>308</v>
      </c>
    </row>
    <row r="32" spans="2:7" x14ac:dyDescent="0.2">
      <c r="G32" s="73" t="s">
        <v>309</v>
      </c>
    </row>
    <row r="33" spans="2:7" x14ac:dyDescent="0.2">
      <c r="G33" s="73" t="s">
        <v>311</v>
      </c>
    </row>
    <row r="35" spans="2:7" x14ac:dyDescent="0.2">
      <c r="F35" s="73" t="s">
        <v>312</v>
      </c>
    </row>
    <row r="36" spans="2:7" x14ac:dyDescent="0.2">
      <c r="G36" s="73" t="s">
        <v>313</v>
      </c>
    </row>
    <row r="37" spans="2:7" x14ac:dyDescent="0.2">
      <c r="F37" s="24"/>
      <c r="G37" s="73" t="s">
        <v>314</v>
      </c>
    </row>
    <row r="38" spans="2:7" ht="12" customHeight="1" x14ac:dyDescent="0.2">
      <c r="F38" s="24"/>
      <c r="G38" s="73" t="s">
        <v>315</v>
      </c>
    </row>
    <row r="39" spans="2:7" x14ac:dyDescent="0.2">
      <c r="G39" s="73" t="s">
        <v>316</v>
      </c>
    </row>
    <row r="41" spans="2:7" x14ac:dyDescent="0.2">
      <c r="G41" s="53" t="s">
        <v>271</v>
      </c>
    </row>
    <row r="42" spans="2:7" x14ac:dyDescent="0.2">
      <c r="G42" s="73" t="s">
        <v>319</v>
      </c>
    </row>
    <row r="43" spans="2:7" x14ac:dyDescent="0.2">
      <c r="G43" s="20" t="s">
        <v>61</v>
      </c>
    </row>
    <row r="44" spans="2:7" x14ac:dyDescent="0.2">
      <c r="G44" s="73" t="s">
        <v>320</v>
      </c>
    </row>
    <row r="45" spans="2:7" x14ac:dyDescent="0.2">
      <c r="G45" s="38"/>
    </row>
    <row r="46" spans="2:7" x14ac:dyDescent="0.2">
      <c r="B46" s="23"/>
    </row>
    <row r="47" spans="2:7" x14ac:dyDescent="0.2">
      <c r="C47" s="23"/>
    </row>
    <row r="48" spans="2:7" x14ac:dyDescent="0.2">
      <c r="C48" s="23"/>
    </row>
    <row r="49" spans="2:4" x14ac:dyDescent="0.2">
      <c r="C49" s="23"/>
    </row>
    <row r="50" spans="2:4" x14ac:dyDescent="0.2">
      <c r="B50" s="23"/>
    </row>
    <row r="51" spans="2:4" x14ac:dyDescent="0.2">
      <c r="C51" s="23"/>
    </row>
    <row r="52" spans="2:4" x14ac:dyDescent="0.2">
      <c r="C52" s="23"/>
    </row>
    <row r="54" spans="2:4" x14ac:dyDescent="0.2">
      <c r="C54" s="26"/>
    </row>
    <row r="55" spans="2:4" x14ac:dyDescent="0.2">
      <c r="C55" s="26"/>
    </row>
    <row r="56" spans="2:4" x14ac:dyDescent="0.2">
      <c r="C56" s="26"/>
    </row>
    <row r="57" spans="2:4" x14ac:dyDescent="0.2">
      <c r="C57" s="25"/>
    </row>
    <row r="58" spans="2:4" x14ac:dyDescent="0.2">
      <c r="C58" s="25"/>
    </row>
    <row r="59" spans="2:4" x14ac:dyDescent="0.2">
      <c r="B59" s="26"/>
      <c r="C59" s="25"/>
    </row>
    <row r="60" spans="2:4" x14ac:dyDescent="0.2">
      <c r="C60" s="25"/>
    </row>
    <row r="61" spans="2:4" x14ac:dyDescent="0.2">
      <c r="C61" s="26"/>
    </row>
    <row r="62" spans="2:4" x14ac:dyDescent="0.2">
      <c r="C62" s="26"/>
    </row>
    <row r="63" spans="2:4" x14ac:dyDescent="0.2">
      <c r="C63" s="26"/>
      <c r="D63" s="26"/>
    </row>
    <row r="64" spans="2:4" x14ac:dyDescent="0.2">
      <c r="C64" s="26"/>
      <c r="D64" s="26"/>
    </row>
    <row r="65" spans="1:5" x14ac:dyDescent="0.2">
      <c r="A65" s="26"/>
      <c r="C65" s="26"/>
      <c r="D65" s="26"/>
    </row>
    <row r="66" spans="1:5" x14ac:dyDescent="0.2">
      <c r="C66" s="26"/>
      <c r="D66" s="26"/>
    </row>
    <row r="67" spans="1:5" x14ac:dyDescent="0.2">
      <c r="C67" s="26"/>
    </row>
    <row r="68" spans="1:5" x14ac:dyDescent="0.2">
      <c r="C68" s="26"/>
    </row>
    <row r="69" spans="1:5" x14ac:dyDescent="0.2">
      <c r="C69" s="26"/>
    </row>
    <row r="70" spans="1:5" x14ac:dyDescent="0.2">
      <c r="C70" s="26"/>
      <c r="D70" s="4"/>
      <c r="E70" s="25"/>
    </row>
    <row r="71" spans="1:5" x14ac:dyDescent="0.2">
      <c r="C71" s="26"/>
      <c r="D71" s="4"/>
      <c r="E71" s="26"/>
    </row>
    <row r="72" spans="1:5" x14ac:dyDescent="0.2">
      <c r="C72" s="26"/>
      <c r="D72" s="4"/>
      <c r="E72" s="26"/>
    </row>
    <row r="73" spans="1:5" x14ac:dyDescent="0.2">
      <c r="C73" s="26"/>
      <c r="D73" s="4"/>
      <c r="E73" s="26"/>
    </row>
    <row r="74" spans="1:5" x14ac:dyDescent="0.2">
      <c r="C74" s="26"/>
      <c r="D74" s="4"/>
    </row>
    <row r="75" spans="1:5" x14ac:dyDescent="0.2">
      <c r="C75" s="26"/>
    </row>
    <row r="76" spans="1:5" x14ac:dyDescent="0.2">
      <c r="C76" s="26"/>
    </row>
    <row r="77" spans="1:5" x14ac:dyDescent="0.2">
      <c r="C77" s="2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C055F-E604-4755-AF20-EEFE8F06FE88}">
  <dimension ref="A1:D23"/>
  <sheetViews>
    <sheetView zoomScale="130" zoomScaleNormal="130" workbookViewId="0">
      <pane xSplit="2" ySplit="2" topLeftCell="C3" activePane="bottomRight" state="frozen"/>
      <selection pane="topRight" activeCell="C1" sqref="C1"/>
      <selection pane="bottomLeft" activeCell="A3" sqref="A3"/>
      <selection pane="bottomRight" activeCell="B21" sqref="B21"/>
    </sheetView>
  </sheetViews>
  <sheetFormatPr defaultRowHeight="12.75" x14ac:dyDescent="0.2"/>
  <cols>
    <col min="1" max="1" width="5" style="38" bestFit="1" customWidth="1"/>
    <col min="2" max="2" width="9.140625" style="38"/>
    <col min="3" max="3" width="14.42578125" style="38" customWidth="1"/>
    <col min="4" max="16384" width="9.140625" style="38"/>
  </cols>
  <sheetData>
    <row r="1" spans="1:4" x14ac:dyDescent="0.2">
      <c r="A1" s="34" t="s">
        <v>42</v>
      </c>
    </row>
    <row r="2" spans="1:4" x14ac:dyDescent="0.2">
      <c r="B2" s="38" t="s">
        <v>173</v>
      </c>
      <c r="C2" s="38" t="s">
        <v>174</v>
      </c>
      <c r="D2" s="38" t="s">
        <v>175</v>
      </c>
    </row>
    <row r="3" spans="1:4" x14ac:dyDescent="0.2">
      <c r="B3" s="34" t="s">
        <v>62</v>
      </c>
    </row>
    <row r="4" spans="1:4" x14ac:dyDescent="0.2">
      <c r="D4" s="38" t="s">
        <v>71</v>
      </c>
    </row>
    <row r="5" spans="1:4" x14ac:dyDescent="0.2">
      <c r="D5" s="38" t="s">
        <v>72</v>
      </c>
    </row>
    <row r="6" spans="1:4" x14ac:dyDescent="0.2">
      <c r="D6" s="38" t="s">
        <v>74</v>
      </c>
    </row>
    <row r="8" spans="1:4" ht="15" x14ac:dyDescent="0.25">
      <c r="B8" s="57" t="s">
        <v>265</v>
      </c>
      <c r="C8" s="53" t="s">
        <v>269</v>
      </c>
      <c r="D8" s="53" t="s">
        <v>270</v>
      </c>
    </row>
    <row r="9" spans="1:4" ht="15" x14ac:dyDescent="0.25">
      <c r="B9" s="57" t="s">
        <v>267</v>
      </c>
      <c r="C9" s="53" t="s">
        <v>268</v>
      </c>
      <c r="D9" s="53" t="s">
        <v>266</v>
      </c>
    </row>
    <row r="12" spans="1:4" x14ac:dyDescent="0.2">
      <c r="B12" s="38" t="s">
        <v>147</v>
      </c>
    </row>
    <row r="16" spans="1:4" x14ac:dyDescent="0.2">
      <c r="B16" s="38" t="s">
        <v>148</v>
      </c>
    </row>
    <row r="20" spans="2:4" x14ac:dyDescent="0.2">
      <c r="B20" s="53" t="s">
        <v>284</v>
      </c>
    </row>
    <row r="23" spans="2:4" x14ac:dyDescent="0.2">
      <c r="B23" s="34" t="s">
        <v>262</v>
      </c>
      <c r="D23" s="53" t="s">
        <v>263</v>
      </c>
    </row>
  </sheetData>
  <hyperlinks>
    <hyperlink ref="A1" location="Main!A1" display="Main" xr:uid="{57CC344B-77FC-4721-A491-E9AD202E5FE1}"/>
    <hyperlink ref="B3" r:id="rId1" xr:uid="{1D9CF85B-3F66-49D9-91E7-9A558C2621C6}"/>
    <hyperlink ref="B23" r:id="rId2" xr:uid="{967C515A-83D0-4533-94A5-780B6110B6D5}"/>
    <hyperlink ref="B8" r:id="rId3" location=":~:text=Table_title:%20Team%20products%20(all%20regions%2C%20except%20Japan),Communications%20Suite%2C%20FrameMaker%2C%20and%20RoboHelp:%207.50%25%20%7C" xr:uid="{24A9192B-2D8A-4454-B08E-A22E8883B6ED}"/>
    <hyperlink ref="B9" r:id="rId4" xr:uid="{512371D3-0EFF-45A0-A655-7A32D5233D5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F5702-5366-4A93-A101-38C235480BE9}">
  <dimension ref="A1:EE150"/>
  <sheetViews>
    <sheetView zoomScale="130" zoomScaleNormal="130" workbookViewId="0">
      <pane xSplit="2" ySplit="2" topLeftCell="AH111" activePane="bottomRight" state="frozen"/>
      <selection pane="topRight" activeCell="B1" sqref="B1"/>
      <selection pane="bottomLeft" activeCell="A2" sqref="A2"/>
      <selection pane="bottomRight" activeCell="AK115" sqref="AK115"/>
    </sheetView>
  </sheetViews>
  <sheetFormatPr defaultRowHeight="12.75" x14ac:dyDescent="0.2"/>
  <cols>
    <col min="1" max="1" width="5" style="6" customWidth="1"/>
    <col min="2" max="2" width="27.85546875" style="6" customWidth="1"/>
    <col min="3" max="6" width="9.140625" style="7"/>
    <col min="7" max="7" width="9.140625" style="6"/>
    <col min="8" max="8" width="9.5703125" style="7" bestFit="1" customWidth="1"/>
    <col min="9" max="22" width="9.140625" style="7"/>
    <col min="23" max="28" width="9.140625" style="6"/>
    <col min="29" max="29" width="9.5703125" style="6" bestFit="1" customWidth="1"/>
    <col min="30" max="30" width="9.28515625" style="6" customWidth="1"/>
    <col min="31" max="36" width="9.28515625" style="6" bestFit="1" customWidth="1"/>
    <col min="37" max="37" width="10.85546875" style="6" bestFit="1" customWidth="1"/>
    <col min="38" max="38" width="9.28515625" style="6" bestFit="1" customWidth="1"/>
    <col min="39" max="39" width="15.42578125" style="6" bestFit="1" customWidth="1"/>
    <col min="40" max="40" width="27.5703125" style="6" bestFit="1" customWidth="1"/>
    <col min="41" max="16384" width="9.140625" style="6"/>
  </cols>
  <sheetData>
    <row r="1" spans="1:38" x14ac:dyDescent="0.2">
      <c r="A1" s="5" t="s">
        <v>42</v>
      </c>
    </row>
    <row r="2" spans="1:38" x14ac:dyDescent="0.2">
      <c r="C2" s="7" t="s">
        <v>43</v>
      </c>
      <c r="D2" s="7" t="s">
        <v>44</v>
      </c>
      <c r="E2" s="7" t="s">
        <v>45</v>
      </c>
      <c r="F2" s="7" t="s">
        <v>46</v>
      </c>
      <c r="G2" s="6" t="s">
        <v>28</v>
      </c>
      <c r="H2" s="7" t="s">
        <v>47</v>
      </c>
      <c r="I2" s="7" t="s">
        <v>48</v>
      </c>
      <c r="J2" s="7" t="s">
        <v>46</v>
      </c>
      <c r="K2" s="44" t="s">
        <v>202</v>
      </c>
      <c r="L2" s="44" t="s">
        <v>203</v>
      </c>
      <c r="M2" s="44" t="s">
        <v>204</v>
      </c>
      <c r="N2" s="44" t="s">
        <v>205</v>
      </c>
      <c r="P2" s="7">
        <v>2012</v>
      </c>
      <c r="Q2" s="7">
        <f>P2+1</f>
        <v>2013</v>
      </c>
      <c r="R2" s="7">
        <f t="shared" ref="R2:V2" si="0">Q2+1</f>
        <v>2014</v>
      </c>
      <c r="S2" s="7">
        <f t="shared" si="0"/>
        <v>2015</v>
      </c>
      <c r="T2" s="7">
        <f t="shared" si="0"/>
        <v>2016</v>
      </c>
      <c r="U2" s="7">
        <f t="shared" si="0"/>
        <v>2017</v>
      </c>
      <c r="V2" s="7">
        <f t="shared" si="0"/>
        <v>2018</v>
      </c>
      <c r="W2" s="8">
        <v>2019</v>
      </c>
      <c r="X2" s="8">
        <v>2020</v>
      </c>
      <c r="Y2" s="8">
        <f>X2+1</f>
        <v>2021</v>
      </c>
      <c r="Z2" s="8">
        <f t="shared" ref="Z2:AG2" si="1">Y2+1</f>
        <v>2022</v>
      </c>
      <c r="AA2" s="8">
        <f t="shared" si="1"/>
        <v>2023</v>
      </c>
      <c r="AB2" s="8">
        <f t="shared" si="1"/>
        <v>2024</v>
      </c>
      <c r="AC2" s="8">
        <f t="shared" si="1"/>
        <v>2025</v>
      </c>
      <c r="AD2" s="8">
        <f t="shared" si="1"/>
        <v>2026</v>
      </c>
      <c r="AE2" s="8">
        <f t="shared" si="1"/>
        <v>2027</v>
      </c>
      <c r="AF2" s="8">
        <f t="shared" si="1"/>
        <v>2028</v>
      </c>
      <c r="AG2" s="8">
        <f t="shared" si="1"/>
        <v>2029</v>
      </c>
      <c r="AH2" s="8">
        <f t="shared" ref="AH2" si="2">AG2+1</f>
        <v>2030</v>
      </c>
      <c r="AI2" s="29" t="s">
        <v>105</v>
      </c>
      <c r="AJ2" s="8"/>
      <c r="AK2" s="8"/>
      <c r="AL2" s="8"/>
    </row>
    <row r="3" spans="1:38" x14ac:dyDescent="0.2">
      <c r="B3" s="25" t="s">
        <v>63</v>
      </c>
      <c r="C3" s="6">
        <v>3550</v>
      </c>
      <c r="D3" s="6">
        <v>3640</v>
      </c>
      <c r="E3" s="6">
        <v>3720</v>
      </c>
      <c r="F3" s="6">
        <v>3840</v>
      </c>
      <c r="G3" s="6">
        <v>3920</v>
      </c>
      <c r="H3" s="6">
        <v>4020</v>
      </c>
      <c r="I3" s="6">
        <v>4120</v>
      </c>
      <c r="J3" s="6">
        <v>4250</v>
      </c>
      <c r="K3" s="6">
        <v>4300</v>
      </c>
      <c r="L3" s="6"/>
      <c r="M3" s="6"/>
      <c r="N3" s="6"/>
      <c r="O3" s="6"/>
      <c r="P3" s="6"/>
      <c r="Q3" s="6"/>
      <c r="R3" s="6"/>
      <c r="S3" s="6"/>
      <c r="T3" s="6"/>
      <c r="U3" s="6"/>
      <c r="V3" s="6"/>
      <c r="AC3" s="6">
        <f>AD3*0.92</f>
        <v>16468</v>
      </c>
      <c r="AD3" s="6">
        <v>17900</v>
      </c>
    </row>
    <row r="4" spans="1:38" x14ac:dyDescent="0.2">
      <c r="B4" s="25" t="s">
        <v>64</v>
      </c>
      <c r="C4" s="6">
        <v>1340</v>
      </c>
      <c r="D4" s="6">
        <v>1390</v>
      </c>
      <c r="E4" s="6">
        <v>1440</v>
      </c>
      <c r="F4" s="6">
        <v>1500</v>
      </c>
      <c r="G4" s="6">
        <v>1530</v>
      </c>
      <c r="H4" s="6">
        <v>1600</v>
      </c>
      <c r="I4" s="6">
        <v>1650</v>
      </c>
      <c r="J4" s="6">
        <v>1720</v>
      </c>
      <c r="K4" s="6">
        <v>1750</v>
      </c>
      <c r="L4" s="6"/>
      <c r="M4" s="6"/>
      <c r="N4" s="6"/>
      <c r="O4" s="6"/>
      <c r="P4" s="6"/>
      <c r="Q4" s="6"/>
      <c r="R4" s="6"/>
      <c r="S4" s="6"/>
      <c r="T4" s="6"/>
      <c r="U4" s="6"/>
      <c r="V4" s="6"/>
      <c r="AC4" s="6">
        <f>AD4*0.92</f>
        <v>6808</v>
      </c>
      <c r="AD4" s="6">
        <v>7400</v>
      </c>
    </row>
    <row r="5" spans="1:38" x14ac:dyDescent="0.2">
      <c r="C5" s="6"/>
      <c r="D5" s="6"/>
      <c r="E5" s="6"/>
      <c r="F5" s="6"/>
      <c r="H5" s="6"/>
      <c r="I5" s="6"/>
      <c r="J5" s="6"/>
      <c r="K5" s="6"/>
      <c r="L5" s="6"/>
      <c r="M5" s="6"/>
      <c r="N5" s="6"/>
      <c r="O5" s="6"/>
      <c r="P5" s="6"/>
      <c r="Q5" s="6"/>
      <c r="R5" s="6"/>
      <c r="S5" s="6"/>
      <c r="T5" s="6"/>
      <c r="U5" s="6"/>
      <c r="V5" s="6"/>
      <c r="AE5" s="10"/>
    </row>
    <row r="6" spans="1:38" x14ac:dyDescent="0.2">
      <c r="B6" s="37" t="s">
        <v>181</v>
      </c>
      <c r="C6" s="6"/>
      <c r="D6" s="6"/>
      <c r="E6" s="6"/>
      <c r="F6" s="6"/>
      <c r="H6" s="6"/>
      <c r="I6" s="6"/>
      <c r="J6" s="6"/>
      <c r="K6" s="6"/>
      <c r="L6" s="6"/>
      <c r="M6" s="6"/>
      <c r="N6" s="6"/>
      <c r="O6" s="6"/>
      <c r="P6" s="6"/>
      <c r="Q6" s="6"/>
      <c r="R6" s="6"/>
      <c r="S6" s="6"/>
      <c r="T6" s="6"/>
      <c r="U6" s="6"/>
      <c r="V6" s="6"/>
      <c r="AE6" s="10"/>
    </row>
    <row r="7" spans="1:38" x14ac:dyDescent="0.2">
      <c r="B7" s="37" t="s">
        <v>182</v>
      </c>
      <c r="C7" s="6">
        <v>20640</v>
      </c>
      <c r="D7" s="6">
        <v>21250</v>
      </c>
      <c r="E7" s="6">
        <v>21860</v>
      </c>
      <c r="F7" s="6">
        <v>22730</v>
      </c>
      <c r="G7" s="6">
        <v>23060</v>
      </c>
      <c r="H7" s="6">
        <v>23840</v>
      </c>
      <c r="I7" s="6">
        <v>24280</v>
      </c>
      <c r="J7" s="6">
        <v>25660</v>
      </c>
      <c r="K7" s="6"/>
      <c r="L7" s="6"/>
      <c r="M7" s="6"/>
      <c r="N7" s="6"/>
      <c r="O7" s="6"/>
      <c r="P7" s="6"/>
      <c r="Q7" s="6"/>
      <c r="R7" s="6"/>
      <c r="S7" s="6"/>
      <c r="T7" s="6"/>
      <c r="U7" s="6"/>
      <c r="V7" s="6"/>
      <c r="AC7" s="6">
        <v>25660</v>
      </c>
      <c r="AE7" s="10"/>
    </row>
    <row r="8" spans="1:38" x14ac:dyDescent="0.2">
      <c r="B8" s="37" t="s">
        <v>183</v>
      </c>
      <c r="F8" s="6">
        <f>F18-F17</f>
        <v>2700</v>
      </c>
      <c r="J8" s="45">
        <f>J18-J17</f>
        <v>4000</v>
      </c>
      <c r="K8" s="6"/>
      <c r="L8" s="6"/>
      <c r="M8" s="6"/>
      <c r="N8" s="6"/>
      <c r="O8" s="6"/>
      <c r="P8" s="6"/>
      <c r="Q8" s="6"/>
      <c r="R8" s="6"/>
      <c r="S8" s="6"/>
      <c r="T8" s="6"/>
      <c r="U8" s="6"/>
      <c r="V8" s="6"/>
      <c r="AE8" s="10"/>
    </row>
    <row r="9" spans="1:38" x14ac:dyDescent="0.2">
      <c r="B9" s="37" t="s">
        <v>186</v>
      </c>
      <c r="C9" s="6"/>
      <c r="D9" s="6"/>
      <c r="E9" s="6"/>
      <c r="F9" s="6"/>
      <c r="H9" s="6"/>
      <c r="I9" s="6"/>
      <c r="J9" s="14"/>
      <c r="K9" s="6"/>
      <c r="L9" s="6"/>
      <c r="M9" s="6"/>
      <c r="N9" s="6"/>
      <c r="O9" s="6"/>
      <c r="P9" s="6"/>
      <c r="Q9" s="6"/>
      <c r="R9" s="6"/>
      <c r="S9" s="6"/>
      <c r="T9" s="6"/>
      <c r="U9" s="6"/>
      <c r="V9" s="6"/>
    </row>
    <row r="10" spans="1:38" x14ac:dyDescent="0.2">
      <c r="B10" s="37" t="s">
        <v>184</v>
      </c>
      <c r="C10" s="6"/>
      <c r="D10" s="6"/>
      <c r="E10" s="6"/>
      <c r="F10" s="6"/>
      <c r="H10" s="6"/>
      <c r="I10" s="6"/>
      <c r="J10" s="6"/>
      <c r="K10" s="6"/>
      <c r="L10" s="6"/>
      <c r="M10" s="6"/>
      <c r="N10" s="6"/>
      <c r="O10" s="6"/>
      <c r="P10" s="6"/>
      <c r="Q10" s="6"/>
      <c r="R10" s="6"/>
      <c r="S10" s="6"/>
      <c r="T10" s="6"/>
      <c r="U10" s="6"/>
      <c r="V10" s="6"/>
      <c r="AE10" s="14">
        <f>-(AE31/AD31-1)</f>
        <v>0.5</v>
      </c>
    </row>
    <row r="11" spans="1:38" x14ac:dyDescent="0.2">
      <c r="B11" s="37" t="s">
        <v>185</v>
      </c>
      <c r="C11" s="6">
        <v>2300</v>
      </c>
      <c r="D11" s="6">
        <f>D12-C12</f>
        <v>2500</v>
      </c>
      <c r="E11" s="6">
        <f>E12-D12</f>
        <v>2700</v>
      </c>
      <c r="F11" s="6">
        <f>F12-E12</f>
        <v>3510</v>
      </c>
      <c r="G11" s="6">
        <f>G12-F12</f>
        <v>4790</v>
      </c>
      <c r="H11" s="6">
        <f>H12-G12</f>
        <v>4000</v>
      </c>
      <c r="I11" s="45">
        <f>H11*1.12</f>
        <v>4480</v>
      </c>
      <c r="J11" s="45">
        <f>F11*1.43</f>
        <v>5019.3</v>
      </c>
      <c r="K11" s="45"/>
      <c r="L11" s="6"/>
      <c r="M11" s="6"/>
      <c r="N11" s="6"/>
      <c r="O11" s="6"/>
      <c r="P11" s="6"/>
      <c r="Q11" s="6"/>
      <c r="R11" s="6"/>
      <c r="S11" s="6"/>
      <c r="T11" s="6"/>
      <c r="U11" s="6"/>
      <c r="V11" s="6"/>
    </row>
    <row r="12" spans="1:38" x14ac:dyDescent="0.2">
      <c r="B12" s="45" t="s">
        <v>234</v>
      </c>
      <c r="C12" s="6">
        <v>6500</v>
      </c>
      <c r="D12" s="6">
        <v>9000</v>
      </c>
      <c r="E12" s="6">
        <f>D12*1.3</f>
        <v>11700</v>
      </c>
      <c r="F12" s="6">
        <f>E12*1.3</f>
        <v>15210</v>
      </c>
      <c r="G12" s="6">
        <v>20000</v>
      </c>
      <c r="H12" s="6">
        <v>24000</v>
      </c>
      <c r="I12" s="6">
        <f>H12+I11</f>
        <v>28480</v>
      </c>
      <c r="J12" s="6">
        <f>I12+J11</f>
        <v>33499.300000000003</v>
      </c>
      <c r="K12" s="6"/>
      <c r="L12" s="6"/>
      <c r="M12" s="6"/>
      <c r="N12" s="6"/>
      <c r="O12" s="6"/>
      <c r="P12" s="6"/>
      <c r="Q12" s="6"/>
      <c r="R12" s="6"/>
      <c r="S12" s="6"/>
      <c r="T12" s="6"/>
      <c r="U12" s="6"/>
      <c r="V12" s="6"/>
    </row>
    <row r="13" spans="1:38" x14ac:dyDescent="0.2">
      <c r="B13" s="45" t="s">
        <v>206</v>
      </c>
      <c r="C13" s="6">
        <v>17580</v>
      </c>
      <c r="D13" s="6">
        <v>17860</v>
      </c>
      <c r="E13" s="6">
        <v>18140</v>
      </c>
      <c r="F13" s="6">
        <v>19960</v>
      </c>
      <c r="G13" s="6">
        <v>19690</v>
      </c>
      <c r="H13" s="6">
        <v>19690</v>
      </c>
      <c r="I13" s="6">
        <v>20440</v>
      </c>
      <c r="J13" s="6">
        <v>22520</v>
      </c>
      <c r="K13" s="6"/>
      <c r="L13" s="6"/>
      <c r="M13" s="6"/>
      <c r="N13" s="6"/>
      <c r="O13" s="6"/>
      <c r="P13" s="6"/>
      <c r="Q13" s="6"/>
      <c r="R13" s="6"/>
      <c r="S13" s="6"/>
      <c r="T13" s="6"/>
      <c r="U13" s="6"/>
      <c r="V13" s="6"/>
      <c r="AE13" s="10"/>
    </row>
    <row r="14" spans="1:38" x14ac:dyDescent="0.2">
      <c r="B14" s="45" t="s">
        <v>207</v>
      </c>
      <c r="C14" s="14">
        <v>0.68</v>
      </c>
      <c r="D14" s="14">
        <v>0.68</v>
      </c>
      <c r="E14" s="14">
        <v>0.69</v>
      </c>
      <c r="F14" s="14">
        <v>0.67</v>
      </c>
      <c r="G14" s="14">
        <v>0.67</v>
      </c>
      <c r="H14" s="14">
        <v>0.67</v>
      </c>
      <c r="I14" s="14">
        <v>0.67</v>
      </c>
      <c r="J14" s="14">
        <v>0.65</v>
      </c>
      <c r="K14" s="6"/>
      <c r="L14" s="6"/>
      <c r="M14" s="6"/>
      <c r="N14" s="6"/>
      <c r="O14" s="6"/>
      <c r="P14" s="6"/>
      <c r="Q14" s="6"/>
      <c r="R14" s="6"/>
      <c r="S14" s="6"/>
      <c r="T14" s="6"/>
      <c r="U14" s="6"/>
      <c r="V14" s="6"/>
      <c r="AE14" s="10"/>
    </row>
    <row r="15" spans="1:38" x14ac:dyDescent="0.2">
      <c r="B15" s="45" t="s">
        <v>208</v>
      </c>
      <c r="C15" s="14"/>
      <c r="D15" s="14"/>
      <c r="E15" s="14"/>
      <c r="F15" s="6">
        <f>J15/1.25</f>
        <v>120</v>
      </c>
      <c r="G15" s="14"/>
      <c r="H15" s="14"/>
      <c r="I15" s="14"/>
      <c r="J15" s="6">
        <v>150</v>
      </c>
      <c r="K15" s="6"/>
      <c r="L15" s="6"/>
      <c r="M15" s="6"/>
      <c r="N15" s="6"/>
      <c r="O15" s="6"/>
      <c r="P15" s="6"/>
      <c r="Q15" s="6"/>
      <c r="R15" s="6"/>
      <c r="S15" s="6"/>
      <c r="T15" s="6"/>
      <c r="U15" s="6"/>
      <c r="V15" s="6"/>
      <c r="AE15" s="10"/>
    </row>
    <row r="16" spans="1:38" x14ac:dyDescent="0.2">
      <c r="B16" s="45" t="s">
        <v>209</v>
      </c>
      <c r="C16" s="14"/>
      <c r="D16" s="14"/>
      <c r="E16" s="14"/>
      <c r="F16" s="6"/>
      <c r="G16" s="14"/>
      <c r="H16" s="14"/>
      <c r="I16" s="14"/>
      <c r="J16" s="45" t="s">
        <v>210</v>
      </c>
      <c r="K16" s="6"/>
      <c r="L16" s="6"/>
      <c r="M16" s="6"/>
      <c r="N16" s="6"/>
      <c r="O16" s="6"/>
      <c r="P16" s="6"/>
      <c r="Q16" s="6"/>
      <c r="R16" s="6"/>
      <c r="S16" s="6"/>
      <c r="T16" s="6"/>
      <c r="U16" s="6"/>
      <c r="V16" s="6"/>
      <c r="AE16" s="10"/>
    </row>
    <row r="17" spans="1:34" x14ac:dyDescent="0.2">
      <c r="B17" s="45" t="s">
        <v>215</v>
      </c>
      <c r="C17" s="14"/>
      <c r="D17" s="14"/>
      <c r="E17" s="14"/>
      <c r="F17" s="6">
        <f>J17/1.25</f>
        <v>800</v>
      </c>
      <c r="G17" s="14"/>
      <c r="H17" s="14"/>
      <c r="I17" s="14"/>
      <c r="J17" s="45">
        <v>1000</v>
      </c>
      <c r="K17" s="6"/>
      <c r="L17" s="6"/>
      <c r="M17" s="6"/>
      <c r="N17" s="6"/>
      <c r="O17" s="6"/>
      <c r="P17" s="6"/>
      <c r="Q17" s="6"/>
      <c r="R17" s="6"/>
      <c r="S17" s="6"/>
      <c r="T17" s="6"/>
      <c r="U17" s="6"/>
      <c r="V17" s="6"/>
      <c r="AE17" s="10"/>
    </row>
    <row r="18" spans="1:34" x14ac:dyDescent="0.2">
      <c r="B18" s="45" t="s">
        <v>216</v>
      </c>
      <c r="C18" s="14"/>
      <c r="D18" s="14"/>
      <c r="E18" s="14"/>
      <c r="F18" s="6">
        <v>3500</v>
      </c>
      <c r="G18" s="14"/>
      <c r="H18" s="14"/>
      <c r="I18" s="14"/>
      <c r="J18" s="45">
        <v>5000</v>
      </c>
      <c r="K18" s="6">
        <f>J18*1.1</f>
        <v>5500</v>
      </c>
      <c r="L18" s="6">
        <f t="shared" ref="L18:M18" si="3">K18*1.1</f>
        <v>6050.0000000000009</v>
      </c>
      <c r="M18" s="6">
        <f t="shared" si="3"/>
        <v>6655.0000000000018</v>
      </c>
      <c r="N18" s="6">
        <f>J18*1.43</f>
        <v>7150</v>
      </c>
      <c r="O18" s="6"/>
      <c r="P18" s="6"/>
      <c r="Q18" s="6"/>
      <c r="R18" s="6"/>
      <c r="S18" s="6"/>
      <c r="T18" s="6"/>
      <c r="U18" s="6"/>
      <c r="V18" s="6"/>
      <c r="AE18" s="10"/>
    </row>
    <row r="19" spans="1:34" x14ac:dyDescent="0.2">
      <c r="B19" s="45" t="s">
        <v>220</v>
      </c>
      <c r="C19" s="14"/>
      <c r="D19" s="14"/>
      <c r="E19" s="14"/>
      <c r="F19" s="14"/>
      <c r="G19" s="6">
        <v>125</v>
      </c>
      <c r="H19" s="14"/>
      <c r="I19" s="14"/>
      <c r="J19" s="6">
        <v>250</v>
      </c>
      <c r="K19" s="6"/>
      <c r="L19" s="6"/>
      <c r="M19" s="6"/>
      <c r="N19" s="6"/>
      <c r="O19" s="6"/>
      <c r="P19" s="6"/>
      <c r="Q19" s="6"/>
      <c r="R19" s="6"/>
      <c r="S19" s="6"/>
      <c r="T19" s="6"/>
      <c r="U19" s="6"/>
      <c r="V19" s="6"/>
      <c r="AE19" s="10"/>
    </row>
    <row r="20" spans="1:34" x14ac:dyDescent="0.2">
      <c r="B20" s="45" t="s">
        <v>222</v>
      </c>
      <c r="C20" s="14"/>
      <c r="D20" s="14"/>
      <c r="E20" s="14"/>
      <c r="F20" s="14"/>
      <c r="H20" s="14"/>
      <c r="I20" s="14"/>
      <c r="J20" s="6"/>
      <c r="K20" s="6"/>
      <c r="L20" s="6"/>
      <c r="M20" s="6"/>
      <c r="N20" s="6"/>
      <c r="O20" s="6"/>
      <c r="P20" s="6"/>
      <c r="Q20" s="6"/>
      <c r="R20" s="6"/>
      <c r="S20" s="6"/>
      <c r="T20" s="6"/>
      <c r="U20" s="6"/>
      <c r="V20" s="6"/>
      <c r="AB20" s="6">
        <v>205000</v>
      </c>
      <c r="AE20" s="45">
        <v>293000</v>
      </c>
    </row>
    <row r="21" spans="1:34" x14ac:dyDescent="0.2">
      <c r="B21" s="45" t="s">
        <v>224</v>
      </c>
      <c r="C21" s="14"/>
      <c r="D21" s="14"/>
      <c r="E21" s="14"/>
      <c r="F21" s="14"/>
      <c r="H21" s="14"/>
      <c r="I21" s="14"/>
      <c r="J21" s="14"/>
      <c r="K21" s="6"/>
      <c r="L21" s="6"/>
      <c r="M21" s="6"/>
      <c r="N21" s="6"/>
      <c r="O21" s="6"/>
      <c r="P21" s="6"/>
      <c r="Q21" s="6"/>
      <c r="R21" s="6"/>
      <c r="S21" s="6"/>
      <c r="T21" s="6"/>
      <c r="U21" s="6"/>
      <c r="V21" s="6"/>
      <c r="AB21" s="6">
        <v>32000</v>
      </c>
      <c r="AC21" s="6">
        <f>AB21*1.14</f>
        <v>36480</v>
      </c>
      <c r="AD21" s="6">
        <f>AC21*1.14</f>
        <v>41587.199999999997</v>
      </c>
      <c r="AE21" s="45">
        <v>47000</v>
      </c>
    </row>
    <row r="22" spans="1:34" x14ac:dyDescent="0.2">
      <c r="B22" s="45" t="s">
        <v>223</v>
      </c>
      <c r="C22" s="14"/>
      <c r="D22" s="14"/>
      <c r="E22" s="14"/>
      <c r="F22" s="14"/>
      <c r="H22" s="14"/>
      <c r="I22" s="14"/>
      <c r="J22" s="6"/>
      <c r="K22" s="6"/>
      <c r="L22" s="6"/>
      <c r="M22" s="6"/>
      <c r="N22" s="6"/>
      <c r="O22" s="6"/>
      <c r="P22" s="6"/>
      <c r="Q22" s="6"/>
      <c r="R22" s="6"/>
      <c r="S22" s="6"/>
      <c r="T22" s="6"/>
      <c r="U22" s="6"/>
      <c r="V22" s="6"/>
      <c r="AB22" s="6">
        <v>63000</v>
      </c>
      <c r="AE22" s="45">
        <v>91000</v>
      </c>
    </row>
    <row r="23" spans="1:34" x14ac:dyDescent="0.2">
      <c r="B23" s="45" t="s">
        <v>225</v>
      </c>
      <c r="C23" s="14"/>
      <c r="D23" s="14"/>
      <c r="E23" s="14"/>
      <c r="F23" s="14"/>
      <c r="H23" s="14"/>
      <c r="I23" s="14"/>
      <c r="J23" s="6"/>
      <c r="K23" s="6"/>
      <c r="L23" s="6"/>
      <c r="M23" s="6"/>
      <c r="N23" s="6"/>
      <c r="O23" s="6"/>
      <c r="P23" s="6"/>
      <c r="Q23" s="6"/>
      <c r="R23" s="6"/>
      <c r="S23" s="6"/>
      <c r="T23" s="6"/>
      <c r="U23" s="6"/>
      <c r="V23" s="6"/>
      <c r="AB23" s="6">
        <v>110000</v>
      </c>
      <c r="AE23" s="45">
        <v>155000</v>
      </c>
    </row>
    <row r="24" spans="1:34" x14ac:dyDescent="0.2">
      <c r="A24" s="48" t="s">
        <v>240</v>
      </c>
      <c r="B24" s="48" t="s">
        <v>238</v>
      </c>
      <c r="C24" s="6"/>
      <c r="D24" s="6"/>
      <c r="E24" s="6"/>
      <c r="F24" s="6">
        <f>F18/(10*12)</f>
        <v>29.166666666666668</v>
      </c>
      <c r="H24" s="14"/>
      <c r="I24" s="14"/>
      <c r="J24" s="6">
        <f>J18/(10*12)</f>
        <v>41.666666666666664</v>
      </c>
      <c r="K24" s="6"/>
      <c r="L24" s="6"/>
      <c r="M24" s="6"/>
      <c r="N24" s="6"/>
      <c r="O24" s="6"/>
      <c r="P24" s="6"/>
      <c r="Q24" s="6"/>
      <c r="R24" s="6"/>
      <c r="S24" s="6"/>
      <c r="T24" s="6"/>
      <c r="U24" s="6"/>
      <c r="V24" s="6"/>
      <c r="AB24" s="14"/>
      <c r="AC24" s="14"/>
      <c r="AD24" s="14"/>
      <c r="AE24" s="14"/>
    </row>
    <row r="25" spans="1:34" x14ac:dyDescent="0.2">
      <c r="B25" s="48" t="s">
        <v>239</v>
      </c>
      <c r="C25" s="6"/>
      <c r="D25" s="6"/>
      <c r="E25" s="6"/>
      <c r="F25" s="6">
        <f>(F11*4)/F24</f>
        <v>481.37142857142857</v>
      </c>
      <c r="H25" s="14"/>
      <c r="I25" s="14"/>
      <c r="J25" s="6">
        <f>(J11*4)/J24</f>
        <v>481.85280000000006</v>
      </c>
      <c r="K25" s="6"/>
      <c r="L25" s="6"/>
      <c r="M25" s="6"/>
      <c r="N25" s="6"/>
      <c r="O25" s="6"/>
      <c r="P25" s="6"/>
      <c r="Q25" s="6"/>
      <c r="R25" s="6"/>
      <c r="S25" s="6"/>
      <c r="T25" s="6"/>
      <c r="U25" s="6"/>
      <c r="V25" s="6"/>
      <c r="AB25" s="14"/>
      <c r="AC25" s="14"/>
      <c r="AD25" s="14"/>
      <c r="AE25" s="14"/>
    </row>
    <row r="26" spans="1:34" x14ac:dyDescent="0.2">
      <c r="B26" s="45"/>
      <c r="C26" s="14"/>
      <c r="D26" s="14"/>
      <c r="E26" s="14"/>
      <c r="G26" s="14"/>
      <c r="H26" s="14"/>
      <c r="I26" s="14"/>
      <c r="J26" s="6"/>
      <c r="K26" s="6"/>
      <c r="L26" s="6"/>
      <c r="M26" s="6"/>
      <c r="N26" s="6"/>
      <c r="O26" s="6"/>
      <c r="P26" s="6"/>
      <c r="Q26" s="6"/>
      <c r="R26" s="6"/>
      <c r="S26" s="6"/>
      <c r="T26" s="6"/>
      <c r="U26" s="6"/>
      <c r="V26" s="6"/>
      <c r="AB26" s="14"/>
      <c r="AC26" s="14"/>
      <c r="AD26" s="14"/>
      <c r="AE26" s="14"/>
    </row>
    <row r="27" spans="1:34" x14ac:dyDescent="0.2">
      <c r="B27" s="27" t="s">
        <v>98</v>
      </c>
      <c r="C27" s="6"/>
      <c r="D27" s="6"/>
      <c r="E27" s="6"/>
      <c r="H27" s="6"/>
      <c r="I27" s="6"/>
      <c r="J27" s="6"/>
      <c r="K27" s="6"/>
      <c r="L27" s="6"/>
      <c r="M27" s="6"/>
      <c r="N27" s="6"/>
      <c r="O27" s="6"/>
      <c r="P27" s="6"/>
      <c r="Q27" s="6"/>
      <c r="R27" s="6"/>
      <c r="S27" s="6"/>
      <c r="T27" s="6"/>
      <c r="U27" s="6"/>
      <c r="V27" s="6"/>
      <c r="AC27" s="6">
        <v>40</v>
      </c>
      <c r="AD27" s="6">
        <f>AD29+AD31</f>
        <v>43.6</v>
      </c>
      <c r="AE27" s="6">
        <f t="shared" ref="AE27:AH27" si="4">AE29+AE31</f>
        <v>43.334106060606068</v>
      </c>
      <c r="AF27" s="6">
        <f t="shared" si="4"/>
        <v>47.23417560606061</v>
      </c>
      <c r="AG27" s="6">
        <f t="shared" si="4"/>
        <v>51.485251410606068</v>
      </c>
      <c r="AH27" s="6">
        <f t="shared" si="4"/>
        <v>56.118924037560618</v>
      </c>
    </row>
    <row r="28" spans="1:34" x14ac:dyDescent="0.2">
      <c r="B28" s="27" t="s">
        <v>97</v>
      </c>
      <c r="C28" s="6"/>
      <c r="D28" s="6"/>
      <c r="E28" s="6"/>
      <c r="H28" s="6"/>
      <c r="I28" s="6"/>
      <c r="J28" s="6"/>
      <c r="K28" s="6"/>
      <c r="L28" s="6"/>
      <c r="M28" s="6"/>
      <c r="N28" s="6"/>
      <c r="O28" s="6"/>
      <c r="P28" s="6"/>
      <c r="Q28" s="6"/>
      <c r="R28" s="6"/>
      <c r="S28" s="6"/>
      <c r="T28" s="6"/>
      <c r="U28" s="6"/>
      <c r="V28" s="6"/>
      <c r="AC28" s="6">
        <f t="shared" ref="AC28:AH28" si="5">AC36/AC27/12</f>
        <v>28.958333333333332</v>
      </c>
      <c r="AD28" s="6">
        <f t="shared" si="5"/>
        <v>28.958333333333332</v>
      </c>
      <c r="AE28" s="6">
        <f t="shared" si="5"/>
        <v>29.111970730591867</v>
      </c>
      <c r="AF28" s="6">
        <f t="shared" si="5"/>
        <v>29.111970730591867</v>
      </c>
      <c r="AG28" s="6">
        <f t="shared" si="5"/>
        <v>29.111970730591867</v>
      </c>
      <c r="AH28" s="6">
        <f t="shared" si="5"/>
        <v>29.111970730591867</v>
      </c>
    </row>
    <row r="29" spans="1:34" x14ac:dyDescent="0.2">
      <c r="B29" s="27" t="s">
        <v>100</v>
      </c>
      <c r="C29" s="6"/>
      <c r="D29" s="6"/>
      <c r="E29" s="6"/>
      <c r="F29" s="6"/>
      <c r="H29" s="6"/>
      <c r="I29" s="6"/>
      <c r="J29" s="6"/>
      <c r="K29" s="6"/>
      <c r="L29" s="6"/>
      <c r="M29" s="6"/>
      <c r="N29" s="6"/>
      <c r="O29" s="6"/>
      <c r="P29" s="6"/>
      <c r="Q29" s="6"/>
      <c r="R29" s="6"/>
      <c r="S29" s="6"/>
      <c r="T29" s="6"/>
      <c r="U29" s="6"/>
      <c r="V29" s="6"/>
      <c r="AC29" s="6">
        <f>AC27-AC31</f>
        <v>33.484848484848484</v>
      </c>
      <c r="AD29" s="6">
        <f>AC29*1.09</f>
        <v>36.49848484848485</v>
      </c>
      <c r="AE29" s="6">
        <f t="shared" ref="AE29:AH29" si="6">AD29*1.09</f>
        <v>39.783348484848489</v>
      </c>
      <c r="AF29" s="6">
        <f t="shared" si="6"/>
        <v>43.363849848484854</v>
      </c>
      <c r="AG29" s="6">
        <f t="shared" si="6"/>
        <v>47.266596334848494</v>
      </c>
      <c r="AH29" s="6">
        <f t="shared" si="6"/>
        <v>51.520590004984861</v>
      </c>
    </row>
    <row r="30" spans="1:34" x14ac:dyDescent="0.2">
      <c r="B30" s="27" t="s">
        <v>99</v>
      </c>
      <c r="C30" s="6"/>
      <c r="D30" s="6"/>
      <c r="E30" s="6"/>
      <c r="F30" s="6"/>
      <c r="H30" s="6"/>
      <c r="I30" s="6"/>
      <c r="J30" s="6"/>
      <c r="K30" s="6"/>
      <c r="L30" s="6"/>
      <c r="M30" s="6"/>
      <c r="N30" s="6"/>
      <c r="O30" s="6"/>
      <c r="P30" s="6"/>
      <c r="Q30" s="6"/>
      <c r="R30" s="6"/>
      <c r="S30" s="6"/>
      <c r="T30" s="6"/>
      <c r="U30" s="6"/>
      <c r="V30" s="6"/>
      <c r="AC30" s="6">
        <f>'CC Model'!C4</f>
        <v>20</v>
      </c>
      <c r="AD30" s="6">
        <f>AC30</f>
        <v>20</v>
      </c>
      <c r="AE30" s="6">
        <f>AD30*1.05</f>
        <v>21</v>
      </c>
      <c r="AF30" s="6">
        <f>AE30</f>
        <v>21</v>
      </c>
      <c r="AG30" s="6">
        <f t="shared" ref="AG30:AH30" si="7">AF30</f>
        <v>21</v>
      </c>
      <c r="AH30" s="6">
        <f t="shared" si="7"/>
        <v>21</v>
      </c>
    </row>
    <row r="31" spans="1:34" x14ac:dyDescent="0.2">
      <c r="B31" s="27" t="s">
        <v>95</v>
      </c>
      <c r="C31" s="6"/>
      <c r="D31" s="6"/>
      <c r="E31" s="6"/>
      <c r="F31" s="6"/>
      <c r="H31" s="6"/>
      <c r="I31" s="6"/>
      <c r="J31" s="6"/>
      <c r="K31" s="6"/>
      <c r="L31" s="6"/>
      <c r="M31" s="6"/>
      <c r="N31" s="6"/>
      <c r="O31" s="6"/>
      <c r="P31" s="6"/>
      <c r="Q31" s="6"/>
      <c r="R31" s="6"/>
      <c r="S31" s="6"/>
      <c r="T31" s="6"/>
      <c r="U31" s="6"/>
      <c r="V31" s="6"/>
      <c r="AC31" s="6">
        <f>'CC Model'!C6</f>
        <v>6.5151515151515156</v>
      </c>
      <c r="AD31" s="6">
        <f>AC31*1.09</f>
        <v>7.1015151515151524</v>
      </c>
      <c r="AE31" s="6">
        <f>AD31*0.5</f>
        <v>3.5507575757575762</v>
      </c>
      <c r="AF31" s="6">
        <f>AE31*1.09</f>
        <v>3.8703257575757584</v>
      </c>
      <c r="AG31" s="6">
        <f t="shared" ref="AG31:AH31" si="8">AF31*1.09</f>
        <v>4.2186550757575771</v>
      </c>
      <c r="AH31" s="6">
        <f t="shared" si="8"/>
        <v>4.5983340325757593</v>
      </c>
    </row>
    <row r="32" spans="1:34" x14ac:dyDescent="0.2">
      <c r="B32" s="27" t="s">
        <v>96</v>
      </c>
      <c r="C32" s="6"/>
      <c r="D32" s="6"/>
      <c r="E32" s="6"/>
      <c r="F32" s="6"/>
      <c r="H32" s="6"/>
      <c r="I32" s="6"/>
      <c r="J32" s="6"/>
      <c r="K32" s="6"/>
      <c r="L32" s="6"/>
      <c r="M32" s="6"/>
      <c r="N32" s="6"/>
      <c r="O32" s="6"/>
      <c r="P32" s="6"/>
      <c r="Q32" s="6"/>
      <c r="R32" s="6"/>
      <c r="S32" s="6"/>
      <c r="T32" s="6"/>
      <c r="U32" s="6"/>
      <c r="V32" s="6"/>
      <c r="AC32" s="6">
        <f>'CC Model'!C5</f>
        <v>75</v>
      </c>
      <c r="AD32" s="6">
        <f>AC32</f>
        <v>75</v>
      </c>
      <c r="AE32" s="6">
        <v>120</v>
      </c>
      <c r="AF32" s="6">
        <f>AE32</f>
        <v>120</v>
      </c>
      <c r="AG32" s="6">
        <f t="shared" ref="AG32:AH32" si="9">AF32</f>
        <v>120</v>
      </c>
      <c r="AH32" s="6">
        <f t="shared" si="9"/>
        <v>120</v>
      </c>
    </row>
    <row r="33" spans="1:34" x14ac:dyDescent="0.2">
      <c r="C33" s="6"/>
      <c r="D33" s="6"/>
      <c r="E33" s="6"/>
      <c r="F33" s="6"/>
      <c r="H33" s="6"/>
      <c r="I33" s="6"/>
      <c r="J33" s="6"/>
      <c r="K33" s="6"/>
      <c r="L33" s="6"/>
      <c r="M33" s="6"/>
      <c r="N33" s="6"/>
      <c r="O33" s="6"/>
      <c r="P33" s="6"/>
      <c r="Q33" s="6"/>
      <c r="R33" s="6"/>
      <c r="S33" s="6"/>
      <c r="T33" s="6"/>
      <c r="U33" s="6"/>
      <c r="V33" s="6"/>
      <c r="AA33" s="14"/>
      <c r="AB33" s="14"/>
      <c r="AC33" s="14"/>
      <c r="AD33" s="14"/>
      <c r="AE33" s="10"/>
    </row>
    <row r="34" spans="1:34" s="10" customFormat="1" x14ac:dyDescent="0.2">
      <c r="A34" s="6"/>
      <c r="B34" s="10" t="s">
        <v>65</v>
      </c>
      <c r="J34" s="10" t="s">
        <v>214</v>
      </c>
      <c r="Z34" s="10">
        <f>Y45</f>
        <v>3400</v>
      </c>
      <c r="AA34" s="10">
        <f>Z45</f>
        <v>3841.9999999999995</v>
      </c>
      <c r="AB34" s="10">
        <f>AA45</f>
        <v>4341.4599999999991</v>
      </c>
      <c r="AC34" s="10">
        <f>AB45</f>
        <v>4900</v>
      </c>
      <c r="AD34" s="10">
        <f>AC45</f>
        <v>5536.9999999999991</v>
      </c>
      <c r="AE34" s="10">
        <f>AD34*1.14</f>
        <v>6312.1799999999985</v>
      </c>
      <c r="AF34" s="10">
        <f t="shared" ref="AF34:AH34" si="10">AE34*1.14</f>
        <v>7195.8851999999979</v>
      </c>
      <c r="AG34" s="10">
        <f t="shared" si="10"/>
        <v>8203.3091279999971</v>
      </c>
      <c r="AH34" s="10">
        <f t="shared" si="10"/>
        <v>9351.7724059199954</v>
      </c>
    </row>
    <row r="35" spans="1:34" x14ac:dyDescent="0.2">
      <c r="B35" s="25" t="s">
        <v>66</v>
      </c>
      <c r="C35" s="6"/>
      <c r="D35" s="6"/>
      <c r="E35" s="6"/>
      <c r="F35" s="6"/>
      <c r="H35" s="6"/>
      <c r="I35" s="6"/>
      <c r="J35" s="6"/>
      <c r="K35" s="6"/>
      <c r="L35" s="6"/>
      <c r="M35" s="6"/>
      <c r="N35" s="6"/>
      <c r="O35" s="6"/>
      <c r="P35" s="6"/>
      <c r="Q35" s="6"/>
      <c r="R35" s="6"/>
      <c r="S35" s="6"/>
      <c r="T35" s="6"/>
      <c r="U35" s="6"/>
      <c r="V35" s="6"/>
      <c r="AA35" s="14"/>
      <c r="AB35" s="14"/>
      <c r="AC35" s="14"/>
      <c r="AD35" s="14"/>
      <c r="AE35" s="14"/>
      <c r="AF35" s="14"/>
      <c r="AG35" s="14"/>
      <c r="AH35" s="14"/>
    </row>
    <row r="36" spans="1:34" s="10" customFormat="1" x14ac:dyDescent="0.2">
      <c r="A36" s="6"/>
      <c r="B36" s="10" t="s">
        <v>213</v>
      </c>
      <c r="P36" s="10">
        <f>P47-P39</f>
        <v>2600</v>
      </c>
      <c r="Z36" s="10">
        <f>Y43</f>
        <v>10300</v>
      </c>
      <c r="AA36" s="10">
        <f>Z43</f>
        <v>11433.000000000002</v>
      </c>
      <c r="AB36" s="10">
        <v>12680</v>
      </c>
      <c r="AC36" s="10">
        <f>AB43</f>
        <v>13900</v>
      </c>
      <c r="AD36" s="10">
        <f>SUM(AD37:AD38)</f>
        <v>15151</v>
      </c>
      <c r="AE36" s="10">
        <f>SUM(AE37:AE38)</f>
        <v>15138.49472727273</v>
      </c>
      <c r="AF36" s="10">
        <f t="shared" ref="AF36:AH36" si="11">SUM(AF37:AF38)</f>
        <v>16500.959252727276</v>
      </c>
      <c r="AG36" s="10">
        <f t="shared" si="11"/>
        <v>17986.04558547273</v>
      </c>
      <c r="AH36" s="10">
        <f t="shared" si="11"/>
        <v>19604.789688165278</v>
      </c>
    </row>
    <row r="37" spans="1:34" s="10" customFormat="1" x14ac:dyDescent="0.2">
      <c r="A37" s="6"/>
      <c r="B37" s="27" t="s">
        <v>73</v>
      </c>
      <c r="AC37" s="27">
        <f t="shared" ref="AC37:AH37" si="12">AC32*12*AC31</f>
        <v>5863.636363636364</v>
      </c>
      <c r="AD37" s="27">
        <f t="shared" si="12"/>
        <v>6391.3636363636369</v>
      </c>
      <c r="AE37" s="27">
        <f t="shared" si="12"/>
        <v>5113.0909090909099</v>
      </c>
      <c r="AF37" s="27">
        <f t="shared" si="12"/>
        <v>5573.2690909090925</v>
      </c>
      <c r="AG37" s="27">
        <f t="shared" si="12"/>
        <v>6074.8633090909107</v>
      </c>
      <c r="AH37" s="27">
        <f t="shared" si="12"/>
        <v>6621.6010069090935</v>
      </c>
    </row>
    <row r="38" spans="1:34" s="10" customFormat="1" x14ac:dyDescent="0.2">
      <c r="A38" s="6"/>
      <c r="B38" s="27" t="s">
        <v>70</v>
      </c>
      <c r="P38" s="27"/>
      <c r="Q38" s="27"/>
      <c r="R38" s="27"/>
      <c r="S38" s="27"/>
      <c r="T38" s="27"/>
      <c r="U38" s="27"/>
      <c r="V38" s="27"/>
      <c r="W38" s="27"/>
      <c r="X38" s="27"/>
      <c r="Y38" s="27"/>
      <c r="Z38" s="27"/>
      <c r="AA38" s="27"/>
      <c r="AC38" s="27">
        <f t="shared" ref="AC38:AH38" si="13">AC30*12*AC29</f>
        <v>8036.363636363636</v>
      </c>
      <c r="AD38" s="27">
        <f t="shared" si="13"/>
        <v>8759.636363636364</v>
      </c>
      <c r="AE38" s="27">
        <f t="shared" si="13"/>
        <v>10025.40381818182</v>
      </c>
      <c r="AF38" s="27">
        <f t="shared" si="13"/>
        <v>10927.690161818184</v>
      </c>
      <c r="AG38" s="27">
        <f t="shared" si="13"/>
        <v>11911.18227638182</v>
      </c>
      <c r="AH38" s="27">
        <f t="shared" si="13"/>
        <v>12983.188681256184</v>
      </c>
    </row>
    <row r="39" spans="1:34" s="10" customFormat="1" x14ac:dyDescent="0.2">
      <c r="A39" s="6"/>
      <c r="B39" s="10" t="s">
        <v>212</v>
      </c>
      <c r="P39" s="10">
        <v>400</v>
      </c>
      <c r="Z39" s="10">
        <f>Y42</f>
        <v>1900</v>
      </c>
      <c r="AA39" s="10">
        <f>Z42</f>
        <v>2337</v>
      </c>
      <c r="AB39" s="10">
        <f>AA42</f>
        <v>2874.5099999999998</v>
      </c>
      <c r="AC39" s="10">
        <f>AB42</f>
        <v>3500</v>
      </c>
      <c r="AD39" s="10">
        <f>AC42</f>
        <v>4305</v>
      </c>
      <c r="AE39" s="10">
        <f>AD39*1.1</f>
        <v>4735.5</v>
      </c>
      <c r="AF39" s="10">
        <f t="shared" ref="AF39:AH39" si="14">AE39*1.1</f>
        <v>5209.05</v>
      </c>
      <c r="AG39" s="10">
        <f t="shared" si="14"/>
        <v>5729.9550000000008</v>
      </c>
      <c r="AH39" s="10">
        <f t="shared" si="14"/>
        <v>6302.9505000000017</v>
      </c>
    </row>
    <row r="40" spans="1:34" s="10" customFormat="1" x14ac:dyDescent="0.2">
      <c r="A40" s="6"/>
      <c r="B40" s="10" t="s">
        <v>79</v>
      </c>
      <c r="Z40" s="10">
        <f>Z48-Y45</f>
        <v>1000</v>
      </c>
      <c r="AA40" s="10">
        <f>AA48-Z45</f>
        <v>1058.0000000000005</v>
      </c>
      <c r="AB40" s="10">
        <f>AB48-AA45</f>
        <v>1028.5400000000009</v>
      </c>
      <c r="AC40" s="10">
        <f>AC48-AB45</f>
        <v>950</v>
      </c>
      <c r="AD40" s="10">
        <f>AC40*0.95</f>
        <v>902.5</v>
      </c>
      <c r="AE40" s="10">
        <f t="shared" ref="AE40:AH40" si="15">AD40*0.95</f>
        <v>857.375</v>
      </c>
      <c r="AF40" s="10">
        <f t="shared" si="15"/>
        <v>814.50624999999991</v>
      </c>
      <c r="AG40" s="10">
        <f t="shared" si="15"/>
        <v>773.78093749999982</v>
      </c>
      <c r="AH40" s="10">
        <f t="shared" si="15"/>
        <v>735.09189062499979</v>
      </c>
    </row>
    <row r="41" spans="1:34" s="10" customFormat="1" x14ac:dyDescent="0.2">
      <c r="A41" s="6"/>
      <c r="Z41" s="12"/>
      <c r="AA41" s="12"/>
      <c r="AB41" s="12"/>
      <c r="AC41" s="12"/>
      <c r="AD41" s="12"/>
    </row>
    <row r="42" spans="1:34" s="10" customFormat="1" x14ac:dyDescent="0.2">
      <c r="A42" s="6"/>
      <c r="B42" s="45" t="s">
        <v>217</v>
      </c>
      <c r="Y42" s="45">
        <v>1900</v>
      </c>
      <c r="Z42" s="45">
        <f>Y42*1.23</f>
        <v>2337</v>
      </c>
      <c r="AA42" s="45">
        <f>Z42*1.23</f>
        <v>2874.5099999999998</v>
      </c>
      <c r="AB42" s="45">
        <v>3500</v>
      </c>
      <c r="AC42" s="45">
        <f>AB42*1.23</f>
        <v>4305</v>
      </c>
      <c r="AD42" s="45"/>
      <c r="AE42" s="45"/>
      <c r="AF42" s="45"/>
      <c r="AG42" s="45"/>
      <c r="AH42" s="45"/>
    </row>
    <row r="43" spans="1:34" s="10" customFormat="1" x14ac:dyDescent="0.2">
      <c r="A43" s="6"/>
      <c r="B43" s="45" t="s">
        <v>218</v>
      </c>
      <c r="Y43" s="45">
        <v>10300</v>
      </c>
      <c r="Z43" s="45">
        <f>Y43*1.11</f>
        <v>11433.000000000002</v>
      </c>
      <c r="AA43" s="45">
        <f>Z43*1.11</f>
        <v>12690.630000000003</v>
      </c>
      <c r="AB43" s="45">
        <v>13900</v>
      </c>
      <c r="AC43" s="45">
        <f>AB43*1.1</f>
        <v>15290.000000000002</v>
      </c>
    </row>
    <row r="44" spans="1:34" s="10" customFormat="1" x14ac:dyDescent="0.2">
      <c r="A44" s="6"/>
      <c r="B44" s="45" t="s">
        <v>221</v>
      </c>
      <c r="Y44" s="45">
        <v>1500</v>
      </c>
      <c r="Z44" s="45">
        <v>1800</v>
      </c>
      <c r="AA44" s="45">
        <v>1900</v>
      </c>
      <c r="AB44" s="45">
        <v>2200</v>
      </c>
      <c r="AC44" s="45">
        <f>AB44*1.18</f>
        <v>2596</v>
      </c>
      <c r="AD44" s="12"/>
    </row>
    <row r="45" spans="1:34" s="10" customFormat="1" x14ac:dyDescent="0.2">
      <c r="A45" s="6"/>
      <c r="B45" s="45" t="s">
        <v>219</v>
      </c>
      <c r="Y45" s="45">
        <v>3400</v>
      </c>
      <c r="Z45" s="45">
        <f>Y45*1.13</f>
        <v>3841.9999999999995</v>
      </c>
      <c r="AA45" s="45">
        <f>Z45*1.13</f>
        <v>4341.4599999999991</v>
      </c>
      <c r="AB45" s="45">
        <v>4900</v>
      </c>
      <c r="AC45" s="45">
        <f>AB45*1.13</f>
        <v>5536.9999999999991</v>
      </c>
    </row>
    <row r="46" spans="1:34" x14ac:dyDescent="0.2">
      <c r="C46" s="6"/>
      <c r="D46" s="6"/>
      <c r="E46" s="6"/>
      <c r="F46" s="6"/>
      <c r="H46" s="6"/>
      <c r="I46" s="6"/>
      <c r="J46" s="6"/>
      <c r="K46" s="6"/>
      <c r="L46" s="6"/>
      <c r="M46" s="6"/>
      <c r="N46" s="6"/>
      <c r="O46" s="6"/>
      <c r="P46" s="6"/>
      <c r="Q46" s="6"/>
      <c r="R46" s="6"/>
      <c r="S46" s="6"/>
      <c r="T46" s="6"/>
      <c r="U46" s="6"/>
      <c r="V46" s="6"/>
    </row>
    <row r="47" spans="1:34" x14ac:dyDescent="0.2">
      <c r="A47" s="5"/>
      <c r="B47" s="6" t="s">
        <v>55</v>
      </c>
      <c r="C47" s="6">
        <v>3820</v>
      </c>
      <c r="D47" s="6">
        <v>3910</v>
      </c>
      <c r="E47" s="6">
        <v>4000</v>
      </c>
      <c r="F47" s="6">
        <v>4150</v>
      </c>
      <c r="G47" s="6">
        <v>4230</v>
      </c>
      <c r="H47" s="6">
        <v>4350</v>
      </c>
      <c r="I47" s="6">
        <v>4460</v>
      </c>
      <c r="J47" s="6">
        <v>4620</v>
      </c>
      <c r="K47" s="6"/>
      <c r="L47" s="6"/>
      <c r="M47" s="6"/>
      <c r="N47" s="6"/>
      <c r="O47" s="6"/>
      <c r="P47" s="6">
        <v>3000</v>
      </c>
      <c r="Q47" s="6"/>
      <c r="R47" s="6"/>
      <c r="S47" s="6"/>
      <c r="T47" s="6">
        <v>3940</v>
      </c>
      <c r="U47" s="6">
        <v>5010</v>
      </c>
      <c r="V47" s="6">
        <f>U47*1.26</f>
        <v>6312.6</v>
      </c>
      <c r="W47" s="6">
        <v>7700</v>
      </c>
      <c r="X47" s="6">
        <v>9230</v>
      </c>
      <c r="Y47" s="27">
        <f>X47*1.15</f>
        <v>10614.5</v>
      </c>
      <c r="Z47" s="6">
        <f>Y47*1.16</f>
        <v>12312.82</v>
      </c>
      <c r="AA47" s="6">
        <v>14000</v>
      </c>
      <c r="AB47" s="6">
        <v>15860</v>
      </c>
      <c r="AC47" s="6">
        <v>17500</v>
      </c>
    </row>
    <row r="48" spans="1:34" x14ac:dyDescent="0.2">
      <c r="A48" s="5"/>
      <c r="B48" s="6" t="s">
        <v>56</v>
      </c>
      <c r="C48" s="6">
        <v>1290</v>
      </c>
      <c r="D48" s="6">
        <v>1330</v>
      </c>
      <c r="E48" s="6">
        <v>1350</v>
      </c>
      <c r="F48" s="6">
        <v>1400</v>
      </c>
      <c r="G48" s="6">
        <v>1410</v>
      </c>
      <c r="H48" s="6">
        <v>1460</v>
      </c>
      <c r="I48" s="6">
        <v>1480</v>
      </c>
      <c r="J48" s="6">
        <v>1520</v>
      </c>
      <c r="K48" s="6"/>
      <c r="L48" s="6"/>
      <c r="M48" s="6"/>
      <c r="N48" s="6"/>
      <c r="O48" s="6"/>
      <c r="P48" s="6"/>
      <c r="Q48" s="6"/>
      <c r="R48" s="6"/>
      <c r="S48" s="6"/>
      <c r="T48" s="6"/>
      <c r="U48" s="6"/>
      <c r="V48" s="6"/>
      <c r="W48" s="6">
        <f>(W50+W52)-W47</f>
        <v>2823</v>
      </c>
      <c r="X48" s="45">
        <v>3100</v>
      </c>
      <c r="Y48" s="45">
        <v>3900</v>
      </c>
      <c r="Z48" s="45">
        <v>4400</v>
      </c>
      <c r="AA48" s="45">
        <v>4900</v>
      </c>
      <c r="AB48" s="6">
        <v>5370</v>
      </c>
      <c r="AC48" s="6">
        <v>5850</v>
      </c>
    </row>
    <row r="49" spans="1:38" x14ac:dyDescent="0.2">
      <c r="A49" s="5"/>
      <c r="C49" s="6"/>
      <c r="D49" s="6"/>
      <c r="E49" s="6"/>
      <c r="F49" s="6"/>
      <c r="H49" s="6"/>
      <c r="I49" s="6"/>
      <c r="J49" s="6"/>
      <c r="K49" s="6"/>
      <c r="L49" s="6"/>
      <c r="M49" s="6"/>
      <c r="N49" s="6"/>
      <c r="O49" s="6"/>
      <c r="P49" s="6"/>
      <c r="Q49" s="6"/>
      <c r="R49" s="6"/>
      <c r="S49" s="6"/>
      <c r="T49" s="6"/>
      <c r="U49" s="6"/>
      <c r="V49" s="6"/>
    </row>
    <row r="50" spans="1:38" x14ac:dyDescent="0.2">
      <c r="B50" s="6" t="s">
        <v>6</v>
      </c>
      <c r="C50" s="6"/>
      <c r="D50" s="6">
        <v>5060</v>
      </c>
      <c r="E50" s="6"/>
      <c r="F50" s="6"/>
      <c r="H50" s="6">
        <v>5641</v>
      </c>
      <c r="I50" s="6"/>
      <c r="J50" s="6"/>
      <c r="K50" s="6"/>
      <c r="L50" s="6"/>
      <c r="M50" s="6"/>
      <c r="N50" s="6"/>
      <c r="O50" s="6"/>
      <c r="P50" s="6"/>
      <c r="Q50" s="6"/>
      <c r="R50" s="6"/>
      <c r="S50" s="6"/>
      <c r="T50" s="6"/>
      <c r="U50" s="6"/>
      <c r="V50" s="6"/>
      <c r="W50" s="6">
        <v>9634</v>
      </c>
      <c r="X50" s="6">
        <v>11626</v>
      </c>
      <c r="Y50" s="6">
        <v>14573</v>
      </c>
      <c r="Z50" s="6">
        <v>16388</v>
      </c>
      <c r="AA50" s="6">
        <v>18284</v>
      </c>
      <c r="AB50" s="6">
        <v>20521</v>
      </c>
    </row>
    <row r="51" spans="1:38" x14ac:dyDescent="0.2">
      <c r="B51" s="6" t="s">
        <v>7</v>
      </c>
      <c r="C51" s="6"/>
      <c r="D51" s="6">
        <v>104</v>
      </c>
      <c r="E51" s="6"/>
      <c r="F51" s="6"/>
      <c r="H51" s="6">
        <v>88</v>
      </c>
      <c r="I51" s="6"/>
      <c r="J51" s="6"/>
      <c r="K51" s="6"/>
      <c r="L51" s="6"/>
      <c r="M51" s="6"/>
      <c r="N51" s="6"/>
      <c r="O51" s="6"/>
      <c r="P51" s="6"/>
      <c r="Q51" s="6"/>
      <c r="R51" s="6"/>
      <c r="S51" s="6"/>
      <c r="T51" s="6"/>
      <c r="U51" s="6"/>
      <c r="V51" s="6"/>
      <c r="W51" s="6">
        <v>648</v>
      </c>
      <c r="X51" s="6">
        <v>507</v>
      </c>
      <c r="Y51" s="6">
        <v>555</v>
      </c>
      <c r="Z51" s="6">
        <v>532</v>
      </c>
      <c r="AA51" s="6">
        <v>460</v>
      </c>
      <c r="AB51" s="6">
        <v>386</v>
      </c>
    </row>
    <row r="52" spans="1:38" x14ac:dyDescent="0.2">
      <c r="B52" s="6" t="s">
        <v>8</v>
      </c>
      <c r="C52" s="6"/>
      <c r="D52" s="6">
        <v>145</v>
      </c>
      <c r="E52" s="6"/>
      <c r="F52" s="6"/>
      <c r="H52" s="6">
        <v>144</v>
      </c>
      <c r="I52" s="6"/>
      <c r="J52" s="6"/>
      <c r="K52" s="6"/>
      <c r="L52" s="6"/>
      <c r="M52" s="6"/>
      <c r="N52" s="6"/>
      <c r="O52" s="6"/>
      <c r="P52" s="6"/>
      <c r="Q52" s="6"/>
      <c r="R52" s="6"/>
      <c r="S52" s="6"/>
      <c r="T52" s="6"/>
      <c r="U52" s="6"/>
      <c r="V52" s="6"/>
      <c r="W52" s="6">
        <v>889</v>
      </c>
      <c r="X52" s="6">
        <v>735</v>
      </c>
      <c r="Y52" s="6">
        <v>657</v>
      </c>
      <c r="Z52" s="6">
        <v>686</v>
      </c>
      <c r="AA52" s="6">
        <v>665</v>
      </c>
      <c r="AB52" s="6">
        <v>598</v>
      </c>
    </row>
    <row r="53" spans="1:38" s="10" customFormat="1" x14ac:dyDescent="0.2">
      <c r="B53" s="10" t="s">
        <v>9</v>
      </c>
      <c r="C53" s="10">
        <f>SUM(C50:C52)</f>
        <v>0</v>
      </c>
      <c r="D53" s="10">
        <f>SUM(D50:D52)</f>
        <v>5309</v>
      </c>
      <c r="E53" s="10">
        <f>SUM(E50:E52)</f>
        <v>0</v>
      </c>
      <c r="F53" s="10">
        <f>SUM(F50:F52)</f>
        <v>0</v>
      </c>
      <c r="G53" s="10">
        <v>5710</v>
      </c>
      <c r="H53" s="10">
        <f>SUM(H50:H52)</f>
        <v>5873</v>
      </c>
      <c r="I53" s="10">
        <v>5900</v>
      </c>
      <c r="J53" s="10">
        <f>I53*1.02</f>
        <v>6018</v>
      </c>
      <c r="K53" s="10">
        <v>6250</v>
      </c>
      <c r="P53" s="10">
        <v>4400</v>
      </c>
      <c r="Q53" s="10">
        <v>4060</v>
      </c>
      <c r="R53" s="10">
        <v>4150</v>
      </c>
      <c r="S53" s="10">
        <v>4800</v>
      </c>
      <c r="T53" s="10">
        <v>5850</v>
      </c>
      <c r="U53" s="10">
        <v>7300</v>
      </c>
      <c r="V53" s="10">
        <v>9030</v>
      </c>
      <c r="W53" s="10">
        <f>SUM(W50:W52)</f>
        <v>11171</v>
      </c>
      <c r="X53" s="10">
        <f>SUM(X50:X52)</f>
        <v>12868</v>
      </c>
      <c r="Y53" s="10">
        <f>SUM(Y50:Y52)</f>
        <v>15785</v>
      </c>
      <c r="Z53" s="10">
        <f>SUM(Z50:Z52)</f>
        <v>17606</v>
      </c>
      <c r="AA53" s="10">
        <f t="shared" ref="AA53:AB53" si="16">SUM(AA50:AA52)</f>
        <v>19409</v>
      </c>
      <c r="AB53" s="10">
        <f t="shared" si="16"/>
        <v>21505</v>
      </c>
      <c r="AC53" s="10">
        <v>23600</v>
      </c>
      <c r="AD53" s="10">
        <f>AD39+AD36+AD34+AD40</f>
        <v>25895.5</v>
      </c>
      <c r="AE53" s="10">
        <f t="shared" ref="AE53:AH53" si="17">AE39+AE36+AE34+AE40</f>
        <v>27043.54972727273</v>
      </c>
      <c r="AF53" s="10">
        <f t="shared" si="17"/>
        <v>29720.400702727271</v>
      </c>
      <c r="AG53" s="10">
        <f t="shared" si="17"/>
        <v>32693.090650972728</v>
      </c>
      <c r="AH53" s="10">
        <f t="shared" si="17"/>
        <v>35994.604484710275</v>
      </c>
      <c r="AI53" s="10">
        <f>AH53*(1+$AL$121)</f>
        <v>36714.496574404482</v>
      </c>
      <c r="AJ53" s="51"/>
    </row>
    <row r="54" spans="1:38" x14ac:dyDescent="0.2">
      <c r="B54" s="6" t="s">
        <v>10</v>
      </c>
      <c r="D54" s="7">
        <v>456</v>
      </c>
      <c r="H54" s="7">
        <v>505</v>
      </c>
      <c r="I54" s="6"/>
      <c r="Z54" s="6">
        <v>1646</v>
      </c>
      <c r="AA54" s="6">
        <v>1822</v>
      </c>
      <c r="AB54" s="6">
        <v>1799</v>
      </c>
      <c r="AL54" s="14"/>
    </row>
    <row r="55" spans="1:38" x14ac:dyDescent="0.2">
      <c r="B55" s="6" t="s">
        <v>11</v>
      </c>
      <c r="D55" s="7">
        <v>8</v>
      </c>
      <c r="H55" s="7">
        <v>6</v>
      </c>
      <c r="Z55" s="6">
        <v>35</v>
      </c>
      <c r="AA55" s="6">
        <v>29</v>
      </c>
      <c r="AB55" s="6">
        <v>25</v>
      </c>
      <c r="AC55" s="14"/>
      <c r="AD55" s="14"/>
    </row>
    <row r="56" spans="1:38" x14ac:dyDescent="0.2">
      <c r="B56" s="6" t="s">
        <v>12</v>
      </c>
      <c r="D56" s="7">
        <v>134</v>
      </c>
      <c r="H56" s="7">
        <v>127</v>
      </c>
      <c r="Z56" s="6">
        <v>484</v>
      </c>
      <c r="AA56" s="6">
        <v>503</v>
      </c>
      <c r="AB56" s="6">
        <v>534</v>
      </c>
    </row>
    <row r="57" spans="1:38" x14ac:dyDescent="0.2">
      <c r="B57" s="6" t="s">
        <v>13</v>
      </c>
      <c r="C57" s="7">
        <f>SUM(C54:C56)</f>
        <v>0</v>
      </c>
      <c r="D57" s="7">
        <f>SUM(D54:D56)</f>
        <v>598</v>
      </c>
      <c r="E57" s="7">
        <f t="shared" ref="E57:H57" si="18">SUM(E54:E56)</f>
        <v>0</v>
      </c>
      <c r="F57" s="7">
        <f t="shared" si="18"/>
        <v>0</v>
      </c>
      <c r="G57" s="7">
        <f t="shared" si="18"/>
        <v>0</v>
      </c>
      <c r="H57" s="7">
        <f t="shared" si="18"/>
        <v>638</v>
      </c>
      <c r="I57" s="6">
        <f>I53*(1-I76)</f>
        <v>648.99999999999989</v>
      </c>
      <c r="J57" s="6">
        <f>J53*(1-J76)</f>
        <v>661.9799999999999</v>
      </c>
      <c r="K57" s="6"/>
      <c r="L57" s="6"/>
      <c r="M57" s="6"/>
      <c r="N57" s="6"/>
      <c r="O57" s="6"/>
      <c r="P57" s="6"/>
      <c r="Q57" s="6"/>
      <c r="R57" s="6"/>
      <c r="S57" s="6"/>
      <c r="T57" s="6"/>
      <c r="U57" s="6"/>
      <c r="V57" s="6"/>
      <c r="W57" s="6">
        <f>SUM(W54:W56)</f>
        <v>0</v>
      </c>
      <c r="X57" s="6">
        <f>SUM(X54:X56)</f>
        <v>0</v>
      </c>
      <c r="Y57" s="6">
        <f>SUM(Y54:Y56)</f>
        <v>0</v>
      </c>
      <c r="Z57" s="6">
        <f>SUM(Z54:Z56)</f>
        <v>2165</v>
      </c>
      <c r="AA57" s="6">
        <f t="shared" ref="AA57:AB57" si="19">SUM(AA54:AA56)</f>
        <v>2354</v>
      </c>
      <c r="AB57" s="6">
        <f t="shared" si="19"/>
        <v>2358</v>
      </c>
      <c r="AC57" s="6">
        <f t="shared" ref="AC57:AH57" si="20">AC53*(1-AC76)</f>
        <v>2595.9999999999995</v>
      </c>
      <c r="AD57" s="6">
        <f t="shared" si="20"/>
        <v>2848.5049999999997</v>
      </c>
      <c r="AE57" s="6">
        <f t="shared" si="20"/>
        <v>2974.7904699999999</v>
      </c>
      <c r="AF57" s="6">
        <f t="shared" si="20"/>
        <v>3269.2440772999994</v>
      </c>
      <c r="AG57" s="6">
        <f t="shared" si="20"/>
        <v>3596.2399716069995</v>
      </c>
      <c r="AH57" s="6">
        <f t="shared" si="20"/>
        <v>3959.4064933181298</v>
      </c>
    </row>
    <row r="58" spans="1:38" x14ac:dyDescent="0.2">
      <c r="B58" s="6" t="s">
        <v>14</v>
      </c>
      <c r="C58" s="6">
        <f>C53-C57</f>
        <v>0</v>
      </c>
      <c r="D58" s="6">
        <f>D53-D57</f>
        <v>4711</v>
      </c>
      <c r="E58" s="6">
        <f t="shared" ref="E58:J58" si="21">E53-E57</f>
        <v>0</v>
      </c>
      <c r="F58" s="6">
        <f t="shared" si="21"/>
        <v>0</v>
      </c>
      <c r="G58" s="6">
        <f t="shared" si="21"/>
        <v>5710</v>
      </c>
      <c r="H58" s="6">
        <f t="shared" si="21"/>
        <v>5235</v>
      </c>
      <c r="I58" s="6">
        <f t="shared" si="21"/>
        <v>5251</v>
      </c>
      <c r="J58" s="6">
        <f t="shared" si="21"/>
        <v>5356.02</v>
      </c>
      <c r="K58" s="6"/>
      <c r="L58" s="6"/>
      <c r="M58" s="6"/>
      <c r="N58" s="6"/>
      <c r="O58" s="6"/>
      <c r="P58" s="6"/>
      <c r="Q58" s="6"/>
      <c r="R58" s="6"/>
      <c r="S58" s="6"/>
      <c r="T58" s="6"/>
      <c r="U58" s="6"/>
      <c r="V58" s="6"/>
      <c r="Z58" s="6">
        <f>Z53-Z57</f>
        <v>15441</v>
      </c>
      <c r="AA58" s="6">
        <f t="shared" ref="AA58:AB58" si="22">AA53-AA57</f>
        <v>17055</v>
      </c>
      <c r="AB58" s="6">
        <f t="shared" si="22"/>
        <v>19147</v>
      </c>
      <c r="AC58" s="6">
        <f t="shared" ref="AC58" si="23">AC53-AC57</f>
        <v>21004</v>
      </c>
      <c r="AD58" s="6">
        <f t="shared" ref="AD58" si="24">AD53-AD57</f>
        <v>23046.994999999999</v>
      </c>
      <c r="AE58" s="6">
        <f t="shared" ref="AE58" si="25">AE53-AE57</f>
        <v>24068.75925727273</v>
      </c>
      <c r="AF58" s="6">
        <f t="shared" ref="AF58" si="26">AF53-AF57</f>
        <v>26451.156625427273</v>
      </c>
      <c r="AG58" s="6">
        <f t="shared" ref="AG58:AH58" si="27">AG53-AG57</f>
        <v>29096.850679365729</v>
      </c>
      <c r="AH58" s="6">
        <f t="shared" si="27"/>
        <v>32035.197991392146</v>
      </c>
    </row>
    <row r="59" spans="1:38" x14ac:dyDescent="0.2">
      <c r="B59" s="6" t="s">
        <v>15</v>
      </c>
      <c r="C59" s="6"/>
      <c r="D59" s="6">
        <v>984</v>
      </c>
      <c r="E59" s="6"/>
      <c r="F59" s="6"/>
      <c r="H59" s="6">
        <v>1082</v>
      </c>
      <c r="I59" s="6">
        <f t="shared" ref="I59:J61" si="28">H59*1.01</f>
        <v>1092.82</v>
      </c>
      <c r="J59" s="6">
        <f t="shared" si="28"/>
        <v>1103.7482</v>
      </c>
      <c r="K59" s="6"/>
      <c r="L59" s="6"/>
      <c r="M59" s="6"/>
      <c r="N59" s="6"/>
      <c r="O59" s="6"/>
      <c r="P59" s="6"/>
      <c r="Q59" s="6"/>
      <c r="R59" s="6"/>
      <c r="S59" s="6"/>
      <c r="T59" s="6"/>
      <c r="U59" s="6"/>
      <c r="V59" s="6"/>
      <c r="Z59" s="6">
        <v>2987</v>
      </c>
      <c r="AA59" s="6">
        <v>3473</v>
      </c>
      <c r="AB59" s="6">
        <v>3944</v>
      </c>
      <c r="AC59" s="6">
        <f>AB59*(1+AC72)</f>
        <v>4328.221343873518</v>
      </c>
      <c r="AD59" s="6">
        <f>AD62-SUM(AD60:AD61)</f>
        <v>4860.7018999999982</v>
      </c>
      <c r="AE59" s="6">
        <f t="shared" ref="AE59:AH59" si="29">AE62-SUM(AE60:AE61)</f>
        <v>4772.80075321818</v>
      </c>
      <c r="AF59" s="6">
        <f t="shared" si="29"/>
        <v>5419.6248574678157</v>
      </c>
      <c r="AG59" s="6">
        <f t="shared" si="29"/>
        <v>6160.3637299297188</v>
      </c>
      <c r="AH59" s="6">
        <f t="shared" si="29"/>
        <v>7007.3403977768467</v>
      </c>
    </row>
    <row r="60" spans="1:38" x14ac:dyDescent="0.2">
      <c r="B60" s="6" t="s">
        <v>16</v>
      </c>
      <c r="C60" s="6"/>
      <c r="D60" s="6">
        <v>1445</v>
      </c>
      <c r="E60" s="6"/>
      <c r="F60" s="6"/>
      <c r="H60" s="6">
        <v>1626</v>
      </c>
      <c r="I60" s="6">
        <f t="shared" si="28"/>
        <v>1642.26</v>
      </c>
      <c r="J60" s="6">
        <f t="shared" si="28"/>
        <v>1658.6826000000001</v>
      </c>
      <c r="K60" s="6"/>
      <c r="L60" s="6"/>
      <c r="M60" s="6"/>
      <c r="N60" s="6"/>
      <c r="O60" s="6"/>
      <c r="P60" s="6"/>
      <c r="Q60" s="6"/>
      <c r="R60" s="6"/>
      <c r="S60" s="6"/>
      <c r="T60" s="6"/>
      <c r="U60" s="6"/>
      <c r="V60" s="6"/>
      <c r="Z60" s="6">
        <v>4968</v>
      </c>
      <c r="AA60" s="6">
        <v>5351</v>
      </c>
      <c r="AB60" s="6">
        <v>5764</v>
      </c>
      <c r="AC60" s="6">
        <f>AB60*1.08</f>
        <v>6225.1200000000008</v>
      </c>
      <c r="AD60" s="6">
        <f>AC60*1.08</f>
        <v>6723.1296000000011</v>
      </c>
      <c r="AE60" s="6">
        <f t="shared" ref="AE60:AH60" si="30">AD60*1.08</f>
        <v>7260.9799680000015</v>
      </c>
      <c r="AF60" s="6">
        <f t="shared" si="30"/>
        <v>7841.8583654400018</v>
      </c>
      <c r="AG60" s="6">
        <f t="shared" si="30"/>
        <v>8469.2070346752025</v>
      </c>
      <c r="AH60" s="6">
        <f t="shared" si="30"/>
        <v>9146.74359744922</v>
      </c>
    </row>
    <row r="61" spans="1:38" x14ac:dyDescent="0.2">
      <c r="B61" s="6" t="s">
        <v>17</v>
      </c>
      <c r="C61" s="6"/>
      <c r="D61" s="6">
        <v>355</v>
      </c>
      <c r="E61" s="6"/>
      <c r="F61" s="6"/>
      <c r="H61" s="6">
        <v>377</v>
      </c>
      <c r="I61" s="6">
        <f t="shared" si="28"/>
        <v>380.77</v>
      </c>
      <c r="J61" s="6">
        <f t="shared" si="28"/>
        <v>384.57769999999999</v>
      </c>
      <c r="K61" s="6"/>
      <c r="L61" s="6"/>
      <c r="M61" s="6"/>
      <c r="N61" s="6"/>
      <c r="O61" s="6"/>
      <c r="P61" s="6"/>
      <c r="Q61" s="6"/>
      <c r="R61" s="6"/>
      <c r="S61" s="6"/>
      <c r="T61" s="6"/>
      <c r="U61" s="6"/>
      <c r="V61" s="6"/>
      <c r="Z61" s="6">
        <v>1219</v>
      </c>
      <c r="AA61" s="6">
        <v>1413</v>
      </c>
      <c r="AB61" s="6">
        <v>1529</v>
      </c>
      <c r="AC61" s="6">
        <f>AB61*1.08</f>
        <v>1651.3200000000002</v>
      </c>
      <c r="AD61" s="6">
        <f>AC61*1.08</f>
        <v>1783.4256000000003</v>
      </c>
      <c r="AE61" s="6">
        <f t="shared" ref="AE61:AH61" si="31">AD61*1.08</f>
        <v>1926.0996480000003</v>
      </c>
      <c r="AF61" s="6">
        <f t="shared" si="31"/>
        <v>2080.1876198400005</v>
      </c>
      <c r="AG61" s="6">
        <f t="shared" si="31"/>
        <v>2246.6026294272006</v>
      </c>
      <c r="AH61" s="6">
        <f t="shared" si="31"/>
        <v>2426.3308397813767</v>
      </c>
    </row>
    <row r="62" spans="1:38" x14ac:dyDescent="0.2">
      <c r="B62" s="6" t="s">
        <v>18</v>
      </c>
      <c r="C62" s="6">
        <f>SUM(C59:C61)</f>
        <v>0</v>
      </c>
      <c r="D62" s="6">
        <f t="shared" ref="D62:J62" si="32">SUM(D59:D61)</f>
        <v>2784</v>
      </c>
      <c r="E62" s="6">
        <f t="shared" si="32"/>
        <v>0</v>
      </c>
      <c r="F62" s="6">
        <f t="shared" si="32"/>
        <v>0</v>
      </c>
      <c r="G62" s="6">
        <f t="shared" si="32"/>
        <v>0</v>
      </c>
      <c r="H62" s="6">
        <f t="shared" si="32"/>
        <v>3085</v>
      </c>
      <c r="I62" s="6">
        <f t="shared" si="32"/>
        <v>3115.85</v>
      </c>
      <c r="J62" s="6">
        <f t="shared" si="32"/>
        <v>3147.0084999999999</v>
      </c>
      <c r="K62" s="6"/>
      <c r="L62" s="6"/>
      <c r="M62" s="6"/>
      <c r="N62" s="6"/>
      <c r="O62" s="6"/>
      <c r="P62" s="6"/>
      <c r="Q62" s="6"/>
      <c r="R62" s="6"/>
      <c r="S62" s="6"/>
      <c r="T62" s="6"/>
      <c r="U62" s="6"/>
      <c r="V62" s="6"/>
      <c r="W62" s="6">
        <f>SUM(W59:W61)</f>
        <v>0</v>
      </c>
      <c r="X62" s="6">
        <f>SUM(X59:X61)</f>
        <v>0</v>
      </c>
      <c r="Y62" s="6">
        <f>SUM(Y59:Y61)</f>
        <v>0</v>
      </c>
      <c r="Z62" s="6">
        <f>SUM(Z59:Z61)</f>
        <v>9174</v>
      </c>
      <c r="AA62" s="6">
        <f t="shared" ref="AA62:AC62" si="33">SUM(AA59:AA61)</f>
        <v>10237</v>
      </c>
      <c r="AB62" s="6">
        <f t="shared" si="33"/>
        <v>11237</v>
      </c>
      <c r="AC62" s="6">
        <f t="shared" si="33"/>
        <v>12204.661343873518</v>
      </c>
      <c r="AD62" s="6">
        <f>AD58*0.58</f>
        <v>13367.257099999999</v>
      </c>
      <c r="AE62" s="6">
        <f t="shared" ref="AE62:AH62" si="34">AE58*0.58</f>
        <v>13959.880369218183</v>
      </c>
      <c r="AF62" s="6">
        <f t="shared" si="34"/>
        <v>15341.670842747817</v>
      </c>
      <c r="AG62" s="6">
        <f t="shared" si="34"/>
        <v>16876.173394032121</v>
      </c>
      <c r="AH62" s="6">
        <f t="shared" si="34"/>
        <v>18580.414835007443</v>
      </c>
    </row>
    <row r="63" spans="1:38" x14ac:dyDescent="0.2">
      <c r="B63" s="6" t="s">
        <v>19</v>
      </c>
      <c r="C63" s="6">
        <f>C58-C62</f>
        <v>0</v>
      </c>
      <c r="D63" s="6">
        <f t="shared" ref="D63:J63" si="35">D58-D62</f>
        <v>1927</v>
      </c>
      <c r="E63" s="6">
        <f t="shared" si="35"/>
        <v>0</v>
      </c>
      <c r="F63" s="6">
        <f t="shared" si="35"/>
        <v>0</v>
      </c>
      <c r="G63" s="6">
        <f t="shared" si="35"/>
        <v>5710</v>
      </c>
      <c r="H63" s="6">
        <f t="shared" si="35"/>
        <v>2150</v>
      </c>
      <c r="I63" s="6">
        <f t="shared" si="35"/>
        <v>2135.15</v>
      </c>
      <c r="J63" s="6">
        <f t="shared" si="35"/>
        <v>2209.0115000000005</v>
      </c>
      <c r="K63" s="6"/>
      <c r="L63" s="6"/>
      <c r="M63" s="6"/>
      <c r="N63" s="6"/>
      <c r="O63" s="6"/>
      <c r="P63" s="6"/>
      <c r="Q63" s="6"/>
      <c r="R63" s="6"/>
      <c r="S63" s="6"/>
      <c r="T63" s="6"/>
      <c r="U63" s="6"/>
      <c r="V63" s="6"/>
      <c r="W63" s="6">
        <f>W58-W62</f>
        <v>0</v>
      </c>
      <c r="X63" s="6">
        <f>X58-X62</f>
        <v>0</v>
      </c>
      <c r="Y63" s="6">
        <f>Y58-Y62</f>
        <v>0</v>
      </c>
      <c r="Z63" s="6">
        <f>Z58-Z62</f>
        <v>6267</v>
      </c>
      <c r="AA63" s="6">
        <f t="shared" ref="AA63:AG63" si="36">AA58-AA62</f>
        <v>6818</v>
      </c>
      <c r="AB63" s="6">
        <f t="shared" si="36"/>
        <v>7910</v>
      </c>
      <c r="AC63" s="6">
        <f t="shared" si="36"/>
        <v>8799.3386561264815</v>
      </c>
      <c r="AD63" s="6">
        <f t="shared" si="36"/>
        <v>9679.7379000000001</v>
      </c>
      <c r="AE63" s="6">
        <f t="shared" si="36"/>
        <v>10108.878888054547</v>
      </c>
      <c r="AF63" s="6">
        <f t="shared" si="36"/>
        <v>11109.485782679456</v>
      </c>
      <c r="AG63" s="6">
        <f t="shared" si="36"/>
        <v>12220.677285333608</v>
      </c>
      <c r="AH63" s="6">
        <f t="shared" ref="AH63" si="37">AH58-AH62</f>
        <v>13454.783156384703</v>
      </c>
      <c r="AI63" s="6">
        <f>AH63*(1+$AL$121)</f>
        <v>13723.878819512398</v>
      </c>
    </row>
    <row r="64" spans="1:38" x14ac:dyDescent="0.2">
      <c r="B64" s="16" t="s">
        <v>59</v>
      </c>
      <c r="I64" s="6">
        <f>H79*$AL$120/4</f>
        <v>-14.3025</v>
      </c>
      <c r="J64" s="6">
        <f>I79*$AL$120/4</f>
        <v>-1.5774149999999973</v>
      </c>
      <c r="K64" s="6"/>
      <c r="L64" s="6"/>
      <c r="M64" s="6"/>
      <c r="N64" s="6"/>
      <c r="O64" s="6"/>
      <c r="P64" s="6"/>
      <c r="Q64" s="6"/>
      <c r="R64" s="6"/>
      <c r="S64" s="6"/>
      <c r="T64" s="6"/>
      <c r="U64" s="6"/>
      <c r="V64" s="6"/>
      <c r="Z64" s="6">
        <f>-112-19</f>
        <v>-131</v>
      </c>
      <c r="AA64" s="6">
        <f>-113+16</f>
        <v>-97</v>
      </c>
      <c r="AB64" s="6">
        <f>-169+48</f>
        <v>-121</v>
      </c>
      <c r="AC64" s="6">
        <f>SUM(G64:J64)</f>
        <v>-15.879914999999997</v>
      </c>
      <c r="AD64" s="6">
        <f>AC79*$AL$120</f>
        <v>46.668758040000021</v>
      </c>
      <c r="AE64" s="6">
        <f>AD79*$AL$120</f>
        <v>277.18459583554801</v>
      </c>
      <c r="AF64" s="6">
        <f>AE79*$AL$120</f>
        <v>523.33430040374321</v>
      </c>
      <c r="AG64" s="6">
        <f>AF79*$AL$120</f>
        <v>799.0321363728151</v>
      </c>
      <c r="AH64" s="6">
        <f>AG79*$AL$120</f>
        <v>1107.5992496672573</v>
      </c>
      <c r="AI64" s="6">
        <v>0</v>
      </c>
    </row>
    <row r="65" spans="2:38" x14ac:dyDescent="0.2">
      <c r="B65" s="6" t="s">
        <v>20</v>
      </c>
      <c r="C65" s="6">
        <f>C63+C64</f>
        <v>0</v>
      </c>
      <c r="D65" s="6">
        <f t="shared" ref="D65:J65" si="38">D63+D64</f>
        <v>1927</v>
      </c>
      <c r="E65" s="6">
        <f t="shared" si="38"/>
        <v>0</v>
      </c>
      <c r="F65" s="6">
        <f t="shared" si="38"/>
        <v>0</v>
      </c>
      <c r="G65" s="6">
        <f t="shared" si="38"/>
        <v>5710</v>
      </c>
      <c r="H65" s="6">
        <f t="shared" si="38"/>
        <v>2150</v>
      </c>
      <c r="I65" s="6">
        <f t="shared" si="38"/>
        <v>2120.8475000000003</v>
      </c>
      <c r="J65" s="6">
        <f t="shared" si="38"/>
        <v>2207.4340850000003</v>
      </c>
      <c r="K65" s="6"/>
      <c r="L65" s="6"/>
      <c r="M65" s="6"/>
      <c r="N65" s="6"/>
      <c r="O65" s="6"/>
      <c r="P65" s="6"/>
      <c r="Q65" s="6"/>
      <c r="R65" s="6"/>
      <c r="S65" s="6"/>
      <c r="T65" s="6"/>
      <c r="U65" s="6"/>
      <c r="V65" s="6"/>
      <c r="W65" s="6">
        <f>W63+W64</f>
        <v>0</v>
      </c>
      <c r="X65" s="6">
        <f>X63+X64</f>
        <v>0</v>
      </c>
      <c r="Y65" s="6">
        <f>Y63+Y64</f>
        <v>0</v>
      </c>
      <c r="Z65" s="6">
        <f>Z63+Z64</f>
        <v>6136</v>
      </c>
      <c r="AA65" s="6">
        <f t="shared" ref="AA65:AG65" si="39">AA63+AA64</f>
        <v>6721</v>
      </c>
      <c r="AB65" s="6">
        <f t="shared" si="39"/>
        <v>7789</v>
      </c>
      <c r="AC65" s="6">
        <f t="shared" si="39"/>
        <v>8783.458741126482</v>
      </c>
      <c r="AD65" s="6">
        <f t="shared" si="39"/>
        <v>9726.4066580399995</v>
      </c>
      <c r="AE65" s="6">
        <f t="shared" si="39"/>
        <v>10386.063483890095</v>
      </c>
      <c r="AF65" s="6">
        <f t="shared" si="39"/>
        <v>11632.820083083199</v>
      </c>
      <c r="AG65" s="6">
        <f t="shared" si="39"/>
        <v>13019.709421706422</v>
      </c>
      <c r="AH65" s="6">
        <f t="shared" ref="AH65" si="40">AH63+AH64</f>
        <v>14562.38240605196</v>
      </c>
      <c r="AI65" s="6">
        <f>AI63+AI64</f>
        <v>13723.878819512398</v>
      </c>
    </row>
    <row r="66" spans="2:38" x14ac:dyDescent="0.2">
      <c r="B66" s="6" t="s">
        <v>21</v>
      </c>
      <c r="I66" s="6">
        <f>I65*0.2</f>
        <v>424.16950000000008</v>
      </c>
      <c r="J66" s="6">
        <f>J65*0.2</f>
        <v>441.48681700000009</v>
      </c>
      <c r="K66" s="6"/>
      <c r="L66" s="6"/>
      <c r="M66" s="6"/>
      <c r="N66" s="6"/>
      <c r="O66" s="6"/>
      <c r="P66" s="6"/>
      <c r="Q66" s="6"/>
      <c r="R66" s="6"/>
      <c r="S66" s="6"/>
      <c r="T66" s="6"/>
      <c r="U66" s="6"/>
      <c r="V66" s="6"/>
      <c r="W66" s="14"/>
      <c r="X66" s="14"/>
      <c r="Y66" s="14"/>
      <c r="Z66" s="6">
        <v>1252</v>
      </c>
      <c r="AA66" s="6">
        <v>1371</v>
      </c>
      <c r="AB66" s="6">
        <v>1371</v>
      </c>
      <c r="AC66" s="6">
        <v>1604</v>
      </c>
      <c r="AD66" s="6">
        <f t="shared" ref="AD66:AI66" si="41">AD65*0.21</f>
        <v>2042.5453981883998</v>
      </c>
      <c r="AE66" s="6">
        <f t="shared" si="41"/>
        <v>2181.0733316169199</v>
      </c>
      <c r="AF66" s="6">
        <f t="shared" si="41"/>
        <v>2442.8922174474719</v>
      </c>
      <c r="AG66" s="6">
        <f t="shared" si="41"/>
        <v>2734.1389785583488</v>
      </c>
      <c r="AH66" s="6">
        <f t="shared" si="41"/>
        <v>3058.1003052709116</v>
      </c>
      <c r="AI66" s="6">
        <f t="shared" si="41"/>
        <v>2882.0145520976034</v>
      </c>
    </row>
    <row r="67" spans="2:38" s="10" customFormat="1" x14ac:dyDescent="0.2">
      <c r="B67" s="10" t="s">
        <v>22</v>
      </c>
      <c r="C67" s="10">
        <f>C65-C66</f>
        <v>0</v>
      </c>
      <c r="D67" s="10">
        <f t="shared" ref="D67:J67" si="42">D65-D66</f>
        <v>1927</v>
      </c>
      <c r="E67" s="10">
        <f t="shared" si="42"/>
        <v>0</v>
      </c>
      <c r="F67" s="10">
        <f t="shared" si="42"/>
        <v>0</v>
      </c>
      <c r="G67" s="10">
        <f t="shared" si="42"/>
        <v>5710</v>
      </c>
      <c r="H67" s="10">
        <f t="shared" si="42"/>
        <v>2150</v>
      </c>
      <c r="I67" s="10">
        <f t="shared" si="42"/>
        <v>1696.6780000000003</v>
      </c>
      <c r="J67" s="10">
        <f t="shared" si="42"/>
        <v>1765.9472680000003</v>
      </c>
      <c r="W67" s="10">
        <f>W65-W66</f>
        <v>0</v>
      </c>
      <c r="X67" s="10">
        <f>X65-X66</f>
        <v>0</v>
      </c>
      <c r="Y67" s="10">
        <f>Y65-Y66</f>
        <v>0</v>
      </c>
      <c r="Z67" s="10">
        <f>Z65-Z66</f>
        <v>4884</v>
      </c>
      <c r="AA67" s="10">
        <f t="shared" ref="AA67:AB67" si="43">AA65-AA66</f>
        <v>5350</v>
      </c>
      <c r="AB67" s="10">
        <f t="shared" si="43"/>
        <v>6418</v>
      </c>
      <c r="AC67" s="10">
        <f t="shared" ref="AC67" si="44">AC65-AC66</f>
        <v>7179.458741126482</v>
      </c>
      <c r="AD67" s="10">
        <f t="shared" ref="AD67" si="45">AD65-AD66</f>
        <v>7683.8612598515992</v>
      </c>
      <c r="AE67" s="10">
        <f t="shared" ref="AE67" si="46">AE65-AE66</f>
        <v>8204.9901522731743</v>
      </c>
      <c r="AF67" s="10">
        <f t="shared" ref="AF67" si="47">AF65-AF66</f>
        <v>9189.9278656357274</v>
      </c>
      <c r="AG67" s="10">
        <f t="shared" ref="AG67:AI67" si="48">AG65-AG66</f>
        <v>10285.570443148074</v>
      </c>
      <c r="AH67" s="10">
        <f t="shared" si="48"/>
        <v>11504.282100781049</v>
      </c>
      <c r="AI67" s="10">
        <f t="shared" si="48"/>
        <v>10841.864267414794</v>
      </c>
      <c r="AJ67" s="50">
        <f>AL123/Model!AH53</f>
        <v>3.9751621551934497</v>
      </c>
    </row>
    <row r="68" spans="2:38" x14ac:dyDescent="0.2">
      <c r="B68" s="6" t="s">
        <v>1</v>
      </c>
      <c r="H68" s="4">
        <v>424.2</v>
      </c>
      <c r="I68" s="6">
        <f>H68*1</f>
        <v>424.2</v>
      </c>
      <c r="J68" s="6">
        <f>I68*1</f>
        <v>424.2</v>
      </c>
      <c r="K68" s="6"/>
      <c r="L68" s="6"/>
      <c r="M68" s="6"/>
      <c r="N68" s="6"/>
      <c r="O68" s="6"/>
      <c r="P68" s="6"/>
      <c r="Q68" s="6"/>
      <c r="R68" s="6"/>
      <c r="S68" s="6"/>
      <c r="T68" s="6"/>
      <c r="U68" s="6"/>
      <c r="V68" s="6"/>
      <c r="Z68" s="6">
        <v>471</v>
      </c>
      <c r="AA68" s="6">
        <v>459</v>
      </c>
      <c r="AB68" s="6">
        <v>450</v>
      </c>
      <c r="AC68" s="6">
        <v>411</v>
      </c>
      <c r="AD68" s="6">
        <f>AC68*0.93</f>
        <v>382.23</v>
      </c>
      <c r="AE68" s="6">
        <f>AD68*0.97</f>
        <v>370.76310000000001</v>
      </c>
      <c r="AF68" s="6">
        <f t="shared" ref="AF68:AH68" si="49">AE68*0.97</f>
        <v>359.64020699999998</v>
      </c>
      <c r="AG68" s="6">
        <f t="shared" si="49"/>
        <v>348.85100078999994</v>
      </c>
      <c r="AH68" s="6">
        <f t="shared" si="49"/>
        <v>338.38547076629993</v>
      </c>
    </row>
    <row r="69" spans="2:38" x14ac:dyDescent="0.2">
      <c r="B69" s="6" t="s">
        <v>23</v>
      </c>
      <c r="C69" s="9" t="e">
        <f t="shared" ref="C69:J69" si="50">C67/C68</f>
        <v>#DIV/0!</v>
      </c>
      <c r="D69" s="9" t="e">
        <f t="shared" si="50"/>
        <v>#DIV/0!</v>
      </c>
      <c r="E69" s="9" t="e">
        <f t="shared" si="50"/>
        <v>#DIV/0!</v>
      </c>
      <c r="F69" s="9" t="e">
        <f t="shared" si="50"/>
        <v>#DIV/0!</v>
      </c>
      <c r="G69" s="9" t="e">
        <f t="shared" si="50"/>
        <v>#DIV/0!</v>
      </c>
      <c r="H69" s="9">
        <f t="shared" si="50"/>
        <v>5.0683639792550688</v>
      </c>
      <c r="I69" s="9">
        <f t="shared" si="50"/>
        <v>3.9997123998114108</v>
      </c>
      <c r="J69" s="9">
        <f t="shared" si="50"/>
        <v>4.1630062894860922</v>
      </c>
      <c r="K69" s="9">
        <v>4.55</v>
      </c>
      <c r="L69" s="9"/>
      <c r="M69" s="9"/>
      <c r="N69" s="9"/>
      <c r="O69" s="9"/>
      <c r="P69" s="9"/>
      <c r="Q69" s="9"/>
      <c r="R69" s="9"/>
      <c r="S69" s="9"/>
      <c r="T69" s="9"/>
      <c r="U69" s="9"/>
      <c r="V69" s="9"/>
      <c r="W69" s="9" t="e">
        <f>W67/W68</f>
        <v>#DIV/0!</v>
      </c>
      <c r="X69" s="9" t="e">
        <f>X67/X68</f>
        <v>#DIV/0!</v>
      </c>
      <c r="Y69" s="9" t="e">
        <f>Y67/Y68</f>
        <v>#DIV/0!</v>
      </c>
      <c r="Z69" s="9">
        <f>Z67/Z68</f>
        <v>10.369426751592357</v>
      </c>
      <c r="AA69" s="9">
        <f t="shared" ref="AA69:AG69" si="51">AA67/AA68</f>
        <v>11.655773420479303</v>
      </c>
      <c r="AB69" s="9">
        <f t="shared" si="51"/>
        <v>14.262222222222222</v>
      </c>
      <c r="AC69" s="9">
        <f t="shared" si="51"/>
        <v>17.468269443130126</v>
      </c>
      <c r="AD69" s="9">
        <f t="shared" si="51"/>
        <v>20.102716322244717</v>
      </c>
      <c r="AE69" s="9">
        <f t="shared" si="51"/>
        <v>22.130007415174742</v>
      </c>
      <c r="AF69" s="9">
        <f t="shared" si="51"/>
        <v>25.553115827329417</v>
      </c>
      <c r="AG69" s="9">
        <f t="shared" si="51"/>
        <v>29.484136264065768</v>
      </c>
      <c r="AH69" s="9">
        <f t="shared" ref="AH69" si="52">AH67/AH68</f>
        <v>33.997565187207115</v>
      </c>
      <c r="AI69" s="9"/>
      <c r="AJ69" s="9"/>
      <c r="AK69" s="9"/>
      <c r="AL69" s="9"/>
    </row>
    <row r="70" spans="2:38" x14ac:dyDescent="0.2">
      <c r="B70" s="64" t="s">
        <v>296</v>
      </c>
      <c r="Y70" s="14"/>
      <c r="Z70" s="14"/>
      <c r="AA70" s="14"/>
      <c r="AB70" s="14"/>
      <c r="AC70" s="14"/>
      <c r="AD70" s="9">
        <v>23.42</v>
      </c>
      <c r="AE70" s="9">
        <v>26.35</v>
      </c>
      <c r="AF70" s="9">
        <v>29.1</v>
      </c>
      <c r="AG70" s="9"/>
      <c r="AH70" s="9"/>
      <c r="AI70" s="9"/>
    </row>
    <row r="71" spans="2:38" x14ac:dyDescent="0.2">
      <c r="Y71" s="14"/>
      <c r="Z71" s="14"/>
      <c r="AA71" s="14"/>
      <c r="AB71" s="14"/>
      <c r="AC71" s="14"/>
      <c r="AD71" s="9"/>
      <c r="AE71" s="9"/>
      <c r="AF71" s="9"/>
      <c r="AG71" s="9"/>
      <c r="AH71" s="9"/>
      <c r="AI71" s="9"/>
    </row>
    <row r="72" spans="2:38" s="10" customFormat="1" x14ac:dyDescent="0.2">
      <c r="B72" s="10" t="s">
        <v>33</v>
      </c>
      <c r="E72" s="12"/>
      <c r="F72" s="12"/>
      <c r="G72" s="12" t="e">
        <f>G53/C53-1</f>
        <v>#DIV/0!</v>
      </c>
      <c r="H72" s="12">
        <f>H53/D53-1</f>
        <v>0.10623469579958567</v>
      </c>
      <c r="I72" s="12" t="e">
        <f>I53/E53-1</f>
        <v>#DIV/0!</v>
      </c>
      <c r="J72" s="12" t="e">
        <f>J53/F53-1</f>
        <v>#DIV/0!</v>
      </c>
      <c r="K72" s="12"/>
      <c r="L72" s="12"/>
      <c r="M72" s="12"/>
      <c r="N72" s="12"/>
      <c r="O72" s="12"/>
      <c r="P72" s="12"/>
      <c r="Q72" s="12"/>
      <c r="R72" s="12"/>
      <c r="S72" s="12"/>
      <c r="T72" s="12"/>
      <c r="U72" s="12"/>
      <c r="V72" s="12"/>
      <c r="W72" s="12"/>
      <c r="X72" s="12">
        <f>X53/W53-1</f>
        <v>0.151911198639334</v>
      </c>
      <c r="Y72" s="12">
        <f>Y53/X53-1</f>
        <v>0.22668635374572577</v>
      </c>
      <c r="Z72" s="12">
        <f>Z53/Y53-1</f>
        <v>0.11536268609439349</v>
      </c>
      <c r="AA72" s="12">
        <f>AA53/Z53-1</f>
        <v>0.10240826990798602</v>
      </c>
      <c r="AB72" s="12">
        <f>AB53/AA53-1</f>
        <v>0.10799113813179462</v>
      </c>
      <c r="AC72" s="12">
        <f t="shared" ref="AC72:AH72" si="53">AC53/AB53-1</f>
        <v>9.7419204836084683E-2</v>
      </c>
      <c r="AD72" s="12">
        <f t="shared" si="53"/>
        <v>9.7266949152542415E-2</v>
      </c>
      <c r="AE72" s="12">
        <f t="shared" si="53"/>
        <v>4.4333947105587024E-2</v>
      </c>
      <c r="AF72" s="12">
        <f t="shared" si="53"/>
        <v>9.8982973849583322E-2</v>
      </c>
      <c r="AG72" s="12">
        <f t="shared" si="53"/>
        <v>0.10002186639336497</v>
      </c>
      <c r="AH72" s="12">
        <f t="shared" si="53"/>
        <v>0.10098506344915781</v>
      </c>
      <c r="AI72" s="50"/>
      <c r="AJ72" s="50"/>
      <c r="AK72" s="12"/>
      <c r="AL72" s="12"/>
    </row>
    <row r="73" spans="2:38" s="10" customFormat="1" x14ac:dyDescent="0.2">
      <c r="B73" s="16" t="s">
        <v>58</v>
      </c>
      <c r="C73" s="12"/>
      <c r="D73" s="12" t="e">
        <f t="shared" ref="D73:J73" si="54">D53/C53-1</f>
        <v>#DIV/0!</v>
      </c>
      <c r="E73" s="12">
        <f t="shared" si="54"/>
        <v>-1</v>
      </c>
      <c r="F73" s="12" t="e">
        <f t="shared" si="54"/>
        <v>#DIV/0!</v>
      </c>
      <c r="G73" s="12" t="e">
        <f t="shared" si="54"/>
        <v>#DIV/0!</v>
      </c>
      <c r="H73" s="12">
        <f t="shared" si="54"/>
        <v>2.8546409807355566E-2</v>
      </c>
      <c r="I73" s="12">
        <f t="shared" si="54"/>
        <v>4.5973097224587534E-3</v>
      </c>
      <c r="J73" s="12">
        <f t="shared" si="54"/>
        <v>2.0000000000000018E-2</v>
      </c>
      <c r="K73" s="12"/>
      <c r="L73" s="12"/>
      <c r="M73" s="12"/>
      <c r="N73" s="12"/>
      <c r="O73" s="12"/>
      <c r="P73" s="12"/>
      <c r="Q73" s="12"/>
      <c r="R73" s="12"/>
      <c r="S73" s="12"/>
      <c r="T73" s="12"/>
      <c r="U73" s="12"/>
      <c r="V73" s="12"/>
      <c r="AA73" s="12"/>
      <c r="AB73" s="12"/>
      <c r="AC73" s="12"/>
      <c r="AD73" s="12"/>
      <c r="AE73" s="12"/>
      <c r="AF73" s="12"/>
      <c r="AG73" s="12"/>
      <c r="AH73" s="12"/>
      <c r="AI73" s="12"/>
      <c r="AJ73" s="50"/>
      <c r="AK73" s="12"/>
      <c r="AL73" s="12"/>
    </row>
    <row r="74" spans="2:38" s="10" customFormat="1" x14ac:dyDescent="0.2">
      <c r="B74" s="6" t="s">
        <v>57</v>
      </c>
      <c r="X74" s="12" t="e">
        <f t="shared" ref="X74:AC74" si="55">SUM(X60:X61)/SUM(W60:W61)-1</f>
        <v>#DIV/0!</v>
      </c>
      <c r="Y74" s="12" t="e">
        <f t="shared" si="55"/>
        <v>#DIV/0!</v>
      </c>
      <c r="Z74" s="12" t="e">
        <f t="shared" si="55"/>
        <v>#DIV/0!</v>
      </c>
      <c r="AA74" s="12">
        <f t="shared" si="55"/>
        <v>9.326006141910459E-2</v>
      </c>
      <c r="AB74" s="12">
        <f t="shared" si="55"/>
        <v>7.820816085156701E-2</v>
      </c>
      <c r="AC74" s="12">
        <f t="shared" si="55"/>
        <v>8.0000000000000071E-2</v>
      </c>
      <c r="AD74" s="12"/>
      <c r="AE74" s="12"/>
      <c r="AF74" s="12"/>
      <c r="AG74" s="12"/>
      <c r="AH74" s="12"/>
      <c r="AI74" s="12"/>
      <c r="AJ74" s="12"/>
      <c r="AK74" s="12"/>
      <c r="AL74" s="12"/>
    </row>
    <row r="75" spans="2:38" x14ac:dyDescent="0.2">
      <c r="AD75" s="14"/>
      <c r="AE75" s="14"/>
      <c r="AF75" s="14"/>
      <c r="AG75" s="14"/>
      <c r="AH75" s="14"/>
      <c r="AI75" s="14"/>
    </row>
    <row r="76" spans="2:38" s="10" customFormat="1" x14ac:dyDescent="0.2">
      <c r="B76" s="10" t="s">
        <v>24</v>
      </c>
      <c r="C76" s="13" t="e">
        <f>C58/C53</f>
        <v>#DIV/0!</v>
      </c>
      <c r="D76" s="13">
        <f t="shared" ref="D76:H76" si="56">D58/D53</f>
        <v>0.88736108495008481</v>
      </c>
      <c r="E76" s="13" t="e">
        <f t="shared" si="56"/>
        <v>#DIV/0!</v>
      </c>
      <c r="F76" s="13" t="e">
        <f t="shared" si="56"/>
        <v>#DIV/0!</v>
      </c>
      <c r="G76" s="13">
        <f t="shared" si="56"/>
        <v>1</v>
      </c>
      <c r="H76" s="13">
        <f t="shared" si="56"/>
        <v>0.89136727396560533</v>
      </c>
      <c r="I76" s="13">
        <v>0.89</v>
      </c>
      <c r="J76" s="13">
        <v>0.89</v>
      </c>
      <c r="K76" s="13"/>
      <c r="L76" s="13"/>
      <c r="M76" s="13"/>
      <c r="N76" s="13"/>
      <c r="O76" s="13"/>
      <c r="P76" s="13"/>
      <c r="Q76" s="13"/>
      <c r="R76" s="13"/>
      <c r="S76" s="13"/>
      <c r="T76" s="13"/>
      <c r="U76" s="13"/>
      <c r="V76" s="13"/>
      <c r="Z76" s="13">
        <f>Z58/Z53</f>
        <v>0.87703055776439853</v>
      </c>
      <c r="AA76" s="13">
        <f>AA58/AA53</f>
        <v>0.87871605955999799</v>
      </c>
      <c r="AB76" s="13">
        <f>AB58/AB53</f>
        <v>0.89035108114392003</v>
      </c>
      <c r="AC76" s="13">
        <v>0.89</v>
      </c>
      <c r="AD76" s="13">
        <v>0.89</v>
      </c>
      <c r="AE76" s="13">
        <v>0.89</v>
      </c>
      <c r="AF76" s="13">
        <v>0.89</v>
      </c>
      <c r="AG76" s="13">
        <v>0.89</v>
      </c>
      <c r="AH76" s="13">
        <v>0.89</v>
      </c>
      <c r="AI76" s="13"/>
      <c r="AJ76" s="13"/>
      <c r="AK76" s="13"/>
      <c r="AL76" s="13"/>
    </row>
    <row r="77" spans="2:38" s="10" customFormat="1" x14ac:dyDescent="0.2">
      <c r="B77" s="6" t="s">
        <v>34</v>
      </c>
      <c r="C77" s="14" t="e">
        <f t="shared" ref="C77:J77" si="57">C63/C53</f>
        <v>#DIV/0!</v>
      </c>
      <c r="D77" s="14">
        <f t="shared" si="57"/>
        <v>0.36296854398191752</v>
      </c>
      <c r="E77" s="14" t="e">
        <f t="shared" si="57"/>
        <v>#DIV/0!</v>
      </c>
      <c r="F77" s="14" t="e">
        <f t="shared" si="57"/>
        <v>#DIV/0!</v>
      </c>
      <c r="G77" s="14">
        <f t="shared" si="57"/>
        <v>1</v>
      </c>
      <c r="H77" s="14">
        <f t="shared" si="57"/>
        <v>0.36608207049208241</v>
      </c>
      <c r="I77" s="14">
        <f t="shared" si="57"/>
        <v>0.36188983050847462</v>
      </c>
      <c r="J77" s="14">
        <f t="shared" si="57"/>
        <v>0.36706738118976412</v>
      </c>
      <c r="K77" s="14"/>
      <c r="L77" s="14"/>
      <c r="M77" s="14"/>
      <c r="N77" s="14"/>
      <c r="O77" s="14"/>
      <c r="P77" s="14"/>
      <c r="Q77" s="14"/>
      <c r="R77" s="14"/>
      <c r="S77" s="14"/>
      <c r="T77" s="14"/>
      <c r="U77" s="14"/>
      <c r="V77" s="14"/>
      <c r="Z77" s="14">
        <f t="shared" ref="Z77:AH77" si="58">Z63/Z53</f>
        <v>0.35595819606952173</v>
      </c>
      <c r="AA77" s="14">
        <f t="shared" si="58"/>
        <v>0.35128033386573237</v>
      </c>
      <c r="AB77" s="14">
        <f t="shared" si="58"/>
        <v>0.36782143687514529</v>
      </c>
      <c r="AC77" s="14">
        <f t="shared" si="58"/>
        <v>0.37285333288671529</v>
      </c>
      <c r="AD77" s="14">
        <f t="shared" si="58"/>
        <v>0.37380000000000002</v>
      </c>
      <c r="AE77" s="14">
        <f>AE63/AE53</f>
        <v>0.37380000000000002</v>
      </c>
      <c r="AF77" s="14">
        <f t="shared" si="58"/>
        <v>0.37380000000000008</v>
      </c>
      <c r="AG77" s="14">
        <f t="shared" si="58"/>
        <v>0.37380000000000008</v>
      </c>
      <c r="AH77" s="14">
        <f t="shared" si="58"/>
        <v>0.37380000000000008</v>
      </c>
      <c r="AI77" s="14"/>
      <c r="AJ77" s="14"/>
      <c r="AK77" s="14"/>
      <c r="AL77" s="14"/>
    </row>
    <row r="79" spans="2:38" x14ac:dyDescent="0.2">
      <c r="B79" s="31" t="s">
        <v>27</v>
      </c>
      <c r="C79" s="6">
        <f t="shared" ref="C79:H79" si="59">C80-C81</f>
        <v>0</v>
      </c>
      <c r="D79" s="6">
        <f t="shared" si="59"/>
        <v>0</v>
      </c>
      <c r="E79" s="6">
        <f t="shared" si="59"/>
        <v>0</v>
      </c>
      <c r="F79" s="6">
        <f t="shared" si="59"/>
        <v>0</v>
      </c>
      <c r="G79" s="6">
        <f t="shared" si="59"/>
        <v>-262</v>
      </c>
      <c r="H79" s="6">
        <f t="shared" si="59"/>
        <v>-1907</v>
      </c>
      <c r="I79" s="6">
        <f>H79+I67</f>
        <v>-210.32199999999966</v>
      </c>
      <c r="J79" s="6">
        <f>I79+J67</f>
        <v>1555.6252680000007</v>
      </c>
      <c r="K79" s="6"/>
      <c r="L79" s="6"/>
      <c r="M79" s="6"/>
      <c r="N79" s="6"/>
      <c r="O79" s="6"/>
      <c r="P79" s="6"/>
      <c r="Q79" s="6"/>
      <c r="R79" s="6"/>
      <c r="S79" s="6"/>
      <c r="T79" s="6"/>
      <c r="U79" s="6"/>
      <c r="V79" s="6"/>
      <c r="Y79" s="31"/>
      <c r="AA79" s="6">
        <f>AA80-SUM(AA91,AA95)</f>
        <v>2674</v>
      </c>
      <c r="AB79" s="6">
        <f>AB80-SUM(AB91,AB95)</f>
        <v>316</v>
      </c>
      <c r="AC79" s="6">
        <f>J79</f>
        <v>1555.6252680000007</v>
      </c>
      <c r="AD79" s="6">
        <f t="shared" ref="AD79:AH79" si="60">AC79+AD67</f>
        <v>9239.4865278516008</v>
      </c>
      <c r="AE79" s="6">
        <f t="shared" si="60"/>
        <v>17444.476680124775</v>
      </c>
      <c r="AF79" s="6">
        <f t="shared" si="60"/>
        <v>26634.404545760503</v>
      </c>
      <c r="AG79" s="6">
        <f t="shared" si="60"/>
        <v>36919.97498890858</v>
      </c>
      <c r="AH79" s="6">
        <f t="shared" si="60"/>
        <v>48424.257089689629</v>
      </c>
    </row>
    <row r="80" spans="2:38" x14ac:dyDescent="0.2">
      <c r="B80" s="31" t="s">
        <v>3</v>
      </c>
      <c r="G80" s="6">
        <f>6758+677</f>
        <v>7435</v>
      </c>
      <c r="H80" s="4">
        <f>4931+782</f>
        <v>5713</v>
      </c>
      <c r="Y80" s="31"/>
      <c r="AA80" s="6">
        <f>7141+701</f>
        <v>7842</v>
      </c>
      <c r="AB80" s="6">
        <v>7613</v>
      </c>
    </row>
    <row r="81" spans="2:34" x14ac:dyDescent="0.2">
      <c r="B81" s="31" t="s">
        <v>89</v>
      </c>
      <c r="G81" s="6">
        <f>6155+143+567+334+498</f>
        <v>7697</v>
      </c>
      <c r="H81" s="4">
        <f>6166+114+477+323+540</f>
        <v>7620</v>
      </c>
      <c r="Y81" s="31"/>
      <c r="AA81" s="6">
        <v>2224</v>
      </c>
      <c r="AB81" s="6">
        <v>2072</v>
      </c>
    </row>
    <row r="82" spans="2:34" x14ac:dyDescent="0.2">
      <c r="B82" s="31" t="s">
        <v>90</v>
      </c>
      <c r="Y82" s="31"/>
      <c r="AA82" s="6">
        <v>1018</v>
      </c>
      <c r="AB82" s="6">
        <v>1274</v>
      </c>
    </row>
    <row r="83" spans="2:34" x14ac:dyDescent="0.2">
      <c r="B83" s="31" t="s">
        <v>91</v>
      </c>
      <c r="Y83" s="31"/>
      <c r="AA83" s="6">
        <v>358</v>
      </c>
      <c r="AB83" s="6">
        <v>281</v>
      </c>
    </row>
    <row r="84" spans="2:34" x14ac:dyDescent="0.2">
      <c r="B84" s="31" t="s">
        <v>36</v>
      </c>
      <c r="Y84" s="31"/>
      <c r="AA84" s="6">
        <v>12805</v>
      </c>
      <c r="AB84" s="6">
        <v>12788</v>
      </c>
    </row>
    <row r="85" spans="2:34" x14ac:dyDescent="0.2">
      <c r="B85" s="31" t="s">
        <v>37</v>
      </c>
      <c r="Y85" s="31"/>
      <c r="AA85" s="6">
        <v>1088</v>
      </c>
      <c r="AB85" s="6">
        <v>782</v>
      </c>
    </row>
    <row r="86" spans="2:34" x14ac:dyDescent="0.2">
      <c r="B86" s="31" t="s">
        <v>87</v>
      </c>
      <c r="Y86" s="31"/>
      <c r="AA86" s="6">
        <v>1191</v>
      </c>
      <c r="AB86" s="6">
        <v>1657</v>
      </c>
    </row>
    <row r="87" spans="2:34" x14ac:dyDescent="0.2">
      <c r="B87" s="31" t="s">
        <v>35</v>
      </c>
      <c r="Y87" s="31"/>
      <c r="AA87" s="6">
        <v>2030</v>
      </c>
      <c r="AB87" s="6">
        <v>1936</v>
      </c>
    </row>
    <row r="88" spans="2:34" x14ac:dyDescent="0.2">
      <c r="B88" s="31" t="s">
        <v>92</v>
      </c>
      <c r="Y88" s="31"/>
      <c r="AA88" s="6">
        <v>1223</v>
      </c>
      <c r="AB88" s="6">
        <v>1554</v>
      </c>
    </row>
    <row r="89" spans="2:34" x14ac:dyDescent="0.2">
      <c r="B89" s="31" t="s">
        <v>38</v>
      </c>
      <c r="Y89" s="31"/>
      <c r="AA89" s="6">
        <f>SUM(AA80:AA88)</f>
        <v>29779</v>
      </c>
      <c r="AB89" s="6">
        <f>SUM(AB80:AB88)</f>
        <v>29957</v>
      </c>
    </row>
    <row r="90" spans="2:34" x14ac:dyDescent="0.2">
      <c r="AE90" s="14"/>
      <c r="AF90" s="14"/>
      <c r="AG90" s="14"/>
    </row>
    <row r="91" spans="2:34" x14ac:dyDescent="0.2">
      <c r="B91" s="31" t="s">
        <v>4</v>
      </c>
      <c r="AA91" s="6">
        <f>5083</f>
        <v>5083</v>
      </c>
      <c r="AB91" s="6">
        <f>5679+1499</f>
        <v>7178</v>
      </c>
    </row>
    <row r="92" spans="2:34" x14ac:dyDescent="0.2">
      <c r="B92" s="31" t="s">
        <v>53</v>
      </c>
      <c r="AA92" s="6">
        <v>314</v>
      </c>
      <c r="AB92" s="6">
        <v>361</v>
      </c>
      <c r="AC92" s="6">
        <f>(AC57/360)*56</f>
        <v>403.82222222222214</v>
      </c>
      <c r="AD92" s="6">
        <f t="shared" ref="AD92:AH92" si="61">(AD57/360)*56</f>
        <v>443.10077777777769</v>
      </c>
      <c r="AE92" s="6">
        <f t="shared" si="61"/>
        <v>462.74518422222224</v>
      </c>
      <c r="AF92" s="6">
        <f t="shared" si="61"/>
        <v>508.54907869111105</v>
      </c>
      <c r="AG92" s="6">
        <f t="shared" si="61"/>
        <v>559.41510669442221</v>
      </c>
      <c r="AH92" s="6">
        <f t="shared" si="61"/>
        <v>615.90767673837581</v>
      </c>
    </row>
    <row r="93" spans="2:34" x14ac:dyDescent="0.2">
      <c r="B93" s="31" t="s">
        <v>93</v>
      </c>
      <c r="AA93" s="6">
        <v>1942</v>
      </c>
      <c r="AB93" s="6">
        <v>2336</v>
      </c>
      <c r="AC93" s="6">
        <f t="shared" ref="AC93:AH93" si="62">0.3*SUM(AC60:AC61)</f>
        <v>2362.9320000000002</v>
      </c>
      <c r="AD93" s="6">
        <f>0.3*SUM(AD60:AD61)</f>
        <v>2551.9665600000003</v>
      </c>
      <c r="AE93" s="6">
        <f t="shared" si="62"/>
        <v>2756.1238848000007</v>
      </c>
      <c r="AF93" s="6">
        <f t="shared" si="62"/>
        <v>2976.6137955840004</v>
      </c>
      <c r="AG93" s="6">
        <f t="shared" si="62"/>
        <v>3214.7428992307205</v>
      </c>
      <c r="AH93" s="6">
        <f t="shared" si="62"/>
        <v>3471.922331169179</v>
      </c>
    </row>
    <row r="94" spans="2:34" x14ac:dyDescent="0.2">
      <c r="B94" s="31" t="s">
        <v>54</v>
      </c>
      <c r="AA94" s="6">
        <v>5837</v>
      </c>
      <c r="AB94" s="6">
        <v>6131</v>
      </c>
      <c r="AC94" s="6">
        <f>0.3*AC53</f>
        <v>7080</v>
      </c>
      <c r="AD94" s="6">
        <f t="shared" ref="AD94:AH94" si="63">0.3*AD53</f>
        <v>7768.65</v>
      </c>
      <c r="AE94" s="6">
        <f t="shared" si="63"/>
        <v>8113.0649181818189</v>
      </c>
      <c r="AF94" s="6">
        <f t="shared" si="63"/>
        <v>8916.1202108181806</v>
      </c>
      <c r="AG94" s="6">
        <f t="shared" si="63"/>
        <v>9807.9271952918189</v>
      </c>
      <c r="AH94" s="6">
        <f t="shared" si="63"/>
        <v>10798.381345413081</v>
      </c>
    </row>
    <row r="95" spans="2:34" x14ac:dyDescent="0.2">
      <c r="B95" s="31" t="s">
        <v>94</v>
      </c>
      <c r="AA95" s="6">
        <v>85</v>
      </c>
      <c r="AB95" s="6">
        <v>119</v>
      </c>
    </row>
    <row r="96" spans="2:34" x14ac:dyDescent="0.2">
      <c r="B96" s="31" t="s">
        <v>40</v>
      </c>
      <c r="AA96" s="6">
        <f>SUM(AA91:AA95)</f>
        <v>13261</v>
      </c>
      <c r="AB96" s="6">
        <f>SUM(AB91:AB95)</f>
        <v>16125</v>
      </c>
    </row>
    <row r="97" spans="2:40" x14ac:dyDescent="0.2">
      <c r="B97" s="31" t="s">
        <v>39</v>
      </c>
      <c r="AA97" s="6">
        <f>AA89-AA96</f>
        <v>16518</v>
      </c>
      <c r="AB97" s="6">
        <f>AB89-AB96</f>
        <v>13832</v>
      </c>
    </row>
    <row r="98" spans="2:40" x14ac:dyDescent="0.2">
      <c r="B98" s="31" t="s">
        <v>41</v>
      </c>
      <c r="AA98" s="6">
        <f>AA96+AA97</f>
        <v>29779</v>
      </c>
      <c r="AB98" s="6">
        <f>AB96+AB97</f>
        <v>29957</v>
      </c>
    </row>
    <row r="99" spans="2:40" x14ac:dyDescent="0.2">
      <c r="AA99" s="14"/>
      <c r="AB99" s="14"/>
    </row>
    <row r="100" spans="2:40" x14ac:dyDescent="0.2">
      <c r="B100" s="6" t="s">
        <v>49</v>
      </c>
      <c r="AA100" s="6">
        <f>AA81/AA53*360</f>
        <v>41.250966046679373</v>
      </c>
      <c r="AB100" s="6">
        <f>AB81/AB53*360</f>
        <v>34.68588700302255</v>
      </c>
    </row>
    <row r="101" spans="2:40" x14ac:dyDescent="0.2">
      <c r="B101" s="27" t="s">
        <v>103</v>
      </c>
      <c r="AA101" s="6">
        <f>(AA92/Z57)*360</f>
        <v>52.212471131639724</v>
      </c>
      <c r="AB101" s="6">
        <f>(AB92/AA57)*360</f>
        <v>55.208156329651651</v>
      </c>
      <c r="AC101" s="6">
        <f t="shared" ref="AC101:AH101" si="64">(AC92/AB57)*360</f>
        <v>61.652247667514835</v>
      </c>
      <c r="AD101" s="6">
        <f t="shared" si="64"/>
        <v>61.446949152542366</v>
      </c>
      <c r="AE101" s="6">
        <f t="shared" si="64"/>
        <v>58.482701037912875</v>
      </c>
      <c r="AF101" s="6">
        <f t="shared" si="64"/>
        <v>61.543046535576664</v>
      </c>
      <c r="AG101" s="6">
        <f t="shared" si="64"/>
        <v>61.601224518028445</v>
      </c>
      <c r="AH101" s="6">
        <f t="shared" si="64"/>
        <v>61.655163553152846</v>
      </c>
    </row>
    <row r="102" spans="2:40" x14ac:dyDescent="0.2">
      <c r="Z102" s="14"/>
      <c r="AA102" s="14"/>
      <c r="AB102" s="14"/>
      <c r="AC102" s="14"/>
      <c r="AD102" s="14"/>
      <c r="AE102" s="14"/>
      <c r="AF102" s="14"/>
      <c r="AG102" s="14"/>
    </row>
    <row r="103" spans="2:40" s="10" customFormat="1" x14ac:dyDescent="0.2">
      <c r="B103" s="6" t="s">
        <v>50</v>
      </c>
      <c r="Z103" s="27">
        <f t="shared" ref="Z103:AI103" si="65">Z67</f>
        <v>4884</v>
      </c>
      <c r="AA103" s="27">
        <f t="shared" si="65"/>
        <v>5350</v>
      </c>
      <c r="AB103" s="27">
        <f t="shared" si="65"/>
        <v>6418</v>
      </c>
      <c r="AC103" s="27">
        <f t="shared" si="65"/>
        <v>7179.458741126482</v>
      </c>
      <c r="AD103" s="27">
        <f t="shared" si="65"/>
        <v>7683.8612598515992</v>
      </c>
      <c r="AE103" s="27">
        <f t="shared" si="65"/>
        <v>8204.9901522731743</v>
      </c>
      <c r="AF103" s="27">
        <f t="shared" si="65"/>
        <v>9189.9278656357274</v>
      </c>
      <c r="AG103" s="27">
        <f t="shared" si="65"/>
        <v>10285.570443148074</v>
      </c>
      <c r="AH103" s="27">
        <f t="shared" si="65"/>
        <v>11504.282100781049</v>
      </c>
      <c r="AI103" s="27">
        <f t="shared" si="65"/>
        <v>10841.864267414794</v>
      </c>
      <c r="AM103" s="31"/>
    </row>
    <row r="104" spans="2:40" x14ac:dyDescent="0.2">
      <c r="B104" s="6" t="s">
        <v>51</v>
      </c>
      <c r="Z104" s="6">
        <v>4756</v>
      </c>
      <c r="AA104" s="6">
        <v>5428</v>
      </c>
      <c r="AB104" s="6">
        <v>5560</v>
      </c>
      <c r="AC104" s="14"/>
      <c r="AM104" s="31"/>
    </row>
    <row r="105" spans="2:40" x14ac:dyDescent="0.2">
      <c r="B105" s="6" t="s">
        <v>52</v>
      </c>
      <c r="Z105" s="6">
        <v>856</v>
      </c>
      <c r="AA105" s="6">
        <v>872</v>
      </c>
      <c r="AB105" s="6">
        <v>857</v>
      </c>
      <c r="AC105" s="6">
        <f>AB105*(1+AC72)</f>
        <v>940.48825854452457</v>
      </c>
      <c r="AD105" s="6">
        <f>0.04*AD53</f>
        <v>1035.82</v>
      </c>
      <c r="AE105" s="6">
        <f t="shared" ref="AE105:AI105" si="66">0.04*AE53</f>
        <v>1081.7419890909091</v>
      </c>
      <c r="AF105" s="6">
        <f t="shared" si="66"/>
        <v>1188.8160281090909</v>
      </c>
      <c r="AG105" s="6">
        <f t="shared" si="66"/>
        <v>1307.7236260389091</v>
      </c>
      <c r="AH105" s="6">
        <f t="shared" si="66"/>
        <v>1439.7841793884111</v>
      </c>
      <c r="AI105" s="6">
        <f t="shared" si="66"/>
        <v>1468.5798629761794</v>
      </c>
      <c r="AM105" s="31"/>
    </row>
    <row r="106" spans="2:40" x14ac:dyDescent="0.2">
      <c r="B106" s="27" t="s">
        <v>88</v>
      </c>
      <c r="Z106" s="6">
        <v>1440</v>
      </c>
      <c r="AA106" s="6">
        <v>1718</v>
      </c>
      <c r="AB106" s="6">
        <v>1833</v>
      </c>
      <c r="AC106" s="6">
        <f>AC53*0.08</f>
        <v>1888</v>
      </c>
      <c r="AM106" s="31"/>
    </row>
    <row r="107" spans="2:40" x14ac:dyDescent="0.2">
      <c r="B107" s="27" t="s">
        <v>87</v>
      </c>
      <c r="Z107" s="6">
        <v>328</v>
      </c>
      <c r="AA107" s="6">
        <v>-426</v>
      </c>
      <c r="AB107" s="6">
        <v>-468</v>
      </c>
      <c r="AC107" s="6">
        <f>AB107*(1+AC72)</f>
        <v>-513.59218786328768</v>
      </c>
      <c r="AM107" s="31"/>
    </row>
    <row r="108" spans="2:40" x14ac:dyDescent="0.2">
      <c r="B108" s="27" t="s">
        <v>77</v>
      </c>
      <c r="Z108" s="6">
        <v>29</v>
      </c>
      <c r="AA108" s="6">
        <v>-10</v>
      </c>
      <c r="AB108" s="6">
        <v>-35</v>
      </c>
      <c r="AC108" s="6">
        <f>AB108*(1+AC72)</f>
        <v>-38.409672169262961</v>
      </c>
      <c r="AM108" s="31"/>
      <c r="AN108" s="17"/>
    </row>
    <row r="109" spans="2:40" x14ac:dyDescent="0.2">
      <c r="B109" s="27" t="s">
        <v>79</v>
      </c>
      <c r="Z109" s="6">
        <v>10</v>
      </c>
      <c r="AA109" s="6">
        <v>3</v>
      </c>
      <c r="AB109" s="6">
        <v>10</v>
      </c>
      <c r="AC109" s="6">
        <f>AB109*(1+AC72)</f>
        <v>10.974192048360846</v>
      </c>
      <c r="AM109" s="31"/>
      <c r="AN109" s="17"/>
    </row>
    <row r="110" spans="2:40" x14ac:dyDescent="0.2">
      <c r="B110" s="27" t="s">
        <v>75</v>
      </c>
      <c r="Z110" s="6">
        <f>SUM(Z92:Z94)</f>
        <v>0</v>
      </c>
      <c r="AA110" s="6">
        <f t="shared" ref="AA110:AI110" si="67">SUM(AA92:AA94)</f>
        <v>8093</v>
      </c>
      <c r="AB110" s="6">
        <f t="shared" si="67"/>
        <v>8828</v>
      </c>
      <c r="AC110" s="6">
        <f t="shared" si="67"/>
        <v>9846.7542222222219</v>
      </c>
      <c r="AD110" s="6">
        <f t="shared" si="67"/>
        <v>10763.717337777778</v>
      </c>
      <c r="AE110" s="6">
        <f t="shared" si="67"/>
        <v>11331.933987204042</v>
      </c>
      <c r="AF110" s="6">
        <f t="shared" si="67"/>
        <v>12401.283085093291</v>
      </c>
      <c r="AG110" s="6">
        <f t="shared" si="67"/>
        <v>13582.085201216962</v>
      </c>
      <c r="AH110" s="6">
        <f t="shared" si="67"/>
        <v>14886.211353320636</v>
      </c>
      <c r="AI110" s="6">
        <f t="shared" si="67"/>
        <v>0</v>
      </c>
      <c r="AM110" s="31"/>
      <c r="AN110" s="17"/>
    </row>
    <row r="111" spans="2:40" x14ac:dyDescent="0.2">
      <c r="B111" s="27" t="s">
        <v>25</v>
      </c>
      <c r="Z111" s="6">
        <f>SUM(Z104:Z109)</f>
        <v>7419</v>
      </c>
      <c r="AA111" s="6">
        <f t="shared" ref="AA111:AB111" si="68">SUM(AA104:AA109)</f>
        <v>7585</v>
      </c>
      <c r="AB111" s="6">
        <f t="shared" si="68"/>
        <v>7757</v>
      </c>
      <c r="AC111" s="6">
        <f>SUM(AC103:AC109)</f>
        <v>9466.9193316868186</v>
      </c>
      <c r="AD111" s="6">
        <f t="shared" ref="AD111:AI111" si="69">SUM(AD103:AD109)</f>
        <v>8719.681259851599</v>
      </c>
      <c r="AE111" s="6">
        <f t="shared" si="69"/>
        <v>9286.7321413640839</v>
      </c>
      <c r="AF111" s="6">
        <f t="shared" si="69"/>
        <v>10378.743893744819</v>
      </c>
      <c r="AG111" s="6">
        <f t="shared" si="69"/>
        <v>11593.294069186983</v>
      </c>
      <c r="AH111" s="6">
        <f t="shared" si="69"/>
        <v>12944.06628016946</v>
      </c>
      <c r="AI111" s="6">
        <f t="shared" si="69"/>
        <v>12310.444130390973</v>
      </c>
      <c r="AN111" s="17"/>
    </row>
    <row r="112" spans="2:40" x14ac:dyDescent="0.2">
      <c r="B112" s="27" t="s">
        <v>104</v>
      </c>
      <c r="AB112" s="6">
        <f>AB110-AA110</f>
        <v>735</v>
      </c>
      <c r="AC112" s="6">
        <f>AC110-AB110</f>
        <v>1018.7542222222219</v>
      </c>
      <c r="AD112" s="6">
        <f t="shared" ref="AD112:AH112" si="70">AD110-AC110</f>
        <v>916.96311555555621</v>
      </c>
      <c r="AE112" s="6">
        <f t="shared" si="70"/>
        <v>568.21664942626376</v>
      </c>
      <c r="AF112" s="6">
        <f t="shared" si="70"/>
        <v>1069.3490978892496</v>
      </c>
      <c r="AG112" s="6">
        <f t="shared" si="70"/>
        <v>1180.8021161236702</v>
      </c>
      <c r="AH112" s="6">
        <f t="shared" si="70"/>
        <v>1304.126152103674</v>
      </c>
      <c r="AI112" s="6">
        <v>0</v>
      </c>
      <c r="AN112" s="17"/>
    </row>
    <row r="113" spans="2:135" x14ac:dyDescent="0.2">
      <c r="Z113" s="14"/>
      <c r="AA113" s="14"/>
      <c r="AB113" s="14"/>
      <c r="AC113" s="14"/>
      <c r="AD113" s="14"/>
      <c r="AN113" s="17"/>
    </row>
    <row r="114" spans="2:135" x14ac:dyDescent="0.2">
      <c r="B114" s="31" t="s">
        <v>76</v>
      </c>
      <c r="Z114" s="6">
        <v>-568</v>
      </c>
      <c r="AA114" s="6">
        <v>-360</v>
      </c>
      <c r="AB114" s="6">
        <v>-183</v>
      </c>
      <c r="AC114" s="6">
        <v>-300</v>
      </c>
      <c r="AD114" s="27">
        <f>-0.02*AD53</f>
        <v>-517.91</v>
      </c>
      <c r="AE114" s="27">
        <f>-0.02*AE53</f>
        <v>-540.87099454545455</v>
      </c>
      <c r="AF114" s="27">
        <f>-0.02*AF53</f>
        <v>-594.40801405454545</v>
      </c>
      <c r="AG114" s="27">
        <f>-0.02*AG53</f>
        <v>-653.86181301945453</v>
      </c>
      <c r="AH114" s="27">
        <f>-0.02*AH53</f>
        <v>-719.89208969420554</v>
      </c>
      <c r="AI114" s="27">
        <f>-AI105</f>
        <v>-1468.5798629761794</v>
      </c>
    </row>
    <row r="115" spans="2:135" x14ac:dyDescent="0.2">
      <c r="B115" s="31" t="s">
        <v>77</v>
      </c>
      <c r="Z115" s="6">
        <v>-2</v>
      </c>
      <c r="AA115" s="6">
        <v>1136</v>
      </c>
      <c r="AB115" s="6">
        <v>332</v>
      </c>
    </row>
    <row r="116" spans="2:135" x14ac:dyDescent="0.2">
      <c r="B116" s="31" t="s">
        <v>78</v>
      </c>
      <c r="BB116" s="6">
        <f t="shared" ref="BB116:BC116" si="71">BA116+1</f>
        <v>1</v>
      </c>
      <c r="BC116" s="6">
        <f t="shared" si="71"/>
        <v>2</v>
      </c>
    </row>
    <row r="117" spans="2:135" x14ac:dyDescent="0.2">
      <c r="B117" s="31" t="s">
        <v>79</v>
      </c>
      <c r="BB117" s="6">
        <v>100</v>
      </c>
      <c r="BC117" s="6">
        <v>100</v>
      </c>
    </row>
    <row r="118" spans="2:135" x14ac:dyDescent="0.2">
      <c r="B118" s="31" t="s">
        <v>80</v>
      </c>
      <c r="Z118" s="6">
        <f>SUM(Z114:Z117)</f>
        <v>-570</v>
      </c>
      <c r="AA118" s="6">
        <f t="shared" ref="AA118:AI118" si="72">SUM(AA114:AA117)</f>
        <v>776</v>
      </c>
      <c r="AB118" s="6">
        <f t="shared" si="72"/>
        <v>149</v>
      </c>
      <c r="AC118" s="6">
        <f t="shared" si="72"/>
        <v>-300</v>
      </c>
      <c r="AD118" s="6">
        <f t="shared" si="72"/>
        <v>-517.91</v>
      </c>
      <c r="AE118" s="6">
        <f t="shared" si="72"/>
        <v>-540.87099454545455</v>
      </c>
      <c r="AF118" s="6">
        <f t="shared" si="72"/>
        <v>-594.40801405454545</v>
      </c>
      <c r="AG118" s="6">
        <f t="shared" si="72"/>
        <v>-653.86181301945453</v>
      </c>
      <c r="AH118" s="6">
        <f t="shared" si="72"/>
        <v>-719.89208969420554</v>
      </c>
      <c r="AI118" s="6">
        <f t="shared" si="72"/>
        <v>-1468.5798629761794</v>
      </c>
      <c r="AK118" s="65"/>
      <c r="AL118" s="15"/>
    </row>
    <row r="119" spans="2:135" x14ac:dyDescent="0.2">
      <c r="Z119" s="14"/>
      <c r="AA119" s="14"/>
      <c r="AB119" s="14"/>
      <c r="AC119" s="14"/>
      <c r="AD119" s="14"/>
      <c r="AE119" s="14"/>
      <c r="AF119" s="14"/>
      <c r="AG119" s="14"/>
      <c r="AH119" s="14"/>
      <c r="AI119" s="14"/>
      <c r="AK119" s="64" t="s">
        <v>289</v>
      </c>
      <c r="AL119" s="15">
        <f>IRR((AL140,AD128:DM128))</f>
        <v>0.11323785825708699</v>
      </c>
      <c r="AM119" s="11"/>
      <c r="AN119" s="11"/>
      <c r="AO119" s="11"/>
      <c r="AP119" s="11"/>
      <c r="AQ119" s="11"/>
      <c r="AR119" s="11"/>
      <c r="AS119" s="11"/>
      <c r="AT119" s="11"/>
      <c r="AU119" s="11"/>
      <c r="AV119" s="11"/>
      <c r="AW119" s="11"/>
      <c r="AX119" s="11"/>
      <c r="AY119" s="11"/>
      <c r="AZ119" s="11"/>
      <c r="BA119" s="11"/>
    </row>
    <row r="120" spans="2:135" x14ac:dyDescent="0.2">
      <c r="B120" s="31" t="s">
        <v>81</v>
      </c>
      <c r="Z120" s="14"/>
      <c r="AA120" s="14"/>
      <c r="AB120" s="14"/>
      <c r="AD120" s="9"/>
      <c r="AE120" s="9"/>
      <c r="AF120" s="9"/>
      <c r="AG120" s="9"/>
      <c r="AH120" s="9"/>
      <c r="AI120" s="9"/>
      <c r="AK120" s="6" t="s">
        <v>29</v>
      </c>
      <c r="AL120" s="14">
        <v>0.03</v>
      </c>
      <c r="AM120" s="21"/>
      <c r="AN120" s="21"/>
      <c r="AO120" s="21"/>
      <c r="AP120" s="21"/>
      <c r="AQ120" s="21"/>
      <c r="AR120" s="21"/>
      <c r="AS120" s="21"/>
      <c r="AT120" s="21"/>
      <c r="AU120" s="21"/>
      <c r="AV120" s="21"/>
      <c r="AW120" s="21"/>
      <c r="AX120" s="21"/>
      <c r="AY120" s="21"/>
      <c r="AZ120" s="21"/>
      <c r="BA120" s="21"/>
      <c r="BB120" s="21"/>
      <c r="BC120" s="21"/>
      <c r="BD120" s="21"/>
      <c r="BE120" s="21"/>
      <c r="BF120" s="21"/>
      <c r="BG120" s="21"/>
      <c r="BH120" s="21"/>
      <c r="BI120" s="21"/>
      <c r="BJ120" s="21"/>
      <c r="BK120" s="21"/>
      <c r="BL120" s="21"/>
      <c r="BM120" s="21"/>
      <c r="BN120" s="21"/>
      <c r="BO120" s="21"/>
      <c r="BP120" s="21"/>
      <c r="BQ120" s="21"/>
      <c r="BR120" s="21"/>
      <c r="BS120" s="21"/>
      <c r="BT120" s="21"/>
      <c r="BU120" s="21"/>
      <c r="BV120" s="21"/>
      <c r="BW120" s="21"/>
      <c r="BX120" s="21"/>
      <c r="BY120" s="21"/>
      <c r="BZ120" s="21"/>
      <c r="CA120" s="21"/>
      <c r="CB120" s="21"/>
      <c r="CC120" s="21"/>
      <c r="CD120" s="21"/>
      <c r="CE120" s="21"/>
      <c r="CF120" s="21"/>
      <c r="CG120" s="21"/>
      <c r="CH120" s="21"/>
      <c r="CI120" s="21"/>
      <c r="CJ120" s="21"/>
      <c r="CK120" s="21"/>
      <c r="CL120" s="21"/>
      <c r="CM120" s="21"/>
      <c r="CN120" s="21"/>
      <c r="CO120" s="21"/>
      <c r="CP120" s="21"/>
      <c r="CQ120" s="21"/>
      <c r="CR120" s="21"/>
      <c r="CS120" s="21"/>
      <c r="CT120" s="21"/>
      <c r="CU120" s="21"/>
      <c r="CV120" s="21"/>
      <c r="CW120" s="21"/>
      <c r="CX120" s="21"/>
      <c r="CY120" s="21"/>
      <c r="CZ120" s="21"/>
      <c r="DA120" s="21"/>
      <c r="DB120" s="21"/>
      <c r="DC120" s="21"/>
      <c r="DD120" s="21"/>
      <c r="DE120" s="21"/>
      <c r="DF120" s="21"/>
      <c r="DG120" s="21"/>
      <c r="DH120" s="21"/>
      <c r="DI120" s="21"/>
      <c r="DJ120" s="21"/>
      <c r="DK120" s="21"/>
      <c r="DL120" s="21"/>
      <c r="DM120" s="21"/>
      <c r="DN120" s="21"/>
      <c r="DO120" s="21"/>
      <c r="DP120" s="21"/>
      <c r="DQ120" s="21"/>
      <c r="DR120" s="21"/>
      <c r="DS120" s="21"/>
      <c r="DT120" s="21"/>
      <c r="DU120" s="21"/>
      <c r="DV120" s="21"/>
      <c r="DW120" s="21"/>
      <c r="DX120" s="21"/>
      <c r="DY120" s="21"/>
      <c r="DZ120" s="21"/>
      <c r="EA120" s="21"/>
      <c r="EB120" s="21"/>
      <c r="EC120" s="21"/>
      <c r="ED120" s="21"/>
      <c r="EE120" s="21"/>
    </row>
    <row r="121" spans="2:135" x14ac:dyDescent="0.2">
      <c r="B121" s="31" t="s">
        <v>82</v>
      </c>
      <c r="AK121" s="6" t="s">
        <v>30</v>
      </c>
      <c r="AL121" s="14">
        <v>0.02</v>
      </c>
    </row>
    <row r="122" spans="2:135" x14ac:dyDescent="0.2">
      <c r="B122" s="31" t="s">
        <v>83</v>
      </c>
      <c r="AK122" s="5" t="s">
        <v>31</v>
      </c>
      <c r="AL122" s="15">
        <f>Alpha!C2</f>
        <v>8.5400000000000004E-2</v>
      </c>
    </row>
    <row r="123" spans="2:135" x14ac:dyDescent="0.2">
      <c r="B123" s="31" t="s">
        <v>79</v>
      </c>
      <c r="AK123" s="6" t="s">
        <v>32</v>
      </c>
      <c r="AL123" s="19">
        <f>NPV(AL122,AD128:DM128)+Main!K5-Main!K6</f>
        <v>143084.38953877671</v>
      </c>
    </row>
    <row r="124" spans="2:135" x14ac:dyDescent="0.2">
      <c r="B124" s="31" t="s">
        <v>84</v>
      </c>
      <c r="Z124" s="6">
        <f>SUM(Z120:Z123)</f>
        <v>0</v>
      </c>
      <c r="AA124" s="6">
        <f t="shared" ref="AA124:AI124" si="73">SUM(AA120:AA123)</f>
        <v>0</v>
      </c>
      <c r="AB124" s="6">
        <f t="shared" si="73"/>
        <v>0</v>
      </c>
      <c r="AC124" s="6">
        <f t="shared" si="73"/>
        <v>0</v>
      </c>
      <c r="AD124" s="6">
        <f t="shared" si="73"/>
        <v>0</v>
      </c>
      <c r="AE124" s="6">
        <f t="shared" si="73"/>
        <v>0</v>
      </c>
      <c r="AF124" s="6">
        <f t="shared" si="73"/>
        <v>0</v>
      </c>
      <c r="AG124" s="6">
        <f t="shared" si="73"/>
        <v>0</v>
      </c>
      <c r="AH124" s="6">
        <f t="shared" si="73"/>
        <v>0</v>
      </c>
      <c r="AI124" s="6">
        <f t="shared" si="73"/>
        <v>0</v>
      </c>
      <c r="AK124" s="18" t="s">
        <v>60</v>
      </c>
      <c r="AL124" s="9">
        <f>AL123/Main!K3</f>
        <v>348.5612412637679</v>
      </c>
    </row>
    <row r="125" spans="2:135" x14ac:dyDescent="0.2">
      <c r="B125" s="31" t="s">
        <v>85</v>
      </c>
      <c r="AL125" s="14">
        <f>AL124/Main!K2-1</f>
        <v>0.42852967731052427</v>
      </c>
    </row>
    <row r="126" spans="2:135" x14ac:dyDescent="0.2">
      <c r="B126" s="31" t="s">
        <v>86</v>
      </c>
      <c r="Z126" s="6">
        <f t="shared" ref="Z126:AI126" si="74">Z111+Z118+Z124+Z125</f>
        <v>6849</v>
      </c>
      <c r="AA126" s="6">
        <f t="shared" si="74"/>
        <v>8361</v>
      </c>
      <c r="AB126" s="6">
        <f t="shared" si="74"/>
        <v>7906</v>
      </c>
      <c r="AC126" s="6">
        <f t="shared" si="74"/>
        <v>9166.9193316868186</v>
      </c>
      <c r="AD126" s="6">
        <f t="shared" si="74"/>
        <v>8201.7712598515991</v>
      </c>
      <c r="AE126" s="6">
        <f t="shared" si="74"/>
        <v>8745.86114681863</v>
      </c>
      <c r="AF126" s="6">
        <f t="shared" si="74"/>
        <v>9784.3358796902739</v>
      </c>
      <c r="AG126" s="6">
        <f t="shared" si="74"/>
        <v>10939.432256167529</v>
      </c>
      <c r="AH126" s="6">
        <f t="shared" si="74"/>
        <v>12224.174190475254</v>
      </c>
      <c r="AI126" s="6">
        <f t="shared" si="74"/>
        <v>10841.864267414794</v>
      </c>
      <c r="AK126" s="6">
        <f>NPV(AL122,AD128:AH128)+Main!K5-Main!K6</f>
        <v>33670.710152033833</v>
      </c>
      <c r="AL126" s="6">
        <f>13*AI128</f>
        <v>140944.23547639232</v>
      </c>
      <c r="AM126" s="6">
        <f>AL126+AK126</f>
        <v>174614.94562842615</v>
      </c>
    </row>
    <row r="128" spans="2:135" x14ac:dyDescent="0.2">
      <c r="B128" s="27" t="s">
        <v>26</v>
      </c>
      <c r="Z128" s="6">
        <f>Z111+Z114</f>
        <v>6851</v>
      </c>
      <c r="AA128" s="6">
        <f>AA111+AA114</f>
        <v>7225</v>
      </c>
      <c r="AB128" s="6">
        <f>AB111+AB114</f>
        <v>7574</v>
      </c>
      <c r="AC128" s="6">
        <f>AC111+AC114</f>
        <v>9166.9193316868186</v>
      </c>
      <c r="AD128" s="6">
        <f>AD111+AD114-AD112</f>
        <v>7284.8081442960429</v>
      </c>
      <c r="AE128" s="6">
        <f t="shared" ref="AE128:AI128" si="75">AE111+AE114-AE112</f>
        <v>8177.6444973923662</v>
      </c>
      <c r="AF128" s="6">
        <f t="shared" si="75"/>
        <v>8714.9867818010243</v>
      </c>
      <c r="AG128" s="6">
        <f t="shared" si="75"/>
        <v>9758.6301400438588</v>
      </c>
      <c r="AH128" s="6">
        <f t="shared" si="75"/>
        <v>10920.04803837158</v>
      </c>
      <c r="AI128" s="6">
        <f t="shared" si="75"/>
        <v>10841.864267414794</v>
      </c>
      <c r="AJ128" s="6">
        <f t="shared" ref="AJ128:BO128" si="76">AI128*(1+$AL$121)</f>
        <v>11058.70155276309</v>
      </c>
      <c r="AK128" s="6">
        <f t="shared" si="76"/>
        <v>11279.875583818352</v>
      </c>
      <c r="AL128" s="6">
        <f t="shared" si="76"/>
        <v>11505.473095494719</v>
      </c>
      <c r="AM128" s="6">
        <f t="shared" si="76"/>
        <v>11735.582557404614</v>
      </c>
      <c r="AN128" s="6">
        <f t="shared" si="76"/>
        <v>11970.294208552707</v>
      </c>
      <c r="AO128" s="6">
        <f t="shared" si="76"/>
        <v>12209.70009272376</v>
      </c>
      <c r="AP128" s="6">
        <f t="shared" si="76"/>
        <v>12453.894094578236</v>
      </c>
      <c r="AQ128" s="6">
        <f t="shared" si="76"/>
        <v>12702.9719764698</v>
      </c>
      <c r="AR128" s="6">
        <f t="shared" si="76"/>
        <v>12957.031415999196</v>
      </c>
      <c r="AS128" s="6">
        <f t="shared" si="76"/>
        <v>13216.172044319181</v>
      </c>
      <c r="AT128" s="6">
        <f t="shared" si="76"/>
        <v>13480.495485205565</v>
      </c>
      <c r="AU128" s="6">
        <f t="shared" si="76"/>
        <v>13750.105394909677</v>
      </c>
      <c r="AV128" s="6">
        <f t="shared" si="76"/>
        <v>14025.10750280787</v>
      </c>
      <c r="AW128" s="6">
        <f t="shared" si="76"/>
        <v>14305.609652864028</v>
      </c>
      <c r="AX128" s="6">
        <f t="shared" si="76"/>
        <v>14591.721845921309</v>
      </c>
      <c r="AY128" s="6">
        <f t="shared" si="76"/>
        <v>14883.556282839736</v>
      </c>
      <c r="AZ128" s="6">
        <f t="shared" si="76"/>
        <v>15181.22740849653</v>
      </c>
      <c r="BA128" s="6">
        <f t="shared" si="76"/>
        <v>15484.851956666462</v>
      </c>
      <c r="BB128" s="6">
        <f t="shared" si="76"/>
        <v>15794.548995799791</v>
      </c>
      <c r="BC128" s="6">
        <f t="shared" si="76"/>
        <v>16110.439975715786</v>
      </c>
      <c r="BD128" s="6">
        <f t="shared" si="76"/>
        <v>16432.648775230104</v>
      </c>
      <c r="BE128" s="6">
        <f t="shared" si="76"/>
        <v>16761.301750734707</v>
      </c>
      <c r="BF128" s="6">
        <f t="shared" si="76"/>
        <v>17096.5277857494</v>
      </c>
      <c r="BG128" s="6">
        <f t="shared" si="76"/>
        <v>17438.458341464389</v>
      </c>
      <c r="BH128" s="6">
        <f t="shared" si="76"/>
        <v>17787.227508293676</v>
      </c>
      <c r="BI128" s="6">
        <f t="shared" si="76"/>
        <v>18142.972058459549</v>
      </c>
      <c r="BJ128" s="6">
        <f t="shared" si="76"/>
        <v>18505.831499628741</v>
      </c>
      <c r="BK128" s="6">
        <f t="shared" si="76"/>
        <v>18875.948129621316</v>
      </c>
      <c r="BL128" s="6">
        <f t="shared" si="76"/>
        <v>19253.467092213741</v>
      </c>
      <c r="BM128" s="6">
        <f t="shared" si="76"/>
        <v>19638.536434058016</v>
      </c>
      <c r="BN128" s="6">
        <f t="shared" si="76"/>
        <v>20031.307162739176</v>
      </c>
      <c r="BO128" s="6">
        <f t="shared" si="76"/>
        <v>20431.93330599396</v>
      </c>
      <c r="BP128" s="6">
        <f t="shared" ref="BP128:CU128" si="77">BO128*(1+$AL$121)</f>
        <v>20840.571972113841</v>
      </c>
      <c r="BQ128" s="6">
        <f t="shared" si="77"/>
        <v>21257.383411556119</v>
      </c>
      <c r="BR128" s="6">
        <f t="shared" si="77"/>
        <v>21682.531079787241</v>
      </c>
      <c r="BS128" s="6">
        <f t="shared" si="77"/>
        <v>22116.181701382986</v>
      </c>
      <c r="BT128" s="6">
        <f t="shared" si="77"/>
        <v>22558.505335410646</v>
      </c>
      <c r="BU128" s="6">
        <f t="shared" si="77"/>
        <v>23009.67544211886</v>
      </c>
      <c r="BV128" s="6">
        <f t="shared" si="77"/>
        <v>23469.868950961238</v>
      </c>
      <c r="BW128" s="6">
        <f t="shared" si="77"/>
        <v>23939.266329980463</v>
      </c>
      <c r="BX128" s="6">
        <f t="shared" si="77"/>
        <v>24418.051656580072</v>
      </c>
      <c r="BY128" s="6">
        <f t="shared" si="77"/>
        <v>24906.412689711673</v>
      </c>
      <c r="BZ128" s="6">
        <f t="shared" si="77"/>
        <v>25404.540943505908</v>
      </c>
      <c r="CA128" s="6">
        <f t="shared" si="77"/>
        <v>25912.631762376026</v>
      </c>
      <c r="CB128" s="6">
        <f t="shared" si="77"/>
        <v>26430.884397623548</v>
      </c>
      <c r="CC128" s="6">
        <f t="shared" si="77"/>
        <v>26959.502085576019</v>
      </c>
      <c r="CD128" s="6">
        <f t="shared" si="77"/>
        <v>27498.692127287541</v>
      </c>
      <c r="CE128" s="6">
        <f t="shared" si="77"/>
        <v>28048.665969833291</v>
      </c>
      <c r="CF128" s="6">
        <f t="shared" si="77"/>
        <v>28609.639289229959</v>
      </c>
      <c r="CG128" s="6">
        <f t="shared" si="77"/>
        <v>29181.832075014558</v>
      </c>
      <c r="CH128" s="6">
        <f t="shared" si="77"/>
        <v>29765.46871651485</v>
      </c>
      <c r="CI128" s="6">
        <f t="shared" si="77"/>
        <v>30360.778090845146</v>
      </c>
      <c r="CJ128" s="6">
        <f t="shared" si="77"/>
        <v>30967.993652662048</v>
      </c>
      <c r="CK128" s="6">
        <f t="shared" si="77"/>
        <v>31587.353525715291</v>
      </c>
      <c r="CL128" s="6">
        <f t="shared" si="77"/>
        <v>32219.100596229597</v>
      </c>
      <c r="CM128" s="6">
        <f t="shared" si="77"/>
        <v>32863.482608154191</v>
      </c>
      <c r="CN128" s="6">
        <f t="shared" si="77"/>
        <v>33520.752260317277</v>
      </c>
      <c r="CO128" s="6">
        <f t="shared" si="77"/>
        <v>34191.167305523624</v>
      </c>
      <c r="CP128" s="6">
        <f t="shared" si="77"/>
        <v>34874.9906516341</v>
      </c>
      <c r="CQ128" s="6">
        <f t="shared" si="77"/>
        <v>35572.490464666786</v>
      </c>
      <c r="CR128" s="6">
        <f t="shared" si="77"/>
        <v>36283.940273960121</v>
      </c>
      <c r="CS128" s="6">
        <f t="shared" si="77"/>
        <v>37009.619079439326</v>
      </c>
      <c r="CT128" s="6">
        <f t="shared" si="77"/>
        <v>37749.811461028112</v>
      </c>
      <c r="CU128" s="6">
        <f t="shared" si="77"/>
        <v>38504.807690248672</v>
      </c>
      <c r="CV128" s="6">
        <f t="shared" ref="CV128:DM128" si="78">CU128*(1+$AL$121)</f>
        <v>39274.903844053646</v>
      </c>
      <c r="CW128" s="6">
        <f t="shared" si="78"/>
        <v>40060.401920934717</v>
      </c>
      <c r="CX128" s="6">
        <f t="shared" si="78"/>
        <v>40861.609959353409</v>
      </c>
      <c r="CY128" s="6">
        <f t="shared" si="78"/>
        <v>41678.842158540479</v>
      </c>
      <c r="CZ128" s="6">
        <f t="shared" si="78"/>
        <v>42512.419001711292</v>
      </c>
      <c r="DA128" s="6">
        <f t="shared" si="78"/>
        <v>43362.667381745516</v>
      </c>
      <c r="DB128" s="6">
        <f t="shared" si="78"/>
        <v>44229.920729380428</v>
      </c>
      <c r="DC128" s="6">
        <f t="shared" si="78"/>
        <v>45114.519143968035</v>
      </c>
      <c r="DD128" s="6">
        <f t="shared" si="78"/>
        <v>46016.809526847399</v>
      </c>
      <c r="DE128" s="6">
        <f t="shared" si="78"/>
        <v>46937.145717384345</v>
      </c>
      <c r="DF128" s="6">
        <f t="shared" si="78"/>
        <v>47875.888631732036</v>
      </c>
      <c r="DG128" s="6">
        <f t="shared" si="78"/>
        <v>48833.40640436668</v>
      </c>
      <c r="DH128" s="6">
        <f t="shared" si="78"/>
        <v>49810.074532454011</v>
      </c>
      <c r="DI128" s="6">
        <f t="shared" si="78"/>
        <v>50806.276023103092</v>
      </c>
      <c r="DJ128" s="6">
        <f t="shared" si="78"/>
        <v>51822.401543565153</v>
      </c>
      <c r="DK128" s="6">
        <f t="shared" si="78"/>
        <v>52858.849574436455</v>
      </c>
      <c r="DL128" s="6">
        <f t="shared" si="78"/>
        <v>53916.026565925189</v>
      </c>
      <c r="DM128" s="6">
        <f t="shared" si="78"/>
        <v>54994.347097243692</v>
      </c>
    </row>
    <row r="129" spans="2:45" x14ac:dyDescent="0.2">
      <c r="AE129" s="9"/>
      <c r="AF129" s="9"/>
      <c r="AG129" s="9"/>
      <c r="AH129" s="9"/>
      <c r="AI129" s="9"/>
      <c r="AJ129" s="9"/>
      <c r="AK129" s="9"/>
      <c r="AL129" s="9"/>
      <c r="AM129" s="9"/>
      <c r="AN129" s="9"/>
    </row>
    <row r="130" spans="2:45" x14ac:dyDescent="0.2">
      <c r="B130" s="5"/>
      <c r="AC130" s="9"/>
      <c r="AE130" s="9"/>
      <c r="AK130" s="14">
        <f>((NPV(AL122,AD128:DM128)+Main!K5-Main!K6)/Main!K3)/Main!K2-1</f>
        <v>0.42852967731052427</v>
      </c>
      <c r="AL130" s="14">
        <v>7.0000000000000007E-2</v>
      </c>
      <c r="AM130" s="14">
        <v>0.08</v>
      </c>
      <c r="AN130" s="15">
        <v>8.5000000000000006E-2</v>
      </c>
      <c r="AO130" s="14">
        <v>0.09</v>
      </c>
      <c r="AP130" s="14">
        <v>0.1</v>
      </c>
      <c r="AQ130" s="14">
        <v>0.11</v>
      </c>
      <c r="AR130" s="27" t="s">
        <v>31</v>
      </c>
    </row>
    <row r="131" spans="2:45" x14ac:dyDescent="0.2">
      <c r="B131" s="5"/>
      <c r="AJ131" s="54"/>
      <c r="AK131" s="6">
        <v>30</v>
      </c>
      <c r="AL131" s="14">
        <f t="dataTable" ref="AL131:AQ137" dt2D="1" dtr="1" r1="AL122" r2="AE32"/>
        <v>0.62577092415115398</v>
      </c>
      <c r="AM131" s="14">
        <v>0.36047538565774007</v>
      </c>
      <c r="AN131" s="14">
        <v>0.25594891657860397</v>
      </c>
      <c r="AO131" s="14">
        <v>0.16550234632466654</v>
      </c>
      <c r="AP131" s="14">
        <v>1.7248788477645549E-2</v>
      </c>
      <c r="AQ131" s="14">
        <v>-9.8795270912272692E-2</v>
      </c>
    </row>
    <row r="132" spans="2:45" x14ac:dyDescent="0.2">
      <c r="B132" s="45"/>
      <c r="AJ132" s="54"/>
      <c r="AK132" s="6">
        <v>40</v>
      </c>
      <c r="AL132" s="14">
        <v>0.65246901650689937</v>
      </c>
      <c r="AM132" s="14">
        <v>0.38248751272475889</v>
      </c>
      <c r="AN132" s="14">
        <v>0.27611788787927738</v>
      </c>
      <c r="AO132" s="14">
        <v>0.18407837568787699</v>
      </c>
      <c r="AP132" s="14">
        <v>3.3218860802048278E-2</v>
      </c>
      <c r="AQ132" s="14">
        <v>-8.4859034828731805E-2</v>
      </c>
    </row>
    <row r="133" spans="2:45" x14ac:dyDescent="0.2">
      <c r="AK133" s="6">
        <v>60</v>
      </c>
      <c r="AL133" s="14">
        <v>0.70586520121839502</v>
      </c>
      <c r="AM133" s="14">
        <v>0.42651176685879411</v>
      </c>
      <c r="AN133" s="30">
        <v>0.3164558304806242</v>
      </c>
      <c r="AO133" s="14">
        <v>0.22123043441429968</v>
      </c>
      <c r="AP133" s="14">
        <v>6.5159005450853513E-2</v>
      </c>
      <c r="AQ133" s="14">
        <v>-5.6986562661649698E-2</v>
      </c>
    </row>
    <row r="134" spans="2:45" x14ac:dyDescent="0.2">
      <c r="AK134" s="6">
        <v>80</v>
      </c>
      <c r="AL134" s="14">
        <v>0.75926138592988757</v>
      </c>
      <c r="AM134" s="14">
        <v>0.47053602099282776</v>
      </c>
      <c r="AN134" s="12">
        <v>0.35679377308197147</v>
      </c>
      <c r="AO134" s="14">
        <v>0.2583824931407217</v>
      </c>
      <c r="AP134" s="14">
        <v>9.7099150099658305E-2</v>
      </c>
      <c r="AQ134" s="14">
        <v>-2.9114090494568146E-2</v>
      </c>
    </row>
    <row r="135" spans="2:45" x14ac:dyDescent="0.2">
      <c r="AK135" s="6">
        <v>100</v>
      </c>
      <c r="AL135" s="14">
        <v>0.812657570641383</v>
      </c>
      <c r="AM135" s="14">
        <v>0.51456027512686386</v>
      </c>
      <c r="AN135" s="14">
        <v>0.39713171568331962</v>
      </c>
      <c r="AO135" s="14">
        <v>0.29553455186714528</v>
      </c>
      <c r="AP135" s="14">
        <v>0.12903929474846332</v>
      </c>
      <c r="AQ135" s="14">
        <v>-1.241618327485372E-3</v>
      </c>
    </row>
    <row r="136" spans="2:45" x14ac:dyDescent="0.2">
      <c r="AK136" s="6">
        <v>150</v>
      </c>
      <c r="AL136" s="14">
        <v>0.94614803242011791</v>
      </c>
      <c r="AM136" s="14">
        <v>0.62462091046195156</v>
      </c>
      <c r="AN136" s="14">
        <v>0.49797657218668845</v>
      </c>
      <c r="AO136" s="14">
        <v>0.38841469868320355</v>
      </c>
      <c r="AP136" s="14">
        <v>0.20888965637047674</v>
      </c>
      <c r="AQ136" s="14">
        <v>6.8439562090220507E-2</v>
      </c>
    </row>
    <row r="137" spans="2:45" x14ac:dyDescent="0.2">
      <c r="AK137" s="6">
        <v>200</v>
      </c>
      <c r="AL137" s="14">
        <v>1.0796384941988539</v>
      </c>
      <c r="AM137" s="14">
        <v>0.73468154579704015</v>
      </c>
      <c r="AN137" s="14">
        <v>0.5988214286900575</v>
      </c>
      <c r="AO137" s="14">
        <v>0.48129484549926094</v>
      </c>
      <c r="AP137" s="14">
        <v>0.28874001799248883</v>
      </c>
      <c r="AQ137" s="14">
        <v>0.13812074250792583</v>
      </c>
    </row>
    <row r="138" spans="2:45" x14ac:dyDescent="0.2">
      <c r="AK138" s="54" t="s">
        <v>282</v>
      </c>
    </row>
    <row r="139" spans="2:45" x14ac:dyDescent="0.2">
      <c r="AK139" s="27"/>
    </row>
    <row r="140" spans="2:45" x14ac:dyDescent="0.2">
      <c r="AK140" s="64" t="s">
        <v>2</v>
      </c>
      <c r="AL140" s="6">
        <f>-Main!K4</f>
        <v>-100162</v>
      </c>
      <c r="AO140" s="14"/>
    </row>
    <row r="141" spans="2:45" x14ac:dyDescent="0.2">
      <c r="AK141" s="14"/>
      <c r="AS141" s="37"/>
    </row>
    <row r="142" spans="2:45" x14ac:dyDescent="0.2">
      <c r="AL142" s="14"/>
      <c r="AM142" s="14"/>
      <c r="AN142" s="14"/>
      <c r="AO142" s="14"/>
      <c r="AP142" s="14"/>
      <c r="AQ142" s="14"/>
      <c r="AR142" s="14"/>
    </row>
    <row r="143" spans="2:45" x14ac:dyDescent="0.2">
      <c r="AL143" s="14"/>
      <c r="AM143" s="14"/>
      <c r="AN143" s="14"/>
      <c r="AO143" s="14"/>
      <c r="AP143" s="14"/>
      <c r="AQ143" s="14"/>
      <c r="AR143" s="14"/>
    </row>
    <row r="144" spans="2:45" x14ac:dyDescent="0.2">
      <c r="B144" s="31"/>
      <c r="AL144" s="14"/>
      <c r="AM144" s="14"/>
      <c r="AN144" s="14"/>
      <c r="AO144" s="14"/>
      <c r="AP144" s="14"/>
      <c r="AQ144" s="14"/>
      <c r="AR144" s="14"/>
    </row>
    <row r="145" spans="2:44" x14ac:dyDescent="0.2">
      <c r="B145" s="31"/>
      <c r="AL145" s="14"/>
      <c r="AM145" s="14"/>
      <c r="AN145" s="14"/>
      <c r="AO145" s="14"/>
      <c r="AP145" s="14"/>
      <c r="AQ145" s="14"/>
      <c r="AR145" s="14"/>
    </row>
    <row r="146" spans="2:44" x14ac:dyDescent="0.2">
      <c r="B146" s="31"/>
      <c r="AL146" s="14"/>
      <c r="AM146" s="14"/>
      <c r="AN146" s="14"/>
      <c r="AO146" s="14"/>
      <c r="AP146" s="14"/>
      <c r="AQ146" s="14"/>
      <c r="AR146" s="14"/>
    </row>
    <row r="147" spans="2:44" x14ac:dyDescent="0.2">
      <c r="B147" s="31"/>
      <c r="AL147" s="14"/>
      <c r="AM147" s="14"/>
      <c r="AN147" s="14"/>
      <c r="AO147" s="14"/>
      <c r="AP147" s="14"/>
      <c r="AQ147" s="14"/>
      <c r="AR147" s="14"/>
    </row>
    <row r="148" spans="2:44" x14ac:dyDescent="0.2">
      <c r="AL148" s="14"/>
      <c r="AM148" s="14"/>
      <c r="AN148" s="14"/>
      <c r="AO148" s="14"/>
      <c r="AP148" s="14"/>
      <c r="AQ148" s="14"/>
      <c r="AR148" s="14"/>
    </row>
    <row r="150" spans="2:44" x14ac:dyDescent="0.2">
      <c r="AO150" s="27"/>
    </row>
  </sheetData>
  <conditionalFormatting sqref="AL131:AQ137">
    <cfRule type="colorScale" priority="2">
      <colorScale>
        <cfvo type="min"/>
        <cfvo type="percentile" val="50"/>
        <cfvo type="max"/>
        <color rgb="FFF8696B"/>
        <color rgb="FFFFEB84"/>
        <color rgb="FF63BE7B"/>
      </colorScale>
    </cfRule>
  </conditionalFormatting>
  <conditionalFormatting sqref="AL142:AR148">
    <cfRule type="colorScale" priority="1">
      <colorScale>
        <cfvo type="min"/>
        <cfvo type="percentile" val="50"/>
        <cfvo type="max"/>
        <color rgb="FFF8696B"/>
        <color rgb="FFFFEB84"/>
        <color rgb="FF63BE7B"/>
      </colorScale>
    </cfRule>
  </conditionalFormatting>
  <hyperlinks>
    <hyperlink ref="A1" location="Sheet1!A1" display="Main" xr:uid="{23B09628-C10F-428D-B1F6-3DB7F50BA868}"/>
    <hyperlink ref="AK122" location="Alpha!A1" display="Discount" xr:uid="{1DC8281E-68B0-4FCE-AE69-17C4786B80F7}"/>
  </hyperlinks>
  <pageMargins left="0.7" right="0.7" top="0.75" bottom="0.75" header="0.3" footer="0.3"/>
  <pageSetup orientation="portrait" horizontalDpi="300" verticalDpi="300"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8D095-7D5A-46FA-9456-8F0AF593D12C}">
  <dimension ref="A1:J27"/>
  <sheetViews>
    <sheetView zoomScale="145" zoomScaleNormal="145" workbookViewId="0">
      <selection activeCell="E11" sqref="E11"/>
    </sheetView>
  </sheetViews>
  <sheetFormatPr defaultRowHeight="12.75" x14ac:dyDescent="0.2"/>
  <cols>
    <col min="1" max="1" width="5.42578125" style="53" bestFit="1" customWidth="1"/>
    <col min="2" max="2" width="11.28515625" style="53" customWidth="1"/>
    <col min="3" max="3" width="11.140625" style="53" bestFit="1" customWidth="1"/>
    <col min="4" max="16384" width="9.140625" style="53"/>
  </cols>
  <sheetData>
    <row r="1" spans="1:10" x14ac:dyDescent="0.2">
      <c r="A1" s="34" t="s">
        <v>42</v>
      </c>
    </row>
    <row r="2" spans="1:10" x14ac:dyDescent="0.2">
      <c r="B2" s="1" t="s">
        <v>31</v>
      </c>
      <c r="C2" s="58">
        <f>C3+C4</f>
        <v>8.5400000000000004E-2</v>
      </c>
      <c r="D2" s="63"/>
      <c r="H2" s="63" t="s">
        <v>292</v>
      </c>
      <c r="I2" s="63"/>
      <c r="J2" s="54"/>
    </row>
    <row r="3" spans="1:10" x14ac:dyDescent="0.2">
      <c r="B3" s="53" t="s">
        <v>246</v>
      </c>
      <c r="C3" s="58">
        <v>4.1599999999999998E-2</v>
      </c>
      <c r="D3" s="61">
        <v>46090</v>
      </c>
      <c r="E3" s="53" t="s">
        <v>264</v>
      </c>
      <c r="H3" s="63" t="s">
        <v>287</v>
      </c>
    </row>
    <row r="4" spans="1:10" x14ac:dyDescent="0.2">
      <c r="B4" s="53" t="s">
        <v>245</v>
      </c>
      <c r="C4" s="58">
        <v>4.3799999999999999E-2</v>
      </c>
      <c r="D4" s="61">
        <v>46082</v>
      </c>
      <c r="E4" s="53" t="s">
        <v>283</v>
      </c>
      <c r="H4" s="63" t="s">
        <v>286</v>
      </c>
    </row>
    <row r="5" spans="1:10" x14ac:dyDescent="0.2">
      <c r="B5" s="1" t="s">
        <v>288</v>
      </c>
      <c r="C5" s="66">
        <v>8.6499999999999994E-2</v>
      </c>
      <c r="D5" s="67">
        <v>46090</v>
      </c>
    </row>
    <row r="6" spans="1:10" x14ac:dyDescent="0.2">
      <c r="B6" s="63" t="s">
        <v>290</v>
      </c>
      <c r="C6" s="58">
        <v>8.5500000000000007E-2</v>
      </c>
      <c r="D6" s="61">
        <v>46076</v>
      </c>
      <c r="H6" s="63"/>
    </row>
    <row r="7" spans="1:10" x14ac:dyDescent="0.2">
      <c r="B7" s="1" t="s">
        <v>289</v>
      </c>
      <c r="C7" s="66">
        <f>Model!AL119</f>
        <v>0.11323785825708699</v>
      </c>
      <c r="D7" s="67">
        <v>46090</v>
      </c>
      <c r="E7" s="58"/>
      <c r="H7" s="63"/>
    </row>
    <row r="8" spans="1:10" x14ac:dyDescent="0.2">
      <c r="B8" s="63" t="s">
        <v>291</v>
      </c>
      <c r="C8" s="68">
        <v>0.11700000000000001</v>
      </c>
      <c r="D8" s="69">
        <v>46076</v>
      </c>
      <c r="E8" s="68"/>
      <c r="H8" s="63"/>
    </row>
    <row r="9" spans="1:10" x14ac:dyDescent="0.2">
      <c r="B9" s="63" t="s">
        <v>293</v>
      </c>
      <c r="C9" s="70">
        <f>Model!AL123/Model!AI128</f>
        <v>13.197397238113064</v>
      </c>
      <c r="D9" s="67"/>
      <c r="E9" s="63"/>
      <c r="H9" s="63"/>
    </row>
    <row r="10" spans="1:10" x14ac:dyDescent="0.2">
      <c r="B10" s="63" t="s">
        <v>294</v>
      </c>
      <c r="C10" s="70">
        <v>18</v>
      </c>
      <c r="D10" s="67"/>
      <c r="E10" s="63"/>
      <c r="H10" s="63"/>
    </row>
    <row r="11" spans="1:10" x14ac:dyDescent="0.2">
      <c r="B11" s="63" t="s">
        <v>295</v>
      </c>
      <c r="C11" s="71">
        <f>C2-(Model!AJ128/Model!AM126)</f>
        <v>2.2068069775106322E-2</v>
      </c>
      <c r="D11" s="67"/>
      <c r="E11" s="63"/>
      <c r="H11" s="63"/>
    </row>
    <row r="12" spans="1:10" x14ac:dyDescent="0.2">
      <c r="B12" s="63"/>
      <c r="H12" s="63"/>
    </row>
    <row r="13" spans="1:10" x14ac:dyDescent="0.2">
      <c r="B13" s="53" t="s">
        <v>247</v>
      </c>
      <c r="C13" s="56">
        <f>Model!AL124</f>
        <v>348.5612412637679</v>
      </c>
    </row>
    <row r="14" spans="1:10" x14ac:dyDescent="0.2">
      <c r="B14" s="53" t="s">
        <v>248</v>
      </c>
      <c r="C14" s="56">
        <f>Main!K2</f>
        <v>244</v>
      </c>
    </row>
    <row r="15" spans="1:10" x14ac:dyDescent="0.2">
      <c r="B15" s="53" t="s">
        <v>162</v>
      </c>
      <c r="C15" s="55">
        <f>C13/C14-1</f>
        <v>0.42852967731052427</v>
      </c>
    </row>
    <row r="17" spans="2:5" x14ac:dyDescent="0.2">
      <c r="B17" s="53" t="s">
        <v>249</v>
      </c>
    </row>
    <row r="18" spans="2:5" x14ac:dyDescent="0.2">
      <c r="B18" s="53" t="s">
        <v>253</v>
      </c>
      <c r="C18" s="54">
        <f>Model!AL123-Main!K4</f>
        <v>42922.389538776712</v>
      </c>
      <c r="D18" s="53" t="s">
        <v>259</v>
      </c>
    </row>
    <row r="19" spans="2:5" x14ac:dyDescent="0.2">
      <c r="B19" s="53" t="s">
        <v>250</v>
      </c>
      <c r="C19" s="59">
        <f>Model!AL123*0.2*0.5</f>
        <v>14308.438953877672</v>
      </c>
      <c r="D19" s="53" t="s">
        <v>258</v>
      </c>
    </row>
    <row r="20" spans="2:5" x14ac:dyDescent="0.2">
      <c r="B20" s="53" t="s">
        <v>251</v>
      </c>
      <c r="C20" s="54">
        <f>D20*Model!AL123</f>
        <v>21462.658430816507</v>
      </c>
      <c r="D20" s="55">
        <v>0.15</v>
      </c>
      <c r="E20" s="53" t="s">
        <v>261</v>
      </c>
    </row>
    <row r="21" spans="2:5" x14ac:dyDescent="0.2">
      <c r="B21" s="53" t="s">
        <v>252</v>
      </c>
      <c r="C21" s="54">
        <f>C18-C19-C20</f>
        <v>7151.29215408253</v>
      </c>
    </row>
    <row r="23" spans="2:5" x14ac:dyDescent="0.2">
      <c r="B23" s="53" t="s">
        <v>254</v>
      </c>
      <c r="C23" s="55">
        <f>(Main!K4+C21)/Main!K4-1</f>
        <v>7.1397257982892981E-2</v>
      </c>
    </row>
    <row r="24" spans="2:5" x14ac:dyDescent="0.2">
      <c r="B24" s="53" t="s">
        <v>255</v>
      </c>
      <c r="C24" s="54">
        <f>(C21+Main!K4+Main!K5-Main!K6)/Main!K3</f>
        <v>258.79486517437891</v>
      </c>
    </row>
    <row r="25" spans="2:5" x14ac:dyDescent="0.2">
      <c r="B25" s="53" t="s">
        <v>256</v>
      </c>
      <c r="C25" s="55">
        <f>Model!AL124/Alpha!C24-1</f>
        <v>0.34686304934567924</v>
      </c>
      <c r="D25" s="53" t="s">
        <v>257</v>
      </c>
    </row>
    <row r="26" spans="2:5" x14ac:dyDescent="0.2">
      <c r="D26" s="53" t="s">
        <v>260</v>
      </c>
    </row>
    <row r="27" spans="2:5" x14ac:dyDescent="0.2">
      <c r="D27" s="62" t="s">
        <v>240</v>
      </c>
    </row>
  </sheetData>
  <hyperlinks>
    <hyperlink ref="A1" location="Main!A1" display="Main" xr:uid="{A7387EC2-1D93-481E-9F66-B7A4A4E30504}"/>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14A74-0698-45CB-A077-8AF8B150DA3C}">
  <dimension ref="A1:I42"/>
  <sheetViews>
    <sheetView zoomScale="160" zoomScaleNormal="160" workbookViewId="0">
      <selection activeCell="D12" sqref="D12"/>
    </sheetView>
  </sheetViews>
  <sheetFormatPr defaultRowHeight="12.75" x14ac:dyDescent="0.2"/>
  <cols>
    <col min="1" max="1" width="5" style="28" bestFit="1" customWidth="1"/>
    <col min="2" max="2" width="22.5703125" style="28" bestFit="1" customWidth="1"/>
    <col min="3" max="16384" width="9.140625" style="28"/>
  </cols>
  <sheetData>
    <row r="1" spans="1:5" x14ac:dyDescent="0.2">
      <c r="A1" s="34" t="s">
        <v>42</v>
      </c>
      <c r="D1" s="1"/>
    </row>
    <row r="2" spans="1:5" x14ac:dyDescent="0.2">
      <c r="B2" s="29" t="s">
        <v>106</v>
      </c>
      <c r="C2" s="27">
        <f>Model!AC36</f>
        <v>13900</v>
      </c>
      <c r="E2" s="32" t="s">
        <v>113</v>
      </c>
    </row>
    <row r="3" spans="1:5" x14ac:dyDescent="0.2">
      <c r="B3" s="29" t="s">
        <v>107</v>
      </c>
      <c r="C3" s="28">
        <v>40</v>
      </c>
      <c r="E3" s="46" t="s">
        <v>226</v>
      </c>
    </row>
    <row r="4" spans="1:5" x14ac:dyDescent="0.2">
      <c r="A4" s="28" t="s">
        <v>112</v>
      </c>
      <c r="B4" s="29" t="s">
        <v>108</v>
      </c>
      <c r="C4" s="28">
        <v>20</v>
      </c>
      <c r="E4" s="27" t="s">
        <v>101</v>
      </c>
    </row>
    <row r="5" spans="1:5" x14ac:dyDescent="0.2">
      <c r="A5" s="28" t="s">
        <v>112</v>
      </c>
      <c r="B5" s="29" t="s">
        <v>109</v>
      </c>
      <c r="C5" s="28">
        <f>(100*0.75)</f>
        <v>75</v>
      </c>
      <c r="E5" s="29" t="s">
        <v>102</v>
      </c>
    </row>
    <row r="6" spans="1:5" x14ac:dyDescent="0.2">
      <c r="B6" s="29" t="s">
        <v>110</v>
      </c>
      <c r="C6" s="28">
        <f>(C2-(C4*12*C3))/((C5*12)-(C4*12))</f>
        <v>6.5151515151515156</v>
      </c>
      <c r="E6" s="45" t="s">
        <v>227</v>
      </c>
    </row>
    <row r="7" spans="1:5" x14ac:dyDescent="0.2">
      <c r="B7" s="29" t="s">
        <v>111</v>
      </c>
      <c r="C7" s="28">
        <f>C3-C6</f>
        <v>33.484848484848484</v>
      </c>
    </row>
    <row r="8" spans="1:5" x14ac:dyDescent="0.2">
      <c r="B8" s="8"/>
      <c r="E8" s="28" t="s">
        <v>115</v>
      </c>
    </row>
    <row r="9" spans="1:5" x14ac:dyDescent="0.2">
      <c r="B9" s="8"/>
      <c r="E9" s="28" t="s">
        <v>108</v>
      </c>
    </row>
    <row r="10" spans="1:5" x14ac:dyDescent="0.2">
      <c r="E10" s="28" t="s">
        <v>109</v>
      </c>
    </row>
    <row r="11" spans="1:5" x14ac:dyDescent="0.2">
      <c r="E11" s="33" t="s">
        <v>120</v>
      </c>
    </row>
    <row r="13" spans="1:5" x14ac:dyDescent="0.2">
      <c r="E13" s="28" t="s">
        <v>117</v>
      </c>
    </row>
    <row r="14" spans="1:5" x14ac:dyDescent="0.2">
      <c r="E14" s="28" t="s">
        <v>118</v>
      </c>
    </row>
    <row r="15" spans="1:5" x14ac:dyDescent="0.2">
      <c r="E15" s="28" t="s">
        <v>119</v>
      </c>
    </row>
    <row r="17" spans="2:9" x14ac:dyDescent="0.2">
      <c r="E17" s="28" t="s">
        <v>116</v>
      </c>
    </row>
    <row r="18" spans="2:9" x14ac:dyDescent="0.2">
      <c r="E18" s="28" t="s">
        <v>114</v>
      </c>
    </row>
    <row r="20" spans="2:9" x14ac:dyDescent="0.2">
      <c r="E20" s="32" t="s">
        <v>123</v>
      </c>
    </row>
    <row r="22" spans="2:9" x14ac:dyDescent="0.2">
      <c r="C22" s="28">
        <f>'CC Model'!C6*'CC Model'!C5*12</f>
        <v>5863.636363636364</v>
      </c>
      <c r="D22" s="28">
        <v>10</v>
      </c>
      <c r="E22" s="28">
        <v>12.5</v>
      </c>
      <c r="F22" s="28">
        <v>15</v>
      </c>
      <c r="G22" s="28">
        <v>20</v>
      </c>
      <c r="H22" s="28">
        <v>25</v>
      </c>
      <c r="I22" s="28" t="s">
        <v>122</v>
      </c>
    </row>
    <row r="23" spans="2:9" x14ac:dyDescent="0.2">
      <c r="C23" s="28">
        <v>40</v>
      </c>
      <c r="D23" s="28">
        <f t="dataTable" ref="D23:H31" dt2D="1" dtr="1" r1="C4" r2="C5"/>
        <v>12133.333333333332</v>
      </c>
      <c r="E23" s="28">
        <v>11490.90909090909</v>
      </c>
      <c r="F23" s="28">
        <v>10720</v>
      </c>
      <c r="G23" s="28">
        <v>8600</v>
      </c>
      <c r="H23" s="28">
        <v>5066.666666666667</v>
      </c>
    </row>
    <row r="24" spans="2:9" x14ac:dyDescent="0.2">
      <c r="C24" s="28">
        <v>50</v>
      </c>
      <c r="D24" s="28">
        <v>11375</v>
      </c>
      <c r="E24" s="28">
        <v>10533.333333333334</v>
      </c>
      <c r="F24" s="28">
        <v>9571.4285714285706</v>
      </c>
      <c r="G24" s="28">
        <v>7166.6666666666679</v>
      </c>
      <c r="H24" s="28">
        <v>3799.9999999999995</v>
      </c>
    </row>
    <row r="25" spans="2:9" x14ac:dyDescent="0.2">
      <c r="C25" s="28">
        <v>60</v>
      </c>
      <c r="D25" s="28">
        <v>10920</v>
      </c>
      <c r="E25" s="28">
        <v>9978.9473684210534</v>
      </c>
      <c r="F25" s="28">
        <v>8933.3333333333321</v>
      </c>
      <c r="G25" s="28">
        <v>6450</v>
      </c>
      <c r="H25" s="28">
        <v>3257.1428571428573</v>
      </c>
    </row>
    <row r="26" spans="2:9" x14ac:dyDescent="0.2">
      <c r="C26" s="28">
        <v>70</v>
      </c>
      <c r="D26" s="28">
        <v>10616.666666666668</v>
      </c>
      <c r="E26" s="28">
        <v>9617.3913043478242</v>
      </c>
      <c r="F26" s="28">
        <v>8527.2727272727279</v>
      </c>
      <c r="G26" s="28">
        <v>6020</v>
      </c>
      <c r="H26" s="28">
        <v>2955.5555555555557</v>
      </c>
    </row>
    <row r="27" spans="2:9" x14ac:dyDescent="0.2">
      <c r="C27" s="28">
        <v>80</v>
      </c>
      <c r="D27" s="28">
        <v>10400</v>
      </c>
      <c r="E27" s="28">
        <v>9362.9629629629635</v>
      </c>
      <c r="F27" s="1">
        <v>8246.1538461538457</v>
      </c>
      <c r="G27" s="44">
        <v>5733.333333333333</v>
      </c>
      <c r="H27" s="44">
        <v>2763.636363636364</v>
      </c>
    </row>
    <row r="28" spans="2:9" x14ac:dyDescent="0.2">
      <c r="C28" s="28">
        <v>90</v>
      </c>
      <c r="D28" s="28">
        <v>10237.5</v>
      </c>
      <c r="E28" s="28">
        <v>9174.1935483870966</v>
      </c>
      <c r="F28" s="28">
        <v>8040</v>
      </c>
      <c r="G28" s="28">
        <v>5528.5714285714275</v>
      </c>
      <c r="H28" s="28">
        <v>2630.7692307692305</v>
      </c>
    </row>
    <row r="29" spans="2:9" x14ac:dyDescent="0.2">
      <c r="B29" s="38"/>
      <c r="C29" s="28">
        <v>100</v>
      </c>
      <c r="D29" s="28">
        <v>10111.111111111111</v>
      </c>
      <c r="E29" s="28">
        <v>9028.5714285714294</v>
      </c>
      <c r="F29" s="1">
        <v>7882.3529411764703</v>
      </c>
      <c r="G29" s="28">
        <v>5375</v>
      </c>
      <c r="H29" s="28">
        <v>2533.3333333333335</v>
      </c>
    </row>
    <row r="30" spans="2:9" x14ac:dyDescent="0.2">
      <c r="C30" s="28">
        <v>110</v>
      </c>
      <c r="D30" s="28">
        <v>10010</v>
      </c>
      <c r="E30" s="28">
        <v>8912.8205128205118</v>
      </c>
      <c r="F30" s="28">
        <v>7757.894736842105</v>
      </c>
      <c r="G30" s="28">
        <v>5255.5555555555547</v>
      </c>
      <c r="H30" s="28">
        <v>2458.8235294117649</v>
      </c>
    </row>
    <row r="31" spans="2:9" x14ac:dyDescent="0.2">
      <c r="C31" s="28">
        <v>120</v>
      </c>
      <c r="D31" s="28">
        <v>9927.2727272727279</v>
      </c>
      <c r="E31" s="28">
        <v>8818.6046511627901</v>
      </c>
      <c r="F31" s="28">
        <v>7657.1428571428569</v>
      </c>
      <c r="G31" s="28">
        <v>5160</v>
      </c>
      <c r="H31" s="28">
        <v>2400</v>
      </c>
    </row>
    <row r="32" spans="2:9" x14ac:dyDescent="0.2">
      <c r="C32" s="28" t="s">
        <v>121</v>
      </c>
    </row>
    <row r="40" spans="5:5" x14ac:dyDescent="0.2">
      <c r="E40" s="38"/>
    </row>
    <row r="41" spans="5:5" x14ac:dyDescent="0.2">
      <c r="E41" s="38"/>
    </row>
    <row r="42" spans="5:5" x14ac:dyDescent="0.2">
      <c r="E42" s="38"/>
    </row>
  </sheetData>
  <conditionalFormatting sqref="D23:H31">
    <cfRule type="colorScale" priority="1">
      <colorScale>
        <cfvo type="min"/>
        <cfvo type="percentile" val="50"/>
        <cfvo type="max"/>
        <color rgb="FFF8696B"/>
        <color rgb="FFFFEB84"/>
        <color rgb="FF63BE7B"/>
      </colorScale>
    </cfRule>
  </conditionalFormatting>
  <hyperlinks>
    <hyperlink ref="A1" location="Main!A1" display="Main" xr:uid="{336E1778-9E7F-42E6-8B87-8FB2BCA5CE05}"/>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07B75-744E-4DFC-8BA9-D76EBC1DD8AE}">
  <dimension ref="A1:K17"/>
  <sheetViews>
    <sheetView zoomScale="145" zoomScaleNormal="145" workbookViewId="0">
      <selection activeCell="C17" sqref="C17"/>
    </sheetView>
  </sheetViews>
  <sheetFormatPr defaultRowHeight="12.75" x14ac:dyDescent="0.2"/>
  <cols>
    <col min="1" max="1" width="5" style="28" bestFit="1" customWidth="1"/>
    <col min="2" max="16384" width="9.140625" style="28"/>
  </cols>
  <sheetData>
    <row r="1" spans="1:11" x14ac:dyDescent="0.2">
      <c r="A1" s="34" t="s">
        <v>42</v>
      </c>
    </row>
    <row r="3" spans="1:11" x14ac:dyDescent="0.2">
      <c r="B3" s="28">
        <v>2007</v>
      </c>
      <c r="C3" s="28" t="s">
        <v>133</v>
      </c>
    </row>
    <row r="4" spans="1:11" x14ac:dyDescent="0.2">
      <c r="B4" s="28">
        <v>2012</v>
      </c>
      <c r="C4" s="28" t="s">
        <v>134</v>
      </c>
    </row>
    <row r="5" spans="1:11" x14ac:dyDescent="0.2">
      <c r="B5" s="28">
        <v>2014</v>
      </c>
      <c r="C5" s="28" t="s">
        <v>135</v>
      </c>
    </row>
    <row r="6" spans="1:11" x14ac:dyDescent="0.2">
      <c r="B6" s="28" t="s">
        <v>136</v>
      </c>
      <c r="C6" s="28" t="s">
        <v>137</v>
      </c>
    </row>
    <row r="9" spans="1:11" x14ac:dyDescent="0.2">
      <c r="B9" s="28">
        <v>2024</v>
      </c>
      <c r="C9" s="28" t="s">
        <v>142</v>
      </c>
    </row>
    <row r="10" spans="1:11" x14ac:dyDescent="0.2">
      <c r="B10" s="28">
        <v>2026</v>
      </c>
      <c r="C10" s="28" t="s">
        <v>143</v>
      </c>
    </row>
    <row r="14" spans="1:11" x14ac:dyDescent="0.2">
      <c r="B14" s="32" t="s">
        <v>285</v>
      </c>
    </row>
    <row r="16" spans="1:11" x14ac:dyDescent="0.2">
      <c r="C16" s="28">
        <v>2015</v>
      </c>
      <c r="D16" s="28">
        <f>C16+1</f>
        <v>2016</v>
      </c>
      <c r="E16" s="28">
        <f t="shared" ref="E16:K16" si="0">D16+1</f>
        <v>2017</v>
      </c>
      <c r="F16" s="28">
        <f t="shared" si="0"/>
        <v>2018</v>
      </c>
      <c r="G16" s="28">
        <f t="shared" si="0"/>
        <v>2019</v>
      </c>
      <c r="H16" s="28">
        <f t="shared" si="0"/>
        <v>2020</v>
      </c>
      <c r="I16" s="28">
        <f t="shared" si="0"/>
        <v>2021</v>
      </c>
      <c r="J16" s="28">
        <f t="shared" si="0"/>
        <v>2022</v>
      </c>
      <c r="K16" s="28">
        <f t="shared" si="0"/>
        <v>2023</v>
      </c>
    </row>
    <row r="17" spans="2:2" x14ac:dyDescent="0.2">
      <c r="B17" s="62" t="s">
        <v>29</v>
      </c>
    </row>
  </sheetData>
  <hyperlinks>
    <hyperlink ref="A1" location="Main!A1" display="Main" xr:uid="{76F3B995-E50F-4483-9AB5-8E1385A731CD}"/>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4DC0C-C050-4EDC-80A5-805F78D8E79B}">
  <dimension ref="A1:F8"/>
  <sheetViews>
    <sheetView zoomScale="115" zoomScaleNormal="115" workbookViewId="0">
      <pane xSplit="4" ySplit="2" topLeftCell="E3" activePane="bottomRight" state="frozen"/>
      <selection pane="topRight" activeCell="C1" sqref="C1"/>
      <selection pane="bottomLeft" activeCell="A3" sqref="A3"/>
      <selection pane="bottomRight" activeCell="F17" sqref="F17"/>
    </sheetView>
  </sheetViews>
  <sheetFormatPr defaultRowHeight="12.75" x14ac:dyDescent="0.2"/>
  <cols>
    <col min="1" max="1" width="5" style="38" bestFit="1" customWidth="1"/>
    <col min="2" max="2" width="10" style="38" bestFit="1" customWidth="1"/>
    <col min="3" max="3" width="4.85546875" style="38" bestFit="1" customWidth="1"/>
    <col min="4" max="4" width="28.140625" style="38" customWidth="1"/>
    <col min="5" max="16384" width="9.140625" style="38"/>
  </cols>
  <sheetData>
    <row r="1" spans="1:6" x14ac:dyDescent="0.2">
      <c r="A1" s="34" t="s">
        <v>42</v>
      </c>
      <c r="B1" s="34"/>
      <c r="C1" s="34"/>
    </row>
    <row r="2" spans="1:6" x14ac:dyDescent="0.2">
      <c r="B2" s="38" t="s">
        <v>179</v>
      </c>
      <c r="C2" s="38" t="s">
        <v>178</v>
      </c>
      <c r="D2" s="38" t="s">
        <v>176</v>
      </c>
      <c r="E2" s="38" t="s">
        <v>177</v>
      </c>
      <c r="F2" s="44" t="s">
        <v>231</v>
      </c>
    </row>
    <row r="3" spans="1:6" x14ac:dyDescent="0.2">
      <c r="C3" s="44"/>
      <c r="D3" s="44" t="s">
        <v>228</v>
      </c>
      <c r="E3" s="44" t="s">
        <v>229</v>
      </c>
    </row>
    <row r="4" spans="1:6" x14ac:dyDescent="0.2">
      <c r="E4" s="44" t="s">
        <v>230</v>
      </c>
      <c r="F4" s="44" t="s">
        <v>232</v>
      </c>
    </row>
    <row r="5" spans="1:6" x14ac:dyDescent="0.2">
      <c r="D5" s="44" t="s">
        <v>233</v>
      </c>
    </row>
    <row r="6" spans="1:6" x14ac:dyDescent="0.2">
      <c r="D6" s="44" t="s">
        <v>235</v>
      </c>
      <c r="E6" s="44" t="s">
        <v>236</v>
      </c>
    </row>
    <row r="7" spans="1:6" x14ac:dyDescent="0.2">
      <c r="C7" s="41"/>
      <c r="D7" s="44" t="s">
        <v>237</v>
      </c>
    </row>
    <row r="8" spans="1:6" x14ac:dyDescent="0.2">
      <c r="D8" s="44"/>
    </row>
  </sheetData>
  <hyperlinks>
    <hyperlink ref="A1" location="Main!A1" display="Main" xr:uid="{1EE68F7C-8B94-4243-8283-FB95EEE9A5F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9E34F-9CF5-4A56-83E9-C7934E3E1D46}">
  <dimension ref="A1:K1015"/>
  <sheetViews>
    <sheetView zoomScale="145" zoomScaleNormal="145" workbookViewId="0">
      <selection activeCell="G12" sqref="G12"/>
    </sheetView>
  </sheetViews>
  <sheetFormatPr defaultRowHeight="12.75" x14ac:dyDescent="0.2"/>
  <cols>
    <col min="1" max="1" width="5" style="38" bestFit="1" customWidth="1"/>
    <col min="2" max="2" width="15.28515625" style="38" bestFit="1" customWidth="1"/>
    <col min="3" max="16384" width="9.140625" style="38"/>
  </cols>
  <sheetData>
    <row r="1" spans="1:11" x14ac:dyDescent="0.2">
      <c r="A1" s="34" t="s">
        <v>42</v>
      </c>
    </row>
    <row r="2" spans="1:11" x14ac:dyDescent="0.2">
      <c r="B2" s="38" t="s">
        <v>149</v>
      </c>
      <c r="C2" s="43">
        <f>J15</f>
        <v>90</v>
      </c>
      <c r="E2" s="38">
        <f ca="1">_xlfn.NORM.INV(RAND(), C2,C3)</f>
        <v>110.30607817368636</v>
      </c>
      <c r="G2" s="38" t="s">
        <v>144</v>
      </c>
    </row>
    <row r="3" spans="1:11" x14ac:dyDescent="0.2">
      <c r="B3" s="38" t="s">
        <v>150</v>
      </c>
      <c r="C3" s="43">
        <f>J20</f>
        <v>22.73030282830976</v>
      </c>
      <c r="G3" s="38" t="s">
        <v>163</v>
      </c>
    </row>
    <row r="4" spans="1:11" x14ac:dyDescent="0.2">
      <c r="B4" s="38" t="s">
        <v>153</v>
      </c>
      <c r="C4" s="43">
        <f>J22</f>
        <v>6.9000000000000012</v>
      </c>
      <c r="E4" s="38">
        <f ca="1">_xlfn.NORM.INV(RAND(), C4,C5)</f>
        <v>10.409474369246585</v>
      </c>
      <c r="G4" s="38" t="s">
        <v>164</v>
      </c>
    </row>
    <row r="5" spans="1:11" x14ac:dyDescent="0.2">
      <c r="B5" s="38" t="s">
        <v>154</v>
      </c>
      <c r="C5" s="43">
        <f>J27</f>
        <v>2.0716338157760092</v>
      </c>
    </row>
    <row r="6" spans="1:11" x14ac:dyDescent="0.2">
      <c r="B6" s="38" t="s">
        <v>151</v>
      </c>
      <c r="C6" s="43">
        <f>J29</f>
        <v>1.3333333333333317E-2</v>
      </c>
      <c r="E6" s="38">
        <f ca="1">_xlfn.NORM.INV(RAND(), C6,C7)</f>
        <v>-5.0250545319570246E-2</v>
      </c>
    </row>
    <row r="7" spans="1:11" x14ac:dyDescent="0.2">
      <c r="B7" s="38" t="s">
        <v>152</v>
      </c>
      <c r="C7" s="43">
        <f>J34</f>
        <v>0.21312489817527708</v>
      </c>
    </row>
    <row r="8" spans="1:11" x14ac:dyDescent="0.2">
      <c r="B8" s="38" t="s">
        <v>159</v>
      </c>
      <c r="C8" s="43"/>
      <c r="E8" s="38">
        <f ca="1">(E2*12)*E4*(1+E6)</f>
        <v>13086.35034744364</v>
      </c>
      <c r="I8" s="49" t="s">
        <v>158</v>
      </c>
      <c r="J8" s="38">
        <f>(J9+J10+J11)/3</f>
        <v>3.5917207183978164</v>
      </c>
    </row>
    <row r="9" spans="1:11" x14ac:dyDescent="0.2">
      <c r="B9" s="49" t="s">
        <v>241</v>
      </c>
      <c r="C9" s="43">
        <f>J11</f>
        <v>3.9751621551934497</v>
      </c>
      <c r="E9" s="38">
        <f ca="1">_xlfn.NORM.INV(RAND(), C9,C10)</f>
        <v>3.9062880354807539</v>
      </c>
      <c r="I9" s="42" t="s">
        <v>190</v>
      </c>
      <c r="J9" s="38">
        <v>3</v>
      </c>
    </row>
    <row r="10" spans="1:11" x14ac:dyDescent="0.2">
      <c r="B10" s="49" t="s">
        <v>242</v>
      </c>
      <c r="C10" s="43">
        <f>J13</f>
        <v>0.21223827081408805</v>
      </c>
      <c r="E10" s="53"/>
      <c r="I10" s="42" t="s">
        <v>191</v>
      </c>
      <c r="J10" s="38">
        <v>3.8</v>
      </c>
    </row>
    <row r="11" spans="1:11" x14ac:dyDescent="0.2">
      <c r="C11" s="43"/>
      <c r="E11" s="38">
        <f ca="1">($E$12+E8)*$E$9/Main!$K$3</f>
        <v>404.0401116730763</v>
      </c>
      <c r="I11" s="42" t="s">
        <v>192</v>
      </c>
      <c r="J11" s="40">
        <f>Model!AJ67</f>
        <v>3.9751621551934497</v>
      </c>
    </row>
    <row r="12" spans="1:11" x14ac:dyDescent="0.2">
      <c r="B12" s="49" t="s">
        <v>243</v>
      </c>
      <c r="C12" s="43"/>
      <c r="E12" s="37">
        <f>Model!AH34+Model!AH38+Model!AH39+Model!AH40</f>
        <v>29373.003477801183</v>
      </c>
      <c r="I12" s="42" t="s">
        <v>193</v>
      </c>
      <c r="J12" s="38">
        <f>((J9^2)+(J10^2)+(J11^2)-(J9*J10)-(J9*J11)-(J10*J11))/18</f>
        <v>4.5045083598154179E-2</v>
      </c>
    </row>
    <row r="13" spans="1:11" x14ac:dyDescent="0.2">
      <c r="I13" s="42" t="s">
        <v>194</v>
      </c>
      <c r="J13" s="38">
        <f>SQRT(J12)</f>
        <v>0.21223827081408805</v>
      </c>
    </row>
    <row r="14" spans="1:11" x14ac:dyDescent="0.2">
      <c r="B14" s="38">
        <f ca="1">E8</f>
        <v>13086.35034744364</v>
      </c>
      <c r="D14" s="38">
        <f ca="1">E11</f>
        <v>404.0401116730763</v>
      </c>
      <c r="F14" s="32" t="s">
        <v>159</v>
      </c>
    </row>
    <row r="15" spans="1:11" x14ac:dyDescent="0.2">
      <c r="A15" s="38">
        <v>1</v>
      </c>
      <c r="B15" s="38">
        <f t="dataTable" ref="B15:B1014" dt2D="0" dtr="0" r1="A2" ca="1"/>
        <v>13792.777228930809</v>
      </c>
      <c r="C15" s="38">
        <v>1</v>
      </c>
      <c r="D15" s="38">
        <f t="dataTable" ref="D15:D1014" dt2D="0" dtr="0" r1="A9" ca="1"/>
        <v>325.21025607654866</v>
      </c>
      <c r="F15" s="38">
        <f>AVERAGE(B15:B215)</f>
        <v>7876.5378892897234</v>
      </c>
      <c r="G15" s="38" t="s">
        <v>157</v>
      </c>
      <c r="I15" s="42" t="s">
        <v>187</v>
      </c>
      <c r="J15" s="38">
        <f>(J16+J17+J18)/3</f>
        <v>90</v>
      </c>
    </row>
    <row r="16" spans="1:11" x14ac:dyDescent="0.2">
      <c r="A16" s="38">
        <f>A15+1</f>
        <v>2</v>
      </c>
      <c r="B16" s="38">
        <v>7064.0596755696288</v>
      </c>
      <c r="C16" s="38">
        <f>C15+1</f>
        <v>2</v>
      </c>
      <c r="D16" s="38">
        <v>342.74615897386184</v>
      </c>
      <c r="F16" s="39">
        <f>F15/Model!AH37-1</f>
        <v>0.18952167022313882</v>
      </c>
      <c r="G16" s="38" t="s">
        <v>162</v>
      </c>
      <c r="I16" s="42" t="s">
        <v>190</v>
      </c>
      <c r="J16" s="38">
        <v>40</v>
      </c>
      <c r="K16" s="42" t="s">
        <v>200</v>
      </c>
    </row>
    <row r="17" spans="1:11" x14ac:dyDescent="0.2">
      <c r="A17" s="38">
        <f t="shared" ref="A17:C80" si="0">A16+1</f>
        <v>3</v>
      </c>
      <c r="B17" s="38">
        <v>5303.8232747563725</v>
      </c>
      <c r="C17" s="38">
        <f t="shared" si="0"/>
        <v>3</v>
      </c>
      <c r="D17" s="38">
        <v>342.1914291690216</v>
      </c>
      <c r="F17" s="49"/>
      <c r="I17" s="42" t="s">
        <v>191</v>
      </c>
      <c r="J17" s="38">
        <v>150</v>
      </c>
      <c r="K17" s="42" t="s">
        <v>198</v>
      </c>
    </row>
    <row r="18" spans="1:11" x14ac:dyDescent="0.2">
      <c r="A18" s="38">
        <f t="shared" si="0"/>
        <v>4</v>
      </c>
      <c r="B18" s="38">
        <v>6557.9838357135222</v>
      </c>
      <c r="C18" s="38">
        <f t="shared" si="0"/>
        <v>4</v>
      </c>
      <c r="D18" s="38">
        <v>356.40705486348287</v>
      </c>
      <c r="F18" s="32" t="s">
        <v>156</v>
      </c>
      <c r="I18" s="42" t="s">
        <v>192</v>
      </c>
      <c r="J18" s="38">
        <v>80</v>
      </c>
      <c r="K18" s="42" t="s">
        <v>199</v>
      </c>
    </row>
    <row r="19" spans="1:11" x14ac:dyDescent="0.2">
      <c r="A19" s="38">
        <f t="shared" si="0"/>
        <v>5</v>
      </c>
      <c r="B19" s="38">
        <v>9676.1821442866058</v>
      </c>
      <c r="C19" s="38">
        <f t="shared" si="0"/>
        <v>5</v>
      </c>
      <c r="D19" s="38">
        <v>351.0561107160355</v>
      </c>
      <c r="F19" s="38">
        <f>AVERAGE(D15:D215)</f>
        <v>363.98697174788106</v>
      </c>
      <c r="G19" s="38" t="s">
        <v>157</v>
      </c>
      <c r="I19" s="42" t="s">
        <v>193</v>
      </c>
      <c r="J19" s="38">
        <f>((J16^2)+(J17^2)+(J18^2)-(J16*J17)-(J16*J18)-(J17*J18))/18</f>
        <v>516.66666666666663</v>
      </c>
    </row>
    <row r="20" spans="1:11" x14ac:dyDescent="0.2">
      <c r="A20" s="38">
        <f t="shared" si="0"/>
        <v>6</v>
      </c>
      <c r="B20" s="38">
        <v>10952.947483163216</v>
      </c>
      <c r="C20" s="38">
        <f t="shared" si="0"/>
        <v>6</v>
      </c>
      <c r="D20" s="38">
        <v>394.46077385427532</v>
      </c>
      <c r="F20" s="39">
        <f>F19/Model!$AL$124-1</f>
        <v>4.4255438235715872E-2</v>
      </c>
      <c r="G20" s="38" t="s">
        <v>162</v>
      </c>
      <c r="H20" s="49" t="s">
        <v>155</v>
      </c>
      <c r="I20" s="42" t="s">
        <v>194</v>
      </c>
      <c r="J20" s="38">
        <f>SQRT(J19)</f>
        <v>22.73030282830976</v>
      </c>
    </row>
    <row r="21" spans="1:11" x14ac:dyDescent="0.2">
      <c r="A21" s="38">
        <f t="shared" si="0"/>
        <v>7</v>
      </c>
      <c r="B21" s="38">
        <v>12952.210952884639</v>
      </c>
      <c r="C21" s="38">
        <f t="shared" si="0"/>
        <v>7</v>
      </c>
      <c r="D21" s="38">
        <v>378.7353013474758</v>
      </c>
      <c r="E21" s="49"/>
      <c r="F21" s="38">
        <f>_xlfn.PERCENTILE.INC($D$15:$D$1014, 0.25)</f>
        <v>333.18557127463532</v>
      </c>
      <c r="G21" s="38" t="s">
        <v>160</v>
      </c>
    </row>
    <row r="22" spans="1:11" x14ac:dyDescent="0.2">
      <c r="A22" s="38">
        <f t="shared" si="0"/>
        <v>8</v>
      </c>
      <c r="B22" s="38">
        <v>4049.9021213513206</v>
      </c>
      <c r="C22" s="38">
        <f t="shared" si="0"/>
        <v>8</v>
      </c>
      <c r="D22" s="38">
        <v>342.35224475542083</v>
      </c>
      <c r="E22" s="49"/>
      <c r="F22" s="39">
        <f>F21/Model!$AL$124-1</f>
        <v>-4.4111817864159186E-2</v>
      </c>
      <c r="G22" s="38" t="s">
        <v>162</v>
      </c>
      <c r="I22" s="42" t="s">
        <v>188</v>
      </c>
      <c r="J22" s="38">
        <f>(J23+J24+J25)/3</f>
        <v>6.9000000000000012</v>
      </c>
    </row>
    <row r="23" spans="1:11" x14ac:dyDescent="0.2">
      <c r="A23" s="38">
        <f t="shared" si="0"/>
        <v>9</v>
      </c>
      <c r="B23" s="38">
        <v>6045.2049907021501</v>
      </c>
      <c r="C23" s="38">
        <f t="shared" si="0"/>
        <v>9</v>
      </c>
      <c r="D23" s="38">
        <v>457.51140609271101</v>
      </c>
      <c r="E23" s="49"/>
      <c r="F23" s="38">
        <f>_xlfn.PERCENTILE.INC($D$15:$D$1014, 0.75)</f>
        <v>383.85491055534851</v>
      </c>
      <c r="G23" s="38" t="s">
        <v>161</v>
      </c>
      <c r="I23" s="42" t="s">
        <v>190</v>
      </c>
      <c r="J23" s="38">
        <v>2.4</v>
      </c>
      <c r="K23" s="42" t="s">
        <v>197</v>
      </c>
    </row>
    <row r="24" spans="1:11" x14ac:dyDescent="0.2">
      <c r="A24" s="38">
        <f t="shared" si="0"/>
        <v>10</v>
      </c>
      <c r="B24" s="38">
        <v>6229.2018841496074</v>
      </c>
      <c r="C24" s="38">
        <f t="shared" si="0"/>
        <v>10</v>
      </c>
      <c r="D24" s="38">
        <v>399.0684298314153</v>
      </c>
      <c r="E24" s="49"/>
      <c r="F24" s="39">
        <f>F23/Model!$AL$124-1</f>
        <v>0.10125528921006088</v>
      </c>
      <c r="G24" s="38" t="s">
        <v>162</v>
      </c>
      <c r="I24" s="42" t="s">
        <v>191</v>
      </c>
      <c r="J24" s="38">
        <v>12.4</v>
      </c>
    </row>
    <row r="25" spans="1:11" x14ac:dyDescent="0.2">
      <c r="A25" s="38">
        <f t="shared" si="0"/>
        <v>11</v>
      </c>
      <c r="B25" s="38">
        <v>9387.0148952748805</v>
      </c>
      <c r="C25" s="38">
        <f t="shared" si="0"/>
        <v>11</v>
      </c>
      <c r="D25" s="38">
        <v>358.1469436613915</v>
      </c>
      <c r="I25" s="42" t="s">
        <v>192</v>
      </c>
      <c r="J25" s="38">
        <v>5.9</v>
      </c>
    </row>
    <row r="26" spans="1:11" x14ac:dyDescent="0.2">
      <c r="A26" s="38">
        <f t="shared" si="0"/>
        <v>12</v>
      </c>
      <c r="B26" s="38">
        <v>12055.756760889273</v>
      </c>
      <c r="C26" s="38">
        <f t="shared" si="0"/>
        <v>12</v>
      </c>
      <c r="D26" s="38">
        <v>324.71092372288047</v>
      </c>
      <c r="G26" s="51"/>
      <c r="H26" s="49"/>
      <c r="I26" s="42" t="s">
        <v>193</v>
      </c>
      <c r="J26" s="38">
        <f>((J23^2)+(J24^2)+(J25^2)-(J23*J24)-(J23*J25)-(J24*J25))/18</f>
        <v>4.2916666666666679</v>
      </c>
    </row>
    <row r="27" spans="1:11" x14ac:dyDescent="0.2">
      <c r="A27" s="38">
        <f t="shared" si="0"/>
        <v>13</v>
      </c>
      <c r="B27" s="38">
        <v>4371.9577128343299</v>
      </c>
      <c r="C27" s="38">
        <f t="shared" si="0"/>
        <v>13</v>
      </c>
      <c r="D27" s="38">
        <v>289.16190551585237</v>
      </c>
      <c r="G27" s="52"/>
      <c r="H27" s="49"/>
      <c r="I27" s="42" t="s">
        <v>194</v>
      </c>
      <c r="J27" s="38">
        <f>SQRT(J26)</f>
        <v>2.0716338157760092</v>
      </c>
    </row>
    <row r="28" spans="1:11" x14ac:dyDescent="0.2">
      <c r="A28" s="38">
        <f t="shared" si="0"/>
        <v>14</v>
      </c>
      <c r="B28" s="38">
        <v>8790.8905891184077</v>
      </c>
      <c r="C28" s="38">
        <f t="shared" si="0"/>
        <v>14</v>
      </c>
      <c r="D28" s="38">
        <v>541.72800398746165</v>
      </c>
      <c r="H28" s="49"/>
    </row>
    <row r="29" spans="1:11" x14ac:dyDescent="0.2">
      <c r="A29" s="38">
        <f t="shared" si="0"/>
        <v>15</v>
      </c>
      <c r="B29" s="38">
        <v>7375.3105473595633</v>
      </c>
      <c r="C29" s="38">
        <f t="shared" si="0"/>
        <v>15</v>
      </c>
      <c r="D29" s="38">
        <v>368.72981395279487</v>
      </c>
      <c r="F29" s="32" t="s">
        <v>165</v>
      </c>
      <c r="H29" s="49"/>
      <c r="I29" s="42" t="s">
        <v>189</v>
      </c>
      <c r="J29" s="38">
        <f>(J30+J31+J32)/3</f>
        <v>1.3333333333333317E-2</v>
      </c>
    </row>
    <row r="30" spans="1:11" x14ac:dyDescent="0.2">
      <c r="A30" s="38">
        <f t="shared" si="0"/>
        <v>16</v>
      </c>
      <c r="B30" s="38">
        <v>8311.9113220635245</v>
      </c>
      <c r="C30" s="38">
        <f t="shared" si="0"/>
        <v>16</v>
      </c>
      <c r="D30" s="38">
        <v>410.5784864164342</v>
      </c>
      <c r="F30" s="53" t="s">
        <v>244</v>
      </c>
      <c r="G30" s="38">
        <f>Main!K2*(1/1)</f>
        <v>244</v>
      </c>
      <c r="H30" s="53"/>
      <c r="I30" s="42" t="s">
        <v>190</v>
      </c>
      <c r="J30" s="38">
        <v>-0.4</v>
      </c>
      <c r="K30" s="42" t="s">
        <v>196</v>
      </c>
    </row>
    <row r="31" spans="1:11" x14ac:dyDescent="0.2">
      <c r="A31" s="38">
        <f t="shared" si="0"/>
        <v>17</v>
      </c>
      <c r="B31" s="38">
        <v>6601.9521635241845</v>
      </c>
      <c r="C31" s="38">
        <f t="shared" si="0"/>
        <v>17</v>
      </c>
      <c r="D31" s="38">
        <v>369.82363410391548</v>
      </c>
      <c r="I31" s="42" t="s">
        <v>191</v>
      </c>
      <c r="J31" s="38">
        <v>0.6</v>
      </c>
      <c r="K31" s="44" t="s">
        <v>201</v>
      </c>
    </row>
    <row r="32" spans="1:11" x14ac:dyDescent="0.2">
      <c r="A32" s="38">
        <f t="shared" si="0"/>
        <v>18</v>
      </c>
      <c r="B32" s="38">
        <v>9497.0225367211333</v>
      </c>
      <c r="C32" s="38">
        <f t="shared" si="0"/>
        <v>18</v>
      </c>
      <c r="D32" s="38">
        <v>369.94439457186326</v>
      </c>
      <c r="F32" s="38" t="s">
        <v>166</v>
      </c>
      <c r="G32" s="39">
        <f>COUNTIF(D15:D1014, "&gt;"&amp;G30)/1000</f>
        <v>1</v>
      </c>
      <c r="H32" s="53"/>
      <c r="I32" s="42" t="s">
        <v>192</v>
      </c>
      <c r="J32" s="38">
        <v>-0.16</v>
      </c>
      <c r="K32" s="42" t="s">
        <v>195</v>
      </c>
    </row>
    <row r="33" spans="1:11" x14ac:dyDescent="0.2">
      <c r="A33" s="38">
        <f t="shared" si="0"/>
        <v>19</v>
      </c>
      <c r="B33" s="38">
        <v>7492.3563138044865</v>
      </c>
      <c r="C33" s="38">
        <f t="shared" si="0"/>
        <v>19</v>
      </c>
      <c r="D33" s="38">
        <v>389.1122490618813</v>
      </c>
      <c r="F33" s="38" t="s">
        <v>167</v>
      </c>
      <c r="G33" s="39">
        <f>1-G32</f>
        <v>0</v>
      </c>
      <c r="I33" s="42" t="s">
        <v>193</v>
      </c>
      <c r="J33" s="38">
        <f>((J30^2)+(J31^2)+(J32^2)-(J30*J31)-(J30*J32)-(J31*J32))/18</f>
        <v>4.5422222222222225E-2</v>
      </c>
    </row>
    <row r="34" spans="1:11" x14ac:dyDescent="0.2">
      <c r="A34" s="38">
        <f t="shared" si="0"/>
        <v>20</v>
      </c>
      <c r="B34" s="38">
        <v>7002.6169733222969</v>
      </c>
      <c r="C34" s="38">
        <f t="shared" si="0"/>
        <v>20</v>
      </c>
      <c r="D34" s="38">
        <v>362.72195066198105</v>
      </c>
      <c r="H34" s="56"/>
      <c r="I34" s="42" t="s">
        <v>194</v>
      </c>
      <c r="J34" s="38">
        <f>SQRT(J33)</f>
        <v>0.21312489817527708</v>
      </c>
      <c r="K34" s="44"/>
    </row>
    <row r="35" spans="1:11" x14ac:dyDescent="0.2">
      <c r="A35" s="38">
        <f t="shared" si="0"/>
        <v>21</v>
      </c>
      <c r="B35" s="38">
        <v>7379.3247681938801</v>
      </c>
      <c r="C35" s="38">
        <f t="shared" si="0"/>
        <v>21</v>
      </c>
      <c r="D35" s="38">
        <v>260.62191013880016</v>
      </c>
      <c r="F35" s="38" t="s">
        <v>169</v>
      </c>
      <c r="G35" s="39">
        <f>AVERAGEIF(D15:D1014, "&gt;"&amp;G30)/G30 - 1</f>
        <v>0.47403119225520163</v>
      </c>
      <c r="H35" s="55"/>
    </row>
    <row r="36" spans="1:11" x14ac:dyDescent="0.2">
      <c r="A36" s="38">
        <f t="shared" si="0"/>
        <v>22</v>
      </c>
      <c r="B36" s="38">
        <v>6842.1697959864405</v>
      </c>
      <c r="C36" s="38">
        <f t="shared" si="0"/>
        <v>22</v>
      </c>
      <c r="D36" s="38">
        <v>386.07999394436479</v>
      </c>
      <c r="F36" s="38" t="s">
        <v>170</v>
      </c>
      <c r="G36" s="39" t="e">
        <f>1 - (AVERAGEIF(D15:D1014, "&lt;="&amp;G30)/G30)</f>
        <v>#DIV/0!</v>
      </c>
      <c r="H36" s="55"/>
      <c r="I36" s="53"/>
      <c r="J36" s="53"/>
    </row>
    <row r="37" spans="1:11" x14ac:dyDescent="0.2">
      <c r="A37" s="38">
        <f t="shared" si="0"/>
        <v>23</v>
      </c>
      <c r="B37" s="38">
        <v>6803.3447481761432</v>
      </c>
      <c r="C37" s="38">
        <f t="shared" si="0"/>
        <v>23</v>
      </c>
      <c r="D37" s="38">
        <v>350.02476396662831</v>
      </c>
      <c r="F37" s="38" t="s">
        <v>168</v>
      </c>
      <c r="G37" s="40" t="e">
        <f>G35/G36</f>
        <v>#DIV/0!</v>
      </c>
      <c r="H37" s="49"/>
      <c r="I37" s="53"/>
      <c r="J37" s="53"/>
    </row>
    <row r="38" spans="1:11" x14ac:dyDescent="0.2">
      <c r="A38" s="38">
        <f t="shared" si="0"/>
        <v>24</v>
      </c>
      <c r="B38" s="38">
        <v>8809.8851989263621</v>
      </c>
      <c r="C38" s="38">
        <f t="shared" si="0"/>
        <v>24</v>
      </c>
      <c r="D38" s="38">
        <v>431.42921245199273</v>
      </c>
      <c r="H38" s="49"/>
      <c r="I38" s="53"/>
      <c r="J38" s="53"/>
    </row>
    <row r="39" spans="1:11" x14ac:dyDescent="0.2">
      <c r="A39" s="38">
        <f t="shared" si="0"/>
        <v>25</v>
      </c>
      <c r="B39" s="38">
        <v>9070.05006234537</v>
      </c>
      <c r="C39" s="38">
        <f t="shared" si="0"/>
        <v>25</v>
      </c>
      <c r="D39" s="38">
        <v>360.94932997279579</v>
      </c>
      <c r="F39" s="38" t="s">
        <v>171</v>
      </c>
      <c r="G39" s="39" t="e">
        <f>G32 - (G33/G37)</f>
        <v>#DIV/0!</v>
      </c>
      <c r="H39" s="53"/>
      <c r="I39" s="53"/>
      <c r="J39" s="53"/>
    </row>
    <row r="40" spans="1:11" x14ac:dyDescent="0.2">
      <c r="A40" s="38">
        <f t="shared" si="0"/>
        <v>26</v>
      </c>
      <c r="B40" s="38">
        <v>3964.5883442916866</v>
      </c>
      <c r="C40" s="38">
        <f t="shared" si="0"/>
        <v>26</v>
      </c>
      <c r="D40" s="38">
        <v>449.06011728202634</v>
      </c>
      <c r="F40" s="38" t="s">
        <v>172</v>
      </c>
      <c r="G40" s="39" t="e">
        <f>G39/2</f>
        <v>#DIV/0!</v>
      </c>
      <c r="H40" s="72"/>
      <c r="I40" s="53"/>
    </row>
    <row r="41" spans="1:11" x14ac:dyDescent="0.2">
      <c r="A41" s="38">
        <f t="shared" si="0"/>
        <v>27</v>
      </c>
      <c r="B41" s="38">
        <v>4925.5921763559145</v>
      </c>
      <c r="C41" s="38">
        <f t="shared" si="0"/>
        <v>27</v>
      </c>
      <c r="D41" s="38">
        <v>344.23388330701113</v>
      </c>
      <c r="G41" s="44"/>
      <c r="H41" s="72"/>
      <c r="I41" s="53"/>
    </row>
    <row r="42" spans="1:11" x14ac:dyDescent="0.2">
      <c r="A42" s="38">
        <f t="shared" si="0"/>
        <v>28</v>
      </c>
      <c r="B42" s="38">
        <v>4172.9605382429463</v>
      </c>
      <c r="C42" s="38">
        <f t="shared" si="0"/>
        <v>28</v>
      </c>
      <c r="D42" s="38">
        <v>365.86550792283055</v>
      </c>
      <c r="F42" s="53"/>
      <c r="G42" s="44"/>
      <c r="H42" s="72"/>
      <c r="I42" s="53"/>
    </row>
    <row r="43" spans="1:11" x14ac:dyDescent="0.2">
      <c r="A43" s="38">
        <f t="shared" si="0"/>
        <v>29</v>
      </c>
      <c r="B43" s="38">
        <v>3959.1267703541271</v>
      </c>
      <c r="C43" s="38">
        <f t="shared" si="0"/>
        <v>29</v>
      </c>
      <c r="D43" s="38">
        <v>315.16830283939652</v>
      </c>
      <c r="H43" s="72"/>
      <c r="I43" s="42"/>
    </row>
    <row r="44" spans="1:11" x14ac:dyDescent="0.2">
      <c r="A44" s="38">
        <f t="shared" si="0"/>
        <v>30</v>
      </c>
      <c r="B44" s="38">
        <v>8774.5579299174115</v>
      </c>
      <c r="C44" s="38">
        <f t="shared" si="0"/>
        <v>30</v>
      </c>
      <c r="D44" s="38">
        <v>374.8582818415619</v>
      </c>
      <c r="H44" s="42"/>
    </row>
    <row r="45" spans="1:11" x14ac:dyDescent="0.2">
      <c r="A45" s="38">
        <f t="shared" si="0"/>
        <v>31</v>
      </c>
      <c r="B45" s="38">
        <v>6331.1113366961054</v>
      </c>
      <c r="C45" s="38">
        <f t="shared" si="0"/>
        <v>31</v>
      </c>
      <c r="D45" s="38">
        <v>453.62265885059537</v>
      </c>
      <c r="H45" s="42"/>
    </row>
    <row r="46" spans="1:11" x14ac:dyDescent="0.2">
      <c r="A46" s="38">
        <f t="shared" si="0"/>
        <v>32</v>
      </c>
      <c r="B46" s="38">
        <v>5660.4114544055556</v>
      </c>
      <c r="C46" s="38">
        <f t="shared" si="0"/>
        <v>32</v>
      </c>
      <c r="D46" s="38">
        <v>335.68631820216712</v>
      </c>
      <c r="H46" s="42"/>
    </row>
    <row r="47" spans="1:11" x14ac:dyDescent="0.2">
      <c r="A47" s="38">
        <f t="shared" si="0"/>
        <v>33</v>
      </c>
      <c r="B47" s="38">
        <v>10258.452909464737</v>
      </c>
      <c r="C47" s="38">
        <f t="shared" si="0"/>
        <v>33</v>
      </c>
      <c r="D47" s="38">
        <v>357.33521525871924</v>
      </c>
      <c r="H47" s="42"/>
    </row>
    <row r="48" spans="1:11" x14ac:dyDescent="0.2">
      <c r="A48" s="38">
        <f t="shared" si="0"/>
        <v>34</v>
      </c>
      <c r="B48" s="38">
        <v>7906.7033340799862</v>
      </c>
      <c r="C48" s="38">
        <f t="shared" si="0"/>
        <v>34</v>
      </c>
      <c r="D48" s="38">
        <v>346.40369762736481</v>
      </c>
      <c r="H48" s="42"/>
    </row>
    <row r="49" spans="1:8" x14ac:dyDescent="0.2">
      <c r="A49" s="38">
        <f t="shared" si="0"/>
        <v>35</v>
      </c>
      <c r="B49" s="38">
        <v>3950.5710138866657</v>
      </c>
      <c r="C49" s="38">
        <f t="shared" si="0"/>
        <v>35</v>
      </c>
      <c r="D49" s="38">
        <v>330.03579057745321</v>
      </c>
      <c r="H49" s="42"/>
    </row>
    <row r="50" spans="1:8" x14ac:dyDescent="0.2">
      <c r="A50" s="38">
        <f t="shared" si="0"/>
        <v>36</v>
      </c>
      <c r="B50" s="38">
        <v>9172.6437040094752</v>
      </c>
      <c r="C50" s="38">
        <f t="shared" si="0"/>
        <v>36</v>
      </c>
      <c r="D50" s="38">
        <v>352.86077479686179</v>
      </c>
      <c r="H50" s="42"/>
    </row>
    <row r="51" spans="1:8" x14ac:dyDescent="0.2">
      <c r="A51" s="38">
        <f t="shared" si="0"/>
        <v>37</v>
      </c>
      <c r="B51" s="38">
        <v>6132.2292455073948</v>
      </c>
      <c r="C51" s="38">
        <f t="shared" si="0"/>
        <v>37</v>
      </c>
      <c r="D51" s="38">
        <v>348.10251828471877</v>
      </c>
      <c r="H51" s="42"/>
    </row>
    <row r="52" spans="1:8" x14ac:dyDescent="0.2">
      <c r="A52" s="38">
        <f t="shared" si="0"/>
        <v>38</v>
      </c>
      <c r="B52" s="38">
        <v>6541.0494988062092</v>
      </c>
      <c r="C52" s="38">
        <f t="shared" si="0"/>
        <v>38</v>
      </c>
      <c r="D52" s="38">
        <v>372.32200462600156</v>
      </c>
      <c r="H52" s="42"/>
    </row>
    <row r="53" spans="1:8" x14ac:dyDescent="0.2">
      <c r="A53" s="38">
        <f t="shared" si="0"/>
        <v>39</v>
      </c>
      <c r="B53" s="38">
        <v>6497.4230893054646</v>
      </c>
      <c r="C53" s="38">
        <f t="shared" si="0"/>
        <v>39</v>
      </c>
      <c r="D53" s="38">
        <v>355.8639815802818</v>
      </c>
      <c r="H53" s="42"/>
    </row>
    <row r="54" spans="1:8" x14ac:dyDescent="0.2">
      <c r="A54" s="38">
        <f t="shared" si="0"/>
        <v>40</v>
      </c>
      <c r="B54" s="38">
        <v>6577.9360224487727</v>
      </c>
      <c r="C54" s="38">
        <f t="shared" si="0"/>
        <v>40</v>
      </c>
      <c r="D54" s="38">
        <v>375.33315824358976</v>
      </c>
    </row>
    <row r="55" spans="1:8" x14ac:dyDescent="0.2">
      <c r="A55" s="38">
        <f t="shared" si="0"/>
        <v>41</v>
      </c>
      <c r="B55" s="38">
        <v>10073.055997027684</v>
      </c>
      <c r="C55" s="38">
        <f t="shared" si="0"/>
        <v>41</v>
      </c>
      <c r="D55" s="38">
        <v>403.51905863658237</v>
      </c>
    </row>
    <row r="56" spans="1:8" x14ac:dyDescent="0.2">
      <c r="A56" s="38">
        <f t="shared" si="0"/>
        <v>42</v>
      </c>
      <c r="B56" s="38">
        <v>9355.3815351394369</v>
      </c>
      <c r="C56" s="38">
        <f t="shared" si="0"/>
        <v>42</v>
      </c>
      <c r="D56" s="38">
        <v>346.80893113053156</v>
      </c>
    </row>
    <row r="57" spans="1:8" x14ac:dyDescent="0.2">
      <c r="A57" s="38">
        <f t="shared" si="0"/>
        <v>43</v>
      </c>
      <c r="B57" s="38">
        <v>10025.601896647999</v>
      </c>
      <c r="C57" s="38">
        <f t="shared" si="0"/>
        <v>43</v>
      </c>
      <c r="D57" s="38">
        <v>375.20868168894333</v>
      </c>
    </row>
    <row r="58" spans="1:8" x14ac:dyDescent="0.2">
      <c r="A58" s="38">
        <f t="shared" si="0"/>
        <v>44</v>
      </c>
      <c r="B58" s="38">
        <v>3114.3625218446364</v>
      </c>
      <c r="C58" s="38">
        <f t="shared" si="0"/>
        <v>44</v>
      </c>
      <c r="D58" s="38">
        <v>372.49993505571723</v>
      </c>
    </row>
    <row r="59" spans="1:8" x14ac:dyDescent="0.2">
      <c r="A59" s="38">
        <f t="shared" si="0"/>
        <v>45</v>
      </c>
      <c r="B59" s="38">
        <v>13887.659782699608</v>
      </c>
      <c r="C59" s="38">
        <f t="shared" si="0"/>
        <v>45</v>
      </c>
      <c r="D59" s="38">
        <v>439.00847964799294</v>
      </c>
    </row>
    <row r="60" spans="1:8" x14ac:dyDescent="0.2">
      <c r="A60" s="38">
        <f t="shared" si="0"/>
        <v>46</v>
      </c>
      <c r="B60" s="38">
        <v>6364.4492993948197</v>
      </c>
      <c r="C60" s="38">
        <f t="shared" si="0"/>
        <v>46</v>
      </c>
      <c r="D60" s="38">
        <v>335.19337226842259</v>
      </c>
    </row>
    <row r="61" spans="1:8" x14ac:dyDescent="0.2">
      <c r="A61" s="38">
        <f t="shared" si="0"/>
        <v>47</v>
      </c>
      <c r="B61" s="38">
        <v>4989.1258508738665</v>
      </c>
      <c r="C61" s="38">
        <f t="shared" si="0"/>
        <v>47</v>
      </c>
      <c r="D61" s="38">
        <v>445.43174910239406</v>
      </c>
    </row>
    <row r="62" spans="1:8" x14ac:dyDescent="0.2">
      <c r="A62" s="38">
        <f t="shared" si="0"/>
        <v>48</v>
      </c>
      <c r="B62" s="38">
        <v>11576.554019080908</v>
      </c>
      <c r="C62" s="38">
        <f t="shared" si="0"/>
        <v>48</v>
      </c>
      <c r="D62" s="38">
        <v>338.44010324969969</v>
      </c>
    </row>
    <row r="63" spans="1:8" x14ac:dyDescent="0.2">
      <c r="A63" s="38">
        <f t="shared" si="0"/>
        <v>49</v>
      </c>
      <c r="B63" s="38">
        <v>13846.526981797537</v>
      </c>
      <c r="C63" s="38">
        <f t="shared" si="0"/>
        <v>49</v>
      </c>
      <c r="D63" s="38">
        <v>454.07961075838364</v>
      </c>
    </row>
    <row r="64" spans="1:8" x14ac:dyDescent="0.2">
      <c r="A64" s="38">
        <f t="shared" si="0"/>
        <v>50</v>
      </c>
      <c r="B64" s="38">
        <v>1762.7641960053261</v>
      </c>
      <c r="C64" s="38">
        <f t="shared" si="0"/>
        <v>50</v>
      </c>
      <c r="D64" s="38">
        <v>338.12954926240093</v>
      </c>
    </row>
    <row r="65" spans="1:4" x14ac:dyDescent="0.2">
      <c r="A65" s="38">
        <f t="shared" si="0"/>
        <v>51</v>
      </c>
      <c r="B65" s="38">
        <v>9646.7835931889804</v>
      </c>
      <c r="C65" s="38">
        <f t="shared" si="0"/>
        <v>51</v>
      </c>
      <c r="D65" s="38">
        <v>343.83288412638433</v>
      </c>
    </row>
    <row r="66" spans="1:4" x14ac:dyDescent="0.2">
      <c r="A66" s="38">
        <f t="shared" si="0"/>
        <v>52</v>
      </c>
      <c r="B66" s="38">
        <v>7229.1039257033353</v>
      </c>
      <c r="C66" s="38">
        <f t="shared" si="0"/>
        <v>52</v>
      </c>
      <c r="D66" s="38">
        <v>346.83987666501542</v>
      </c>
    </row>
    <row r="67" spans="1:4" x14ac:dyDescent="0.2">
      <c r="A67" s="38">
        <f t="shared" si="0"/>
        <v>53</v>
      </c>
      <c r="B67" s="38">
        <v>3059.8586410382968</v>
      </c>
      <c r="C67" s="38">
        <f t="shared" si="0"/>
        <v>53</v>
      </c>
      <c r="D67" s="38">
        <v>340.89594560017611</v>
      </c>
    </row>
    <row r="68" spans="1:4" x14ac:dyDescent="0.2">
      <c r="A68" s="38">
        <f t="shared" si="0"/>
        <v>54</v>
      </c>
      <c r="B68" s="38">
        <v>7779.5182927965052</v>
      </c>
      <c r="C68" s="38">
        <f t="shared" si="0"/>
        <v>54</v>
      </c>
      <c r="D68" s="38">
        <v>339.36623074959971</v>
      </c>
    </row>
    <row r="69" spans="1:4" x14ac:dyDescent="0.2">
      <c r="A69" s="38">
        <f t="shared" si="0"/>
        <v>55</v>
      </c>
      <c r="B69" s="38">
        <v>2713.4413378649988</v>
      </c>
      <c r="C69" s="38">
        <f t="shared" si="0"/>
        <v>55</v>
      </c>
      <c r="D69" s="38">
        <v>395.22657842324014</v>
      </c>
    </row>
    <row r="70" spans="1:4" x14ac:dyDescent="0.2">
      <c r="A70" s="38">
        <f t="shared" si="0"/>
        <v>56</v>
      </c>
      <c r="B70" s="38">
        <v>7369.1053529844012</v>
      </c>
      <c r="C70" s="38">
        <f t="shared" si="0"/>
        <v>56</v>
      </c>
      <c r="D70" s="38">
        <v>390.92289742340085</v>
      </c>
    </row>
    <row r="71" spans="1:4" x14ac:dyDescent="0.2">
      <c r="A71" s="38">
        <f t="shared" si="0"/>
        <v>57</v>
      </c>
      <c r="B71" s="38">
        <v>5161.4155219004688</v>
      </c>
      <c r="C71" s="38">
        <f t="shared" si="0"/>
        <v>57</v>
      </c>
      <c r="D71" s="38">
        <v>361.46615377257513</v>
      </c>
    </row>
    <row r="72" spans="1:4" x14ac:dyDescent="0.2">
      <c r="A72" s="38">
        <f t="shared" si="0"/>
        <v>58</v>
      </c>
      <c r="B72" s="38">
        <v>7628.359257570095</v>
      </c>
      <c r="C72" s="38">
        <f t="shared" si="0"/>
        <v>58</v>
      </c>
      <c r="D72" s="38">
        <v>288.29477064222488</v>
      </c>
    </row>
    <row r="73" spans="1:4" x14ac:dyDescent="0.2">
      <c r="A73" s="38">
        <f t="shared" si="0"/>
        <v>59</v>
      </c>
      <c r="B73" s="38">
        <v>13555.772928913017</v>
      </c>
      <c r="C73" s="38">
        <f t="shared" si="0"/>
        <v>59</v>
      </c>
      <c r="D73" s="38">
        <v>367.76880959730153</v>
      </c>
    </row>
    <row r="74" spans="1:4" x14ac:dyDescent="0.2">
      <c r="A74" s="38">
        <f t="shared" si="0"/>
        <v>60</v>
      </c>
      <c r="B74" s="38">
        <v>11330.784942605605</v>
      </c>
      <c r="C74" s="38">
        <f t="shared" si="0"/>
        <v>60</v>
      </c>
      <c r="D74" s="38">
        <v>434.68927952687704</v>
      </c>
    </row>
    <row r="75" spans="1:4" x14ac:dyDescent="0.2">
      <c r="A75" s="38">
        <f t="shared" si="0"/>
        <v>61</v>
      </c>
      <c r="B75" s="38">
        <v>6565.3147254405103</v>
      </c>
      <c r="C75" s="38">
        <f t="shared" si="0"/>
        <v>61</v>
      </c>
      <c r="D75" s="38">
        <v>364.6326699556991</v>
      </c>
    </row>
    <row r="76" spans="1:4" x14ac:dyDescent="0.2">
      <c r="A76" s="38">
        <f t="shared" si="0"/>
        <v>62</v>
      </c>
      <c r="B76" s="38">
        <v>4360.151346437744</v>
      </c>
      <c r="C76" s="38">
        <f t="shared" si="0"/>
        <v>62</v>
      </c>
      <c r="D76" s="38">
        <v>429.88685740464484</v>
      </c>
    </row>
    <row r="77" spans="1:4" x14ac:dyDescent="0.2">
      <c r="A77" s="38">
        <f t="shared" si="0"/>
        <v>63</v>
      </c>
      <c r="B77" s="38">
        <v>9853.9080673161043</v>
      </c>
      <c r="C77" s="38">
        <f t="shared" si="0"/>
        <v>63</v>
      </c>
      <c r="D77" s="38">
        <v>382.71256236610941</v>
      </c>
    </row>
    <row r="78" spans="1:4" x14ac:dyDescent="0.2">
      <c r="A78" s="38">
        <f t="shared" si="0"/>
        <v>64</v>
      </c>
      <c r="B78" s="38">
        <v>12513.436195095263</v>
      </c>
      <c r="C78" s="38">
        <f t="shared" si="0"/>
        <v>64</v>
      </c>
      <c r="D78" s="38">
        <v>348.57351352497381</v>
      </c>
    </row>
    <row r="79" spans="1:4" x14ac:dyDescent="0.2">
      <c r="A79" s="38">
        <f t="shared" si="0"/>
        <v>65</v>
      </c>
      <c r="B79" s="38">
        <v>7171.7159839140186</v>
      </c>
      <c r="C79" s="38">
        <f t="shared" si="0"/>
        <v>65</v>
      </c>
      <c r="D79" s="38">
        <v>338.38533111055449</v>
      </c>
    </row>
    <row r="80" spans="1:4" x14ac:dyDescent="0.2">
      <c r="A80" s="38">
        <f t="shared" si="0"/>
        <v>66</v>
      </c>
      <c r="B80" s="38">
        <v>14359.832130471474</v>
      </c>
      <c r="C80" s="38">
        <f t="shared" si="0"/>
        <v>66</v>
      </c>
      <c r="D80" s="38">
        <v>434.03745948331488</v>
      </c>
    </row>
    <row r="81" spans="1:4" x14ac:dyDescent="0.2">
      <c r="A81" s="38">
        <f t="shared" ref="A81:C144" si="1">A80+1</f>
        <v>67</v>
      </c>
      <c r="B81" s="38">
        <v>5501.7534881576785</v>
      </c>
      <c r="C81" s="38">
        <f t="shared" si="1"/>
        <v>67</v>
      </c>
      <c r="D81" s="38">
        <v>350.95888242885059</v>
      </c>
    </row>
    <row r="82" spans="1:4" x14ac:dyDescent="0.2">
      <c r="A82" s="38">
        <f t="shared" si="1"/>
        <v>68</v>
      </c>
      <c r="B82" s="38">
        <v>4191.2624870722566</v>
      </c>
      <c r="C82" s="38">
        <f t="shared" si="1"/>
        <v>68</v>
      </c>
      <c r="D82" s="38">
        <v>377.78143396384132</v>
      </c>
    </row>
    <row r="83" spans="1:4" x14ac:dyDescent="0.2">
      <c r="A83" s="38">
        <f t="shared" si="1"/>
        <v>69</v>
      </c>
      <c r="B83" s="38">
        <v>9566.3005978901692</v>
      </c>
      <c r="C83" s="38">
        <f t="shared" si="1"/>
        <v>69</v>
      </c>
      <c r="D83" s="38">
        <v>411.54211045183195</v>
      </c>
    </row>
    <row r="84" spans="1:4" x14ac:dyDescent="0.2">
      <c r="A84" s="38">
        <f t="shared" si="1"/>
        <v>70</v>
      </c>
      <c r="B84" s="38">
        <v>2795.4934871256</v>
      </c>
      <c r="C84" s="38">
        <f t="shared" si="1"/>
        <v>70</v>
      </c>
      <c r="D84" s="38">
        <v>397.4093313869875</v>
      </c>
    </row>
    <row r="85" spans="1:4" x14ac:dyDescent="0.2">
      <c r="A85" s="38">
        <f t="shared" si="1"/>
        <v>71</v>
      </c>
      <c r="B85" s="38">
        <v>2445.6118930432094</v>
      </c>
      <c r="C85" s="38">
        <f t="shared" si="1"/>
        <v>71</v>
      </c>
      <c r="D85" s="38">
        <v>330.94370467778839</v>
      </c>
    </row>
    <row r="86" spans="1:4" x14ac:dyDescent="0.2">
      <c r="A86" s="38">
        <f t="shared" si="1"/>
        <v>72</v>
      </c>
      <c r="B86" s="38">
        <v>8714.2472665708356</v>
      </c>
      <c r="C86" s="38">
        <f t="shared" si="1"/>
        <v>72</v>
      </c>
      <c r="D86" s="38">
        <v>323.38927283141783</v>
      </c>
    </row>
    <row r="87" spans="1:4" x14ac:dyDescent="0.2">
      <c r="A87" s="38">
        <f t="shared" si="1"/>
        <v>73</v>
      </c>
      <c r="B87" s="38">
        <v>6441.54718441152</v>
      </c>
      <c r="C87" s="38">
        <f t="shared" si="1"/>
        <v>73</v>
      </c>
      <c r="D87" s="38">
        <v>324.56959238990237</v>
      </c>
    </row>
    <row r="88" spans="1:4" x14ac:dyDescent="0.2">
      <c r="A88" s="38">
        <f t="shared" si="1"/>
        <v>74</v>
      </c>
      <c r="B88" s="38">
        <v>13441.241781898647</v>
      </c>
      <c r="C88" s="38">
        <f t="shared" si="1"/>
        <v>74</v>
      </c>
      <c r="D88" s="38">
        <v>351.15327368007792</v>
      </c>
    </row>
    <row r="89" spans="1:4" x14ac:dyDescent="0.2">
      <c r="A89" s="38">
        <f t="shared" si="1"/>
        <v>75</v>
      </c>
      <c r="B89" s="38">
        <v>6980.9624278221454</v>
      </c>
      <c r="C89" s="38">
        <f t="shared" si="1"/>
        <v>75</v>
      </c>
      <c r="D89" s="38">
        <v>338.17041639205758</v>
      </c>
    </row>
    <row r="90" spans="1:4" x14ac:dyDescent="0.2">
      <c r="A90" s="38">
        <f t="shared" si="1"/>
        <v>76</v>
      </c>
      <c r="B90" s="38">
        <v>8826.2498545654416</v>
      </c>
      <c r="C90" s="38">
        <f t="shared" si="1"/>
        <v>76</v>
      </c>
      <c r="D90" s="38">
        <v>315.26399044726685</v>
      </c>
    </row>
    <row r="91" spans="1:4" x14ac:dyDescent="0.2">
      <c r="A91" s="38">
        <f t="shared" si="1"/>
        <v>77</v>
      </c>
      <c r="B91" s="38">
        <v>3166.7722639062999</v>
      </c>
      <c r="C91" s="38">
        <f t="shared" si="1"/>
        <v>77</v>
      </c>
      <c r="D91" s="38">
        <v>313.69069663755397</v>
      </c>
    </row>
    <row r="92" spans="1:4" x14ac:dyDescent="0.2">
      <c r="A92" s="38">
        <f t="shared" si="1"/>
        <v>78</v>
      </c>
      <c r="B92" s="38">
        <v>4301.3302410420865</v>
      </c>
      <c r="C92" s="38">
        <f t="shared" si="1"/>
        <v>78</v>
      </c>
      <c r="D92" s="38">
        <v>333.82869089046972</v>
      </c>
    </row>
    <row r="93" spans="1:4" x14ac:dyDescent="0.2">
      <c r="A93" s="38">
        <f t="shared" si="1"/>
        <v>79</v>
      </c>
      <c r="B93" s="38">
        <v>5956.0454024120727</v>
      </c>
      <c r="C93" s="38">
        <f t="shared" si="1"/>
        <v>79</v>
      </c>
      <c r="D93" s="38">
        <v>316.68130972957573</v>
      </c>
    </row>
    <row r="94" spans="1:4" x14ac:dyDescent="0.2">
      <c r="A94" s="38">
        <f t="shared" si="1"/>
        <v>80</v>
      </c>
      <c r="B94" s="38">
        <v>1853.4791985556551</v>
      </c>
      <c r="C94" s="38">
        <f t="shared" si="1"/>
        <v>80</v>
      </c>
      <c r="D94" s="38">
        <v>363.43846956576664</v>
      </c>
    </row>
    <row r="95" spans="1:4" x14ac:dyDescent="0.2">
      <c r="A95" s="38">
        <f t="shared" si="1"/>
        <v>81</v>
      </c>
      <c r="B95" s="38">
        <v>6883.6068961776609</v>
      </c>
      <c r="C95" s="38">
        <f t="shared" si="1"/>
        <v>81</v>
      </c>
      <c r="D95" s="38">
        <v>352.16163502643616</v>
      </c>
    </row>
    <row r="96" spans="1:4" x14ac:dyDescent="0.2">
      <c r="A96" s="38">
        <f t="shared" si="1"/>
        <v>82</v>
      </c>
      <c r="B96" s="38">
        <v>8546.2914950051108</v>
      </c>
      <c r="C96" s="38">
        <f t="shared" si="1"/>
        <v>82</v>
      </c>
      <c r="D96" s="38">
        <v>373.01453284935138</v>
      </c>
    </row>
    <row r="97" spans="1:4" x14ac:dyDescent="0.2">
      <c r="A97" s="38">
        <f t="shared" si="1"/>
        <v>83</v>
      </c>
      <c r="B97" s="38">
        <v>6489.7403330023626</v>
      </c>
      <c r="C97" s="38">
        <f t="shared" si="1"/>
        <v>83</v>
      </c>
      <c r="D97" s="38">
        <v>335.94129787697079</v>
      </c>
    </row>
    <row r="98" spans="1:4" x14ac:dyDescent="0.2">
      <c r="A98" s="38">
        <f t="shared" si="1"/>
        <v>84</v>
      </c>
      <c r="B98" s="38">
        <v>7759.2844770395886</v>
      </c>
      <c r="C98" s="38">
        <f t="shared" si="1"/>
        <v>84</v>
      </c>
      <c r="D98" s="38">
        <v>425.48014381260742</v>
      </c>
    </row>
    <row r="99" spans="1:4" x14ac:dyDescent="0.2">
      <c r="A99" s="38">
        <f t="shared" si="1"/>
        <v>85</v>
      </c>
      <c r="B99" s="38">
        <v>10895.825355529092</v>
      </c>
      <c r="C99" s="38">
        <f t="shared" si="1"/>
        <v>85</v>
      </c>
      <c r="D99" s="38">
        <v>341.22971670631927</v>
      </c>
    </row>
    <row r="100" spans="1:4" x14ac:dyDescent="0.2">
      <c r="A100" s="38">
        <f t="shared" si="1"/>
        <v>86</v>
      </c>
      <c r="B100" s="38">
        <v>11011.827456398039</v>
      </c>
      <c r="C100" s="38">
        <f t="shared" si="1"/>
        <v>86</v>
      </c>
      <c r="D100" s="38">
        <v>332.2633322727005</v>
      </c>
    </row>
    <row r="101" spans="1:4" x14ac:dyDescent="0.2">
      <c r="A101" s="38">
        <f t="shared" si="1"/>
        <v>87</v>
      </c>
      <c r="B101" s="38">
        <v>12698.701336733398</v>
      </c>
      <c r="C101" s="38">
        <f t="shared" si="1"/>
        <v>87</v>
      </c>
      <c r="D101" s="38">
        <v>300.336041192057</v>
      </c>
    </row>
    <row r="102" spans="1:4" x14ac:dyDescent="0.2">
      <c r="A102" s="38">
        <f t="shared" si="1"/>
        <v>88</v>
      </c>
      <c r="B102" s="38">
        <v>12947.726665347041</v>
      </c>
      <c r="C102" s="38">
        <f t="shared" si="1"/>
        <v>88</v>
      </c>
      <c r="D102" s="38">
        <v>336.00549209168383</v>
      </c>
    </row>
    <row r="103" spans="1:4" x14ac:dyDescent="0.2">
      <c r="A103" s="38">
        <f t="shared" si="1"/>
        <v>89</v>
      </c>
      <c r="B103" s="38">
        <v>5793.0090834597131</v>
      </c>
      <c r="C103" s="38">
        <f t="shared" si="1"/>
        <v>89</v>
      </c>
      <c r="D103" s="38">
        <v>369.65547749549819</v>
      </c>
    </row>
    <row r="104" spans="1:4" x14ac:dyDescent="0.2">
      <c r="A104" s="38">
        <f t="shared" si="1"/>
        <v>90</v>
      </c>
      <c r="B104" s="38">
        <v>4612.7593457040921</v>
      </c>
      <c r="C104" s="38">
        <f t="shared" si="1"/>
        <v>90</v>
      </c>
      <c r="D104" s="38">
        <v>431.69968702833643</v>
      </c>
    </row>
    <row r="105" spans="1:4" x14ac:dyDescent="0.2">
      <c r="A105" s="38">
        <f t="shared" si="1"/>
        <v>91</v>
      </c>
      <c r="B105" s="38">
        <v>10192.463002002838</v>
      </c>
      <c r="C105" s="38">
        <f t="shared" si="1"/>
        <v>91</v>
      </c>
      <c r="D105" s="38">
        <v>449.51354951043982</v>
      </c>
    </row>
    <row r="106" spans="1:4" x14ac:dyDescent="0.2">
      <c r="A106" s="38">
        <f t="shared" si="1"/>
        <v>92</v>
      </c>
      <c r="B106" s="38">
        <v>16918.077067818489</v>
      </c>
      <c r="C106" s="38">
        <f t="shared" si="1"/>
        <v>92</v>
      </c>
      <c r="D106" s="38">
        <v>400.48519097170907</v>
      </c>
    </row>
    <row r="107" spans="1:4" x14ac:dyDescent="0.2">
      <c r="A107" s="38">
        <f t="shared" si="1"/>
        <v>93</v>
      </c>
      <c r="B107" s="38">
        <v>7219.1347531888578</v>
      </c>
      <c r="C107" s="38">
        <f t="shared" si="1"/>
        <v>93</v>
      </c>
      <c r="D107" s="38">
        <v>346.69701800544817</v>
      </c>
    </row>
    <row r="108" spans="1:4" x14ac:dyDescent="0.2">
      <c r="A108" s="38">
        <f t="shared" si="1"/>
        <v>94</v>
      </c>
      <c r="B108" s="38">
        <v>5972.2311296450971</v>
      </c>
      <c r="C108" s="38">
        <f t="shared" si="1"/>
        <v>94</v>
      </c>
      <c r="D108" s="38">
        <v>396.07354947856857</v>
      </c>
    </row>
    <row r="109" spans="1:4" x14ac:dyDescent="0.2">
      <c r="A109" s="38">
        <f t="shared" si="1"/>
        <v>95</v>
      </c>
      <c r="B109" s="38">
        <v>9992.1741992794214</v>
      </c>
      <c r="C109" s="38">
        <f t="shared" si="1"/>
        <v>95</v>
      </c>
      <c r="D109" s="38">
        <v>301.27362112257163</v>
      </c>
    </row>
    <row r="110" spans="1:4" x14ac:dyDescent="0.2">
      <c r="A110" s="38">
        <f t="shared" si="1"/>
        <v>96</v>
      </c>
      <c r="B110" s="38">
        <v>12350.791929611938</v>
      </c>
      <c r="C110" s="38">
        <f t="shared" si="1"/>
        <v>96</v>
      </c>
      <c r="D110" s="38">
        <v>358.78197935732481</v>
      </c>
    </row>
    <row r="111" spans="1:4" x14ac:dyDescent="0.2">
      <c r="A111" s="38">
        <f t="shared" si="1"/>
        <v>97</v>
      </c>
      <c r="B111" s="38">
        <v>8983.117051766998</v>
      </c>
      <c r="C111" s="38">
        <f t="shared" si="1"/>
        <v>97</v>
      </c>
      <c r="D111" s="38">
        <v>360.84858725038026</v>
      </c>
    </row>
    <row r="112" spans="1:4" x14ac:dyDescent="0.2">
      <c r="A112" s="38">
        <f t="shared" si="1"/>
        <v>98</v>
      </c>
      <c r="B112" s="38">
        <v>9151.239067403023</v>
      </c>
      <c r="C112" s="38">
        <f t="shared" si="1"/>
        <v>98</v>
      </c>
      <c r="D112" s="38">
        <v>324.50977843288871</v>
      </c>
    </row>
    <row r="113" spans="1:4" x14ac:dyDescent="0.2">
      <c r="A113" s="38">
        <f t="shared" si="1"/>
        <v>99</v>
      </c>
      <c r="B113" s="38">
        <v>5213.5634405105857</v>
      </c>
      <c r="C113" s="38">
        <f t="shared" si="1"/>
        <v>99</v>
      </c>
      <c r="D113" s="38">
        <v>372.40075138479006</v>
      </c>
    </row>
    <row r="114" spans="1:4" x14ac:dyDescent="0.2">
      <c r="A114" s="38">
        <f t="shared" si="1"/>
        <v>100</v>
      </c>
      <c r="B114" s="38">
        <v>4175.5263730810584</v>
      </c>
      <c r="C114" s="38">
        <f t="shared" si="1"/>
        <v>100</v>
      </c>
      <c r="D114" s="38">
        <v>388.3389121760332</v>
      </c>
    </row>
    <row r="115" spans="1:4" x14ac:dyDescent="0.2">
      <c r="A115" s="38">
        <f t="shared" si="1"/>
        <v>101</v>
      </c>
      <c r="B115" s="38">
        <v>9372.4904398757426</v>
      </c>
      <c r="C115" s="38">
        <f t="shared" si="1"/>
        <v>101</v>
      </c>
      <c r="D115" s="38">
        <v>365.9805222476071</v>
      </c>
    </row>
    <row r="116" spans="1:4" x14ac:dyDescent="0.2">
      <c r="A116" s="38">
        <f t="shared" si="1"/>
        <v>102</v>
      </c>
      <c r="B116" s="38">
        <v>9847.5767938655208</v>
      </c>
      <c r="C116" s="38">
        <f t="shared" si="1"/>
        <v>102</v>
      </c>
      <c r="D116" s="38">
        <v>395.25487148467244</v>
      </c>
    </row>
    <row r="117" spans="1:4" x14ac:dyDescent="0.2">
      <c r="A117" s="38">
        <f t="shared" si="1"/>
        <v>103</v>
      </c>
      <c r="B117" s="38">
        <v>13072.884737197699</v>
      </c>
      <c r="C117" s="38">
        <f t="shared" si="1"/>
        <v>103</v>
      </c>
      <c r="D117" s="38">
        <v>355.91458471692209</v>
      </c>
    </row>
    <row r="118" spans="1:4" x14ac:dyDescent="0.2">
      <c r="A118" s="38">
        <f t="shared" si="1"/>
        <v>104</v>
      </c>
      <c r="B118" s="38">
        <v>10016.946939693838</v>
      </c>
      <c r="C118" s="38">
        <f t="shared" si="1"/>
        <v>104</v>
      </c>
      <c r="D118" s="38">
        <v>380.79028404584892</v>
      </c>
    </row>
    <row r="119" spans="1:4" x14ac:dyDescent="0.2">
      <c r="A119" s="38">
        <f t="shared" si="1"/>
        <v>105</v>
      </c>
      <c r="B119" s="38">
        <v>7129.7306899664627</v>
      </c>
      <c r="C119" s="38">
        <f t="shared" si="1"/>
        <v>105</v>
      </c>
      <c r="D119" s="38">
        <v>434.93984322505611</v>
      </c>
    </row>
    <row r="120" spans="1:4" x14ac:dyDescent="0.2">
      <c r="A120" s="38">
        <f t="shared" si="1"/>
        <v>106</v>
      </c>
      <c r="B120" s="38">
        <v>4699.8372229298611</v>
      </c>
      <c r="C120" s="38">
        <f t="shared" si="1"/>
        <v>106</v>
      </c>
      <c r="D120" s="38">
        <v>410.0601923812934</v>
      </c>
    </row>
    <row r="121" spans="1:4" x14ac:dyDescent="0.2">
      <c r="A121" s="38">
        <f t="shared" si="1"/>
        <v>107</v>
      </c>
      <c r="B121" s="38">
        <v>5550.716858262037</v>
      </c>
      <c r="C121" s="38">
        <f t="shared" si="1"/>
        <v>107</v>
      </c>
      <c r="D121" s="38">
        <v>408.8292250181608</v>
      </c>
    </row>
    <row r="122" spans="1:4" x14ac:dyDescent="0.2">
      <c r="A122" s="38">
        <f t="shared" si="1"/>
        <v>108</v>
      </c>
      <c r="B122" s="38">
        <v>7758.5023354707746</v>
      </c>
      <c r="C122" s="38">
        <f t="shared" si="1"/>
        <v>108</v>
      </c>
      <c r="D122" s="38">
        <v>353.33383941188367</v>
      </c>
    </row>
    <row r="123" spans="1:4" x14ac:dyDescent="0.2">
      <c r="A123" s="38">
        <f t="shared" si="1"/>
        <v>109</v>
      </c>
      <c r="B123" s="38">
        <v>13228.441335226678</v>
      </c>
      <c r="C123" s="38">
        <f t="shared" si="1"/>
        <v>109</v>
      </c>
      <c r="D123" s="38">
        <v>369.111558879629</v>
      </c>
    </row>
    <row r="124" spans="1:4" x14ac:dyDescent="0.2">
      <c r="A124" s="38">
        <f t="shared" si="1"/>
        <v>110</v>
      </c>
      <c r="B124" s="38">
        <v>6081.6346226642972</v>
      </c>
      <c r="C124" s="38">
        <f t="shared" si="1"/>
        <v>110</v>
      </c>
      <c r="D124" s="38">
        <v>374.25573637003782</v>
      </c>
    </row>
    <row r="125" spans="1:4" x14ac:dyDescent="0.2">
      <c r="A125" s="38">
        <f t="shared" si="1"/>
        <v>111</v>
      </c>
      <c r="B125" s="38">
        <v>5747.2247239533735</v>
      </c>
      <c r="C125" s="38">
        <f t="shared" si="1"/>
        <v>111</v>
      </c>
      <c r="D125" s="38">
        <v>339.29504385298503</v>
      </c>
    </row>
    <row r="126" spans="1:4" x14ac:dyDescent="0.2">
      <c r="A126" s="38">
        <f t="shared" si="1"/>
        <v>112</v>
      </c>
      <c r="B126" s="38">
        <v>11778.985644318649</v>
      </c>
      <c r="C126" s="38">
        <f t="shared" si="1"/>
        <v>112</v>
      </c>
      <c r="D126" s="38">
        <v>342.92405228163705</v>
      </c>
    </row>
    <row r="127" spans="1:4" x14ac:dyDescent="0.2">
      <c r="A127" s="38">
        <f t="shared" si="1"/>
        <v>113</v>
      </c>
      <c r="B127" s="38">
        <v>5254.7266639296777</v>
      </c>
      <c r="C127" s="38">
        <f t="shared" si="1"/>
        <v>113</v>
      </c>
      <c r="D127" s="38">
        <v>403.90677075420842</v>
      </c>
    </row>
    <row r="128" spans="1:4" x14ac:dyDescent="0.2">
      <c r="A128" s="38">
        <f t="shared" si="1"/>
        <v>114</v>
      </c>
      <c r="B128" s="38">
        <v>17881.721902648798</v>
      </c>
      <c r="C128" s="38">
        <f t="shared" si="1"/>
        <v>114</v>
      </c>
      <c r="D128" s="38">
        <v>386.52126594464028</v>
      </c>
    </row>
    <row r="129" spans="1:4" x14ac:dyDescent="0.2">
      <c r="A129" s="38">
        <f t="shared" si="1"/>
        <v>115</v>
      </c>
      <c r="B129" s="38">
        <v>10797.470752020859</v>
      </c>
      <c r="C129" s="38">
        <f t="shared" si="1"/>
        <v>115</v>
      </c>
      <c r="D129" s="38">
        <v>371.42795654808361</v>
      </c>
    </row>
    <row r="130" spans="1:4" x14ac:dyDescent="0.2">
      <c r="A130" s="38">
        <f t="shared" si="1"/>
        <v>116</v>
      </c>
      <c r="B130" s="38">
        <v>11094.544469704599</v>
      </c>
      <c r="C130" s="38">
        <f t="shared" si="1"/>
        <v>116</v>
      </c>
      <c r="D130" s="38">
        <v>409.30205422448915</v>
      </c>
    </row>
    <row r="131" spans="1:4" x14ac:dyDescent="0.2">
      <c r="A131" s="38">
        <f t="shared" si="1"/>
        <v>117</v>
      </c>
      <c r="B131" s="38">
        <v>5165.3592593737749</v>
      </c>
      <c r="C131" s="38">
        <f t="shared" si="1"/>
        <v>117</v>
      </c>
      <c r="D131" s="38">
        <v>288.88345446111038</v>
      </c>
    </row>
    <row r="132" spans="1:4" x14ac:dyDescent="0.2">
      <c r="A132" s="38">
        <f t="shared" si="1"/>
        <v>118</v>
      </c>
      <c r="B132" s="38">
        <v>7983.9215887718119</v>
      </c>
      <c r="C132" s="38">
        <f t="shared" si="1"/>
        <v>118</v>
      </c>
      <c r="D132" s="38">
        <v>358.24790885832954</v>
      </c>
    </row>
    <row r="133" spans="1:4" x14ac:dyDescent="0.2">
      <c r="A133" s="38">
        <f t="shared" si="1"/>
        <v>119</v>
      </c>
      <c r="B133" s="38">
        <v>6396.5185292525402</v>
      </c>
      <c r="C133" s="38">
        <f t="shared" si="1"/>
        <v>119</v>
      </c>
      <c r="D133" s="38">
        <v>442.71151159796182</v>
      </c>
    </row>
    <row r="134" spans="1:4" x14ac:dyDescent="0.2">
      <c r="A134" s="38">
        <f t="shared" si="1"/>
        <v>120</v>
      </c>
      <c r="B134" s="38">
        <v>10815.065372054523</v>
      </c>
      <c r="C134" s="38">
        <f t="shared" si="1"/>
        <v>120</v>
      </c>
      <c r="D134" s="38">
        <v>366.21402849533177</v>
      </c>
    </row>
    <row r="135" spans="1:4" x14ac:dyDescent="0.2">
      <c r="A135" s="38">
        <f t="shared" si="1"/>
        <v>121</v>
      </c>
      <c r="B135" s="38">
        <v>6492.7557330544396</v>
      </c>
      <c r="C135" s="38">
        <f t="shared" si="1"/>
        <v>121</v>
      </c>
      <c r="D135" s="38">
        <v>290.05301374492308</v>
      </c>
    </row>
    <row r="136" spans="1:4" x14ac:dyDescent="0.2">
      <c r="A136" s="38">
        <f t="shared" si="1"/>
        <v>122</v>
      </c>
      <c r="B136" s="38">
        <v>13879.946395743054</v>
      </c>
      <c r="C136" s="38">
        <f t="shared" si="1"/>
        <v>122</v>
      </c>
      <c r="D136" s="38">
        <v>419.46958869374549</v>
      </c>
    </row>
    <row r="137" spans="1:4" x14ac:dyDescent="0.2">
      <c r="A137" s="38">
        <f t="shared" si="1"/>
        <v>123</v>
      </c>
      <c r="B137" s="38">
        <v>4621.458630271768</v>
      </c>
      <c r="C137" s="38">
        <f t="shared" si="1"/>
        <v>123</v>
      </c>
      <c r="D137" s="38">
        <v>339.48561388162142</v>
      </c>
    </row>
    <row r="138" spans="1:4" x14ac:dyDescent="0.2">
      <c r="A138" s="38">
        <f t="shared" si="1"/>
        <v>124</v>
      </c>
      <c r="B138" s="38">
        <v>6199.3605933754925</v>
      </c>
      <c r="C138" s="38">
        <f t="shared" si="1"/>
        <v>124</v>
      </c>
      <c r="D138" s="38">
        <v>372.59049960920879</v>
      </c>
    </row>
    <row r="139" spans="1:4" x14ac:dyDescent="0.2">
      <c r="A139" s="38">
        <f t="shared" si="1"/>
        <v>125</v>
      </c>
      <c r="B139" s="38">
        <v>4362.5505778699689</v>
      </c>
      <c r="C139" s="38">
        <f t="shared" si="1"/>
        <v>125</v>
      </c>
      <c r="D139" s="38">
        <v>354.12139499293056</v>
      </c>
    </row>
    <row r="140" spans="1:4" x14ac:dyDescent="0.2">
      <c r="A140" s="38">
        <f t="shared" si="1"/>
        <v>126</v>
      </c>
      <c r="B140" s="38">
        <v>11222.855699079273</v>
      </c>
      <c r="C140" s="38">
        <f t="shared" si="1"/>
        <v>126</v>
      </c>
      <c r="D140" s="38">
        <v>342.95084910866319</v>
      </c>
    </row>
    <row r="141" spans="1:4" x14ac:dyDescent="0.2">
      <c r="A141" s="38">
        <f t="shared" si="1"/>
        <v>127</v>
      </c>
      <c r="B141" s="38">
        <v>8530.3824332265067</v>
      </c>
      <c r="C141" s="38">
        <f t="shared" si="1"/>
        <v>127</v>
      </c>
      <c r="D141" s="38">
        <v>389.06696482439497</v>
      </c>
    </row>
    <row r="142" spans="1:4" x14ac:dyDescent="0.2">
      <c r="A142" s="38">
        <f t="shared" si="1"/>
        <v>128</v>
      </c>
      <c r="B142" s="38">
        <v>8046.5134680999781</v>
      </c>
      <c r="C142" s="38">
        <f t="shared" si="1"/>
        <v>128</v>
      </c>
      <c r="D142" s="38">
        <v>407.77805963993865</v>
      </c>
    </row>
    <row r="143" spans="1:4" x14ac:dyDescent="0.2">
      <c r="A143" s="38">
        <f t="shared" si="1"/>
        <v>129</v>
      </c>
      <c r="B143" s="38">
        <v>9579.1160340306924</v>
      </c>
      <c r="C143" s="38">
        <f t="shared" si="1"/>
        <v>129</v>
      </c>
      <c r="D143" s="38">
        <v>355.47685975101672</v>
      </c>
    </row>
    <row r="144" spans="1:4" x14ac:dyDescent="0.2">
      <c r="A144" s="38">
        <f t="shared" si="1"/>
        <v>130</v>
      </c>
      <c r="B144" s="38">
        <v>3286.9571128637654</v>
      </c>
      <c r="C144" s="38">
        <f t="shared" si="1"/>
        <v>130</v>
      </c>
      <c r="D144" s="38">
        <v>396.22223029068351</v>
      </c>
    </row>
    <row r="145" spans="1:4" x14ac:dyDescent="0.2">
      <c r="A145" s="38">
        <f t="shared" ref="A145:C208" si="2">A144+1</f>
        <v>131</v>
      </c>
      <c r="B145" s="38">
        <v>5600.8927030895411</v>
      </c>
      <c r="C145" s="38">
        <f t="shared" si="2"/>
        <v>131</v>
      </c>
      <c r="D145" s="38">
        <v>367.61478397633653</v>
      </c>
    </row>
    <row r="146" spans="1:4" x14ac:dyDescent="0.2">
      <c r="A146" s="38">
        <f t="shared" si="2"/>
        <v>132</v>
      </c>
      <c r="B146" s="38">
        <v>10419.255486963522</v>
      </c>
      <c r="C146" s="38">
        <f t="shared" si="2"/>
        <v>132</v>
      </c>
      <c r="D146" s="38">
        <v>297.66595984799619</v>
      </c>
    </row>
    <row r="147" spans="1:4" x14ac:dyDescent="0.2">
      <c r="A147" s="38">
        <f t="shared" si="2"/>
        <v>133</v>
      </c>
      <c r="B147" s="38">
        <v>5399.8212738256534</v>
      </c>
      <c r="C147" s="38">
        <f t="shared" si="2"/>
        <v>133</v>
      </c>
      <c r="D147" s="38">
        <v>381.76677209680378</v>
      </c>
    </row>
    <row r="148" spans="1:4" x14ac:dyDescent="0.2">
      <c r="A148" s="38">
        <f t="shared" si="2"/>
        <v>134</v>
      </c>
      <c r="B148" s="38">
        <v>12481.251876717941</v>
      </c>
      <c r="C148" s="38">
        <f t="shared" si="2"/>
        <v>134</v>
      </c>
      <c r="D148" s="38">
        <v>364.91863566153967</v>
      </c>
    </row>
    <row r="149" spans="1:4" x14ac:dyDescent="0.2">
      <c r="A149" s="38">
        <f t="shared" si="2"/>
        <v>135</v>
      </c>
      <c r="B149" s="38">
        <v>4196.9261500098191</v>
      </c>
      <c r="C149" s="38">
        <f t="shared" si="2"/>
        <v>135</v>
      </c>
      <c r="D149" s="38">
        <v>389.35533631205044</v>
      </c>
    </row>
    <row r="150" spans="1:4" x14ac:dyDescent="0.2">
      <c r="A150" s="38">
        <f t="shared" si="2"/>
        <v>136</v>
      </c>
      <c r="B150" s="38">
        <v>2379.9149124373685</v>
      </c>
      <c r="C150" s="38">
        <f t="shared" si="2"/>
        <v>136</v>
      </c>
      <c r="D150" s="38">
        <v>338.02854719286461</v>
      </c>
    </row>
    <row r="151" spans="1:4" x14ac:dyDescent="0.2">
      <c r="A151" s="38">
        <f t="shared" si="2"/>
        <v>137</v>
      </c>
      <c r="B151" s="38">
        <v>9748.4418886454969</v>
      </c>
      <c r="C151" s="38">
        <f t="shared" si="2"/>
        <v>137</v>
      </c>
      <c r="D151" s="38">
        <v>336.55151141354571</v>
      </c>
    </row>
    <row r="152" spans="1:4" x14ac:dyDescent="0.2">
      <c r="A152" s="38">
        <f t="shared" si="2"/>
        <v>138</v>
      </c>
      <c r="B152" s="38">
        <v>11707.330792611607</v>
      </c>
      <c r="C152" s="38">
        <f t="shared" si="2"/>
        <v>138</v>
      </c>
      <c r="D152" s="38">
        <v>357.69236237252113</v>
      </c>
    </row>
    <row r="153" spans="1:4" x14ac:dyDescent="0.2">
      <c r="A153" s="38">
        <f t="shared" si="2"/>
        <v>139</v>
      </c>
      <c r="B153" s="38">
        <v>9603.9731380046451</v>
      </c>
      <c r="C153" s="38">
        <f t="shared" si="2"/>
        <v>139</v>
      </c>
      <c r="D153" s="38">
        <v>326.48467794833408</v>
      </c>
    </row>
    <row r="154" spans="1:4" x14ac:dyDescent="0.2">
      <c r="A154" s="38">
        <f t="shared" si="2"/>
        <v>140</v>
      </c>
      <c r="B154" s="38">
        <v>6234.3251853164857</v>
      </c>
      <c r="C154" s="38">
        <f t="shared" si="2"/>
        <v>140</v>
      </c>
      <c r="D154" s="38">
        <v>329.84979799200477</v>
      </c>
    </row>
    <row r="155" spans="1:4" x14ac:dyDescent="0.2">
      <c r="A155" s="38">
        <f t="shared" si="2"/>
        <v>141</v>
      </c>
      <c r="B155" s="38">
        <v>7727.0108577857372</v>
      </c>
      <c r="C155" s="38">
        <f t="shared" si="2"/>
        <v>141</v>
      </c>
      <c r="D155" s="38">
        <v>392.27189786733408</v>
      </c>
    </row>
    <row r="156" spans="1:4" x14ac:dyDescent="0.2">
      <c r="A156" s="38">
        <f t="shared" si="2"/>
        <v>142</v>
      </c>
      <c r="B156" s="38">
        <v>4140.7820747224205</v>
      </c>
      <c r="C156" s="38">
        <f t="shared" si="2"/>
        <v>142</v>
      </c>
      <c r="D156" s="38">
        <v>374.96820375656057</v>
      </c>
    </row>
    <row r="157" spans="1:4" x14ac:dyDescent="0.2">
      <c r="A157" s="38">
        <f t="shared" si="2"/>
        <v>143</v>
      </c>
      <c r="B157" s="38">
        <v>10757.93112368927</v>
      </c>
      <c r="C157" s="38">
        <f t="shared" si="2"/>
        <v>143</v>
      </c>
      <c r="D157" s="38">
        <v>340.276463517156</v>
      </c>
    </row>
    <row r="158" spans="1:4" x14ac:dyDescent="0.2">
      <c r="A158" s="38">
        <f t="shared" si="2"/>
        <v>144</v>
      </c>
      <c r="B158" s="38">
        <v>7208.4788279041604</v>
      </c>
      <c r="C158" s="38">
        <f t="shared" si="2"/>
        <v>144</v>
      </c>
      <c r="D158" s="38">
        <v>341.62902582837802</v>
      </c>
    </row>
    <row r="159" spans="1:4" x14ac:dyDescent="0.2">
      <c r="A159" s="38">
        <f t="shared" si="2"/>
        <v>145</v>
      </c>
      <c r="B159" s="38">
        <v>2309.3672044241002</v>
      </c>
      <c r="C159" s="38">
        <f t="shared" si="2"/>
        <v>145</v>
      </c>
      <c r="D159" s="38">
        <v>403.43307667517291</v>
      </c>
    </row>
    <row r="160" spans="1:4" x14ac:dyDescent="0.2">
      <c r="A160" s="38">
        <f t="shared" si="2"/>
        <v>146</v>
      </c>
      <c r="B160" s="38">
        <v>6396.5169440524223</v>
      </c>
      <c r="C160" s="38">
        <f t="shared" si="2"/>
        <v>146</v>
      </c>
      <c r="D160" s="38">
        <v>331.14212057381081</v>
      </c>
    </row>
    <row r="161" spans="1:4" x14ac:dyDescent="0.2">
      <c r="A161" s="38">
        <f t="shared" si="2"/>
        <v>147</v>
      </c>
      <c r="B161" s="38">
        <v>5539.5247610487204</v>
      </c>
      <c r="C161" s="38">
        <f t="shared" si="2"/>
        <v>147</v>
      </c>
      <c r="D161" s="38">
        <v>330.82365254743428</v>
      </c>
    </row>
    <row r="162" spans="1:4" x14ac:dyDescent="0.2">
      <c r="A162" s="38">
        <f t="shared" si="2"/>
        <v>148</v>
      </c>
      <c r="B162" s="38">
        <v>10851.921986989058</v>
      </c>
      <c r="C162" s="38">
        <f t="shared" si="2"/>
        <v>148</v>
      </c>
      <c r="D162" s="38">
        <v>378.30137318737968</v>
      </c>
    </row>
    <row r="163" spans="1:4" x14ac:dyDescent="0.2">
      <c r="A163" s="38">
        <f t="shared" si="2"/>
        <v>149</v>
      </c>
      <c r="B163" s="38">
        <v>9337.8902374330773</v>
      </c>
      <c r="C163" s="38">
        <f t="shared" si="2"/>
        <v>149</v>
      </c>
      <c r="D163" s="38">
        <v>398.49257054212103</v>
      </c>
    </row>
    <row r="164" spans="1:4" x14ac:dyDescent="0.2">
      <c r="A164" s="38">
        <f t="shared" si="2"/>
        <v>150</v>
      </c>
      <c r="B164" s="38">
        <v>5243.0320926511949</v>
      </c>
      <c r="C164" s="38">
        <f t="shared" si="2"/>
        <v>150</v>
      </c>
      <c r="D164" s="38">
        <v>348.79006314280497</v>
      </c>
    </row>
    <row r="165" spans="1:4" x14ac:dyDescent="0.2">
      <c r="A165" s="38">
        <f t="shared" si="2"/>
        <v>151</v>
      </c>
      <c r="B165" s="38">
        <v>8988.2369019702674</v>
      </c>
      <c r="C165" s="38">
        <f t="shared" si="2"/>
        <v>151</v>
      </c>
      <c r="D165" s="38">
        <v>437.43686331685439</v>
      </c>
    </row>
    <row r="166" spans="1:4" x14ac:dyDescent="0.2">
      <c r="A166" s="38">
        <f t="shared" si="2"/>
        <v>152</v>
      </c>
      <c r="B166" s="38">
        <v>9741.2958596648295</v>
      </c>
      <c r="C166" s="38">
        <f t="shared" si="2"/>
        <v>152</v>
      </c>
      <c r="D166" s="38">
        <v>408.95027810931009</v>
      </c>
    </row>
    <row r="167" spans="1:4" x14ac:dyDescent="0.2">
      <c r="A167" s="38">
        <f t="shared" si="2"/>
        <v>153</v>
      </c>
      <c r="B167" s="38">
        <v>11319.406236902349</v>
      </c>
      <c r="C167" s="38">
        <f t="shared" si="2"/>
        <v>153</v>
      </c>
      <c r="D167" s="38">
        <v>321.61456333296411</v>
      </c>
    </row>
    <row r="168" spans="1:4" x14ac:dyDescent="0.2">
      <c r="A168" s="38">
        <f t="shared" si="2"/>
        <v>154</v>
      </c>
      <c r="B168" s="38">
        <v>5628.3260464960267</v>
      </c>
      <c r="C168" s="38">
        <f t="shared" si="2"/>
        <v>154</v>
      </c>
      <c r="D168" s="38">
        <v>332.09560635062707</v>
      </c>
    </row>
    <row r="169" spans="1:4" x14ac:dyDescent="0.2">
      <c r="A169" s="38">
        <f t="shared" si="2"/>
        <v>155</v>
      </c>
      <c r="B169" s="38">
        <v>7405.0355331915871</v>
      </c>
      <c r="C169" s="38">
        <f t="shared" si="2"/>
        <v>155</v>
      </c>
      <c r="D169" s="38">
        <v>327.66266410175729</v>
      </c>
    </row>
    <row r="170" spans="1:4" x14ac:dyDescent="0.2">
      <c r="A170" s="38">
        <f t="shared" si="2"/>
        <v>156</v>
      </c>
      <c r="B170" s="38">
        <v>9516.3115301346334</v>
      </c>
      <c r="C170" s="38">
        <f t="shared" si="2"/>
        <v>156</v>
      </c>
      <c r="D170" s="38">
        <v>448.86023555000179</v>
      </c>
    </row>
    <row r="171" spans="1:4" x14ac:dyDescent="0.2">
      <c r="A171" s="38">
        <f t="shared" si="2"/>
        <v>157</v>
      </c>
      <c r="B171" s="38">
        <v>7887.3081428389141</v>
      </c>
      <c r="C171" s="38">
        <f t="shared" si="2"/>
        <v>157</v>
      </c>
      <c r="D171" s="38">
        <v>344.81835109738807</v>
      </c>
    </row>
    <row r="172" spans="1:4" x14ac:dyDescent="0.2">
      <c r="A172" s="38">
        <f t="shared" si="2"/>
        <v>158</v>
      </c>
      <c r="B172" s="38">
        <v>5787.7481134855252</v>
      </c>
      <c r="C172" s="38">
        <f t="shared" si="2"/>
        <v>158</v>
      </c>
      <c r="D172" s="38">
        <v>395.0331363153</v>
      </c>
    </row>
    <row r="173" spans="1:4" x14ac:dyDescent="0.2">
      <c r="A173" s="38">
        <f t="shared" si="2"/>
        <v>159</v>
      </c>
      <c r="B173" s="38">
        <v>8512.6319681789937</v>
      </c>
      <c r="C173" s="38">
        <f t="shared" si="2"/>
        <v>159</v>
      </c>
      <c r="D173" s="38">
        <v>342.03981179262917</v>
      </c>
    </row>
    <row r="174" spans="1:4" x14ac:dyDescent="0.2">
      <c r="A174" s="38">
        <f t="shared" si="2"/>
        <v>160</v>
      </c>
      <c r="B174" s="38">
        <v>14520.574811666767</v>
      </c>
      <c r="C174" s="38">
        <f t="shared" si="2"/>
        <v>160</v>
      </c>
      <c r="D174" s="38">
        <v>361.73979458230627</v>
      </c>
    </row>
    <row r="175" spans="1:4" x14ac:dyDescent="0.2">
      <c r="A175" s="38">
        <f t="shared" si="2"/>
        <v>161</v>
      </c>
      <c r="B175" s="38">
        <v>5940.2787736417104</v>
      </c>
      <c r="C175" s="38">
        <f t="shared" si="2"/>
        <v>161</v>
      </c>
      <c r="D175" s="38">
        <v>355.04295736448915</v>
      </c>
    </row>
    <row r="176" spans="1:4" x14ac:dyDescent="0.2">
      <c r="A176" s="38">
        <f t="shared" si="2"/>
        <v>162</v>
      </c>
      <c r="B176" s="38">
        <v>7766.9837397753208</v>
      </c>
      <c r="C176" s="38">
        <f t="shared" si="2"/>
        <v>162</v>
      </c>
      <c r="D176" s="38">
        <v>354.03415624520335</v>
      </c>
    </row>
    <row r="177" spans="1:4" x14ac:dyDescent="0.2">
      <c r="A177" s="38">
        <f t="shared" si="2"/>
        <v>163</v>
      </c>
      <c r="B177" s="38">
        <v>14309.9331164344</v>
      </c>
      <c r="C177" s="38">
        <f t="shared" si="2"/>
        <v>163</v>
      </c>
      <c r="D177" s="38">
        <v>333.19381348576496</v>
      </c>
    </row>
    <row r="178" spans="1:4" x14ac:dyDescent="0.2">
      <c r="A178" s="38">
        <f t="shared" si="2"/>
        <v>164</v>
      </c>
      <c r="B178" s="38">
        <v>8203.4568926947868</v>
      </c>
      <c r="C178" s="38">
        <f t="shared" si="2"/>
        <v>164</v>
      </c>
      <c r="D178" s="38">
        <v>315.37439350238844</v>
      </c>
    </row>
    <row r="179" spans="1:4" x14ac:dyDescent="0.2">
      <c r="A179" s="38">
        <f t="shared" si="2"/>
        <v>165</v>
      </c>
      <c r="B179" s="38">
        <v>5733.7437550223685</v>
      </c>
      <c r="C179" s="38">
        <f t="shared" si="2"/>
        <v>165</v>
      </c>
      <c r="D179" s="38">
        <v>337.45752389608725</v>
      </c>
    </row>
    <row r="180" spans="1:4" x14ac:dyDescent="0.2">
      <c r="A180" s="38">
        <f t="shared" si="2"/>
        <v>166</v>
      </c>
      <c r="B180" s="38">
        <v>11990.707080216745</v>
      </c>
      <c r="C180" s="38">
        <f t="shared" si="2"/>
        <v>166</v>
      </c>
      <c r="D180" s="38">
        <v>380.34493988332122</v>
      </c>
    </row>
    <row r="181" spans="1:4" x14ac:dyDescent="0.2">
      <c r="A181" s="38">
        <f t="shared" si="2"/>
        <v>167</v>
      </c>
      <c r="B181" s="38">
        <v>10372.266681709449</v>
      </c>
      <c r="C181" s="38">
        <f t="shared" si="2"/>
        <v>167</v>
      </c>
      <c r="D181" s="38">
        <v>377.49442068144901</v>
      </c>
    </row>
    <row r="182" spans="1:4" x14ac:dyDescent="0.2">
      <c r="A182" s="38">
        <f t="shared" si="2"/>
        <v>168</v>
      </c>
      <c r="B182" s="38">
        <v>4760.7660855507138</v>
      </c>
      <c r="C182" s="38">
        <f t="shared" si="2"/>
        <v>168</v>
      </c>
      <c r="D182" s="38">
        <v>347.76075610372561</v>
      </c>
    </row>
    <row r="183" spans="1:4" x14ac:dyDescent="0.2">
      <c r="A183" s="38">
        <f t="shared" si="2"/>
        <v>169</v>
      </c>
      <c r="B183" s="38">
        <v>5853.4232274404976</v>
      </c>
      <c r="C183" s="38">
        <f t="shared" si="2"/>
        <v>169</v>
      </c>
      <c r="D183" s="38">
        <v>365.44155199993304</v>
      </c>
    </row>
    <row r="184" spans="1:4" x14ac:dyDescent="0.2">
      <c r="A184" s="38">
        <f t="shared" si="2"/>
        <v>170</v>
      </c>
      <c r="B184" s="38">
        <v>13549.765734559678</v>
      </c>
      <c r="C184" s="38">
        <f t="shared" si="2"/>
        <v>170</v>
      </c>
      <c r="D184" s="38">
        <v>318.20600997314324</v>
      </c>
    </row>
    <row r="185" spans="1:4" x14ac:dyDescent="0.2">
      <c r="A185" s="38">
        <f t="shared" si="2"/>
        <v>171</v>
      </c>
      <c r="B185" s="38">
        <v>16348.032703895022</v>
      </c>
      <c r="C185" s="38">
        <f t="shared" si="2"/>
        <v>171</v>
      </c>
      <c r="D185" s="38">
        <v>402.75736771503978</v>
      </c>
    </row>
    <row r="186" spans="1:4" x14ac:dyDescent="0.2">
      <c r="A186" s="38">
        <f t="shared" si="2"/>
        <v>172</v>
      </c>
      <c r="B186" s="38">
        <v>4701.1546788857522</v>
      </c>
      <c r="C186" s="38">
        <f t="shared" si="2"/>
        <v>172</v>
      </c>
      <c r="D186" s="38">
        <v>409.81806392407265</v>
      </c>
    </row>
    <row r="187" spans="1:4" x14ac:dyDescent="0.2">
      <c r="A187" s="38">
        <f t="shared" si="2"/>
        <v>173</v>
      </c>
      <c r="B187" s="38">
        <v>3778.9450278960235</v>
      </c>
      <c r="C187" s="38">
        <f t="shared" si="2"/>
        <v>173</v>
      </c>
      <c r="D187" s="38">
        <v>332.47037968710259</v>
      </c>
    </row>
    <row r="188" spans="1:4" x14ac:dyDescent="0.2">
      <c r="A188" s="38">
        <f t="shared" si="2"/>
        <v>174</v>
      </c>
      <c r="B188" s="38">
        <v>6699.111612883532</v>
      </c>
      <c r="C188" s="38">
        <f t="shared" si="2"/>
        <v>174</v>
      </c>
      <c r="D188" s="38">
        <v>345.89966227895587</v>
      </c>
    </row>
    <row r="189" spans="1:4" x14ac:dyDescent="0.2">
      <c r="A189" s="38">
        <f t="shared" si="2"/>
        <v>175</v>
      </c>
      <c r="B189" s="38">
        <v>4050.3813137714023</v>
      </c>
      <c r="C189" s="38">
        <f t="shared" si="2"/>
        <v>175</v>
      </c>
      <c r="D189" s="38">
        <v>378.7107631205435</v>
      </c>
    </row>
    <row r="190" spans="1:4" x14ac:dyDescent="0.2">
      <c r="A190" s="38">
        <f t="shared" si="2"/>
        <v>176</v>
      </c>
      <c r="B190" s="38">
        <v>4427.2222576031108</v>
      </c>
      <c r="C190" s="38">
        <f t="shared" si="2"/>
        <v>176</v>
      </c>
      <c r="D190" s="38">
        <v>312.08587559479531</v>
      </c>
    </row>
    <row r="191" spans="1:4" x14ac:dyDescent="0.2">
      <c r="A191" s="38">
        <f t="shared" si="2"/>
        <v>177</v>
      </c>
      <c r="B191" s="38">
        <v>5340.1094639764797</v>
      </c>
      <c r="C191" s="38">
        <f t="shared" si="2"/>
        <v>177</v>
      </c>
      <c r="D191" s="38">
        <v>375.73032629014585</v>
      </c>
    </row>
    <row r="192" spans="1:4" x14ac:dyDescent="0.2">
      <c r="A192" s="38">
        <f t="shared" si="2"/>
        <v>178</v>
      </c>
      <c r="B192" s="38">
        <v>11484.002456829088</v>
      </c>
      <c r="C192" s="38">
        <f t="shared" si="2"/>
        <v>178</v>
      </c>
      <c r="D192" s="38">
        <v>373.05041738811303</v>
      </c>
    </row>
    <row r="193" spans="1:4" x14ac:dyDescent="0.2">
      <c r="A193" s="38">
        <f t="shared" si="2"/>
        <v>179</v>
      </c>
      <c r="B193" s="38">
        <v>8953.6621378073578</v>
      </c>
      <c r="C193" s="38">
        <f t="shared" si="2"/>
        <v>179</v>
      </c>
      <c r="D193" s="38">
        <v>419.81307015908163</v>
      </c>
    </row>
    <row r="194" spans="1:4" x14ac:dyDescent="0.2">
      <c r="A194" s="38">
        <f t="shared" si="2"/>
        <v>180</v>
      </c>
      <c r="B194" s="38">
        <v>7151.3082305687831</v>
      </c>
      <c r="C194" s="38">
        <f t="shared" si="2"/>
        <v>180</v>
      </c>
      <c r="D194" s="38">
        <v>316.34462221010932</v>
      </c>
    </row>
    <row r="195" spans="1:4" x14ac:dyDescent="0.2">
      <c r="A195" s="38">
        <f t="shared" si="2"/>
        <v>181</v>
      </c>
      <c r="B195" s="38">
        <v>4283.7284823997152</v>
      </c>
      <c r="C195" s="38">
        <f t="shared" si="2"/>
        <v>181</v>
      </c>
      <c r="D195" s="38">
        <v>318.41583564740836</v>
      </c>
    </row>
    <row r="196" spans="1:4" x14ac:dyDescent="0.2">
      <c r="A196" s="38">
        <f t="shared" si="2"/>
        <v>182</v>
      </c>
      <c r="B196" s="38">
        <v>10038.655234986285</v>
      </c>
      <c r="C196" s="38">
        <f t="shared" si="2"/>
        <v>182</v>
      </c>
      <c r="D196" s="38">
        <v>322.23684123287637</v>
      </c>
    </row>
    <row r="197" spans="1:4" x14ac:dyDescent="0.2">
      <c r="A197" s="38">
        <f t="shared" si="2"/>
        <v>183</v>
      </c>
      <c r="B197" s="38">
        <v>7952.2474581557726</v>
      </c>
      <c r="C197" s="38">
        <f t="shared" si="2"/>
        <v>183</v>
      </c>
      <c r="D197" s="38">
        <v>385.84146281641193</v>
      </c>
    </row>
    <row r="198" spans="1:4" x14ac:dyDescent="0.2">
      <c r="A198" s="38">
        <f t="shared" si="2"/>
        <v>184</v>
      </c>
      <c r="B198" s="38">
        <v>7501.162162955985</v>
      </c>
      <c r="C198" s="38">
        <f t="shared" si="2"/>
        <v>184</v>
      </c>
      <c r="D198" s="38">
        <v>350.64152650232887</v>
      </c>
    </row>
    <row r="199" spans="1:4" x14ac:dyDescent="0.2">
      <c r="A199" s="38">
        <f t="shared" si="2"/>
        <v>185</v>
      </c>
      <c r="B199" s="38">
        <v>5617.916165376806</v>
      </c>
      <c r="C199" s="38">
        <f t="shared" si="2"/>
        <v>185</v>
      </c>
      <c r="D199" s="38">
        <v>314.74554862509501</v>
      </c>
    </row>
    <row r="200" spans="1:4" x14ac:dyDescent="0.2">
      <c r="A200" s="38">
        <f t="shared" si="2"/>
        <v>186</v>
      </c>
      <c r="B200" s="38">
        <v>7729.0339285549189</v>
      </c>
      <c r="C200" s="38">
        <f t="shared" si="2"/>
        <v>186</v>
      </c>
      <c r="D200" s="38">
        <v>310.48682015180378</v>
      </c>
    </row>
    <row r="201" spans="1:4" x14ac:dyDescent="0.2">
      <c r="A201" s="38">
        <f t="shared" si="2"/>
        <v>187</v>
      </c>
      <c r="B201" s="38">
        <v>7917.5921323713192</v>
      </c>
      <c r="C201" s="38">
        <f t="shared" si="2"/>
        <v>187</v>
      </c>
      <c r="D201" s="38">
        <v>327.49143460583696</v>
      </c>
    </row>
    <row r="202" spans="1:4" x14ac:dyDescent="0.2">
      <c r="A202" s="38">
        <f t="shared" si="2"/>
        <v>188</v>
      </c>
      <c r="B202" s="38">
        <v>5198.2985754879219</v>
      </c>
      <c r="C202" s="38">
        <f t="shared" si="2"/>
        <v>188</v>
      </c>
      <c r="D202" s="38">
        <v>355.8809700255128</v>
      </c>
    </row>
    <row r="203" spans="1:4" x14ac:dyDescent="0.2">
      <c r="A203" s="38">
        <f t="shared" si="2"/>
        <v>189</v>
      </c>
      <c r="B203" s="38">
        <v>7042.5043857219653</v>
      </c>
      <c r="C203" s="38">
        <f t="shared" si="2"/>
        <v>189</v>
      </c>
      <c r="D203" s="38">
        <v>342.28312692112439</v>
      </c>
    </row>
    <row r="204" spans="1:4" x14ac:dyDescent="0.2">
      <c r="A204" s="38">
        <f t="shared" si="2"/>
        <v>190</v>
      </c>
      <c r="B204" s="38">
        <v>13532.701691215785</v>
      </c>
      <c r="C204" s="38">
        <f t="shared" si="2"/>
        <v>190</v>
      </c>
      <c r="D204" s="38">
        <v>374.61876782180542</v>
      </c>
    </row>
    <row r="205" spans="1:4" x14ac:dyDescent="0.2">
      <c r="A205" s="38">
        <f t="shared" si="2"/>
        <v>191</v>
      </c>
      <c r="B205" s="38">
        <v>7864.0397709264171</v>
      </c>
      <c r="C205" s="38">
        <f t="shared" si="2"/>
        <v>191</v>
      </c>
      <c r="D205" s="38">
        <v>315.29733298030482</v>
      </c>
    </row>
    <row r="206" spans="1:4" x14ac:dyDescent="0.2">
      <c r="A206" s="38">
        <f t="shared" si="2"/>
        <v>192</v>
      </c>
      <c r="B206" s="38">
        <v>2578.4770996263901</v>
      </c>
      <c r="C206" s="38">
        <f t="shared" si="2"/>
        <v>192</v>
      </c>
      <c r="D206" s="38">
        <v>363.12062574109046</v>
      </c>
    </row>
    <row r="207" spans="1:4" x14ac:dyDescent="0.2">
      <c r="A207" s="38">
        <f t="shared" si="2"/>
        <v>193</v>
      </c>
      <c r="B207" s="38">
        <v>11613.673817287803</v>
      </c>
      <c r="C207" s="38">
        <f t="shared" si="2"/>
        <v>193</v>
      </c>
      <c r="D207" s="38">
        <v>339.75942913871313</v>
      </c>
    </row>
    <row r="208" spans="1:4" x14ac:dyDescent="0.2">
      <c r="A208" s="38">
        <f t="shared" si="2"/>
        <v>194</v>
      </c>
      <c r="B208" s="38">
        <v>7469.071046292971</v>
      </c>
      <c r="C208" s="38">
        <f t="shared" si="2"/>
        <v>194</v>
      </c>
      <c r="D208" s="38">
        <v>329.31961702834019</v>
      </c>
    </row>
    <row r="209" spans="1:4" x14ac:dyDescent="0.2">
      <c r="A209" s="38">
        <f t="shared" ref="A209:C215" si="3">A208+1</f>
        <v>195</v>
      </c>
      <c r="B209" s="38">
        <v>8431.0953541761392</v>
      </c>
      <c r="C209" s="38">
        <f t="shared" si="3"/>
        <v>195</v>
      </c>
      <c r="D209" s="38">
        <v>373.049454794768</v>
      </c>
    </row>
    <row r="210" spans="1:4" x14ac:dyDescent="0.2">
      <c r="A210" s="38">
        <f t="shared" si="3"/>
        <v>196</v>
      </c>
      <c r="B210" s="38">
        <v>9498.5386093511825</v>
      </c>
      <c r="C210" s="38">
        <f t="shared" si="3"/>
        <v>196</v>
      </c>
      <c r="D210" s="38">
        <v>333.1608446412464</v>
      </c>
    </row>
    <row r="211" spans="1:4" x14ac:dyDescent="0.2">
      <c r="A211" s="38">
        <f t="shared" si="3"/>
        <v>197</v>
      </c>
      <c r="B211" s="38">
        <v>6781.0650220202715</v>
      </c>
      <c r="C211" s="38">
        <f t="shared" si="3"/>
        <v>197</v>
      </c>
      <c r="D211" s="38">
        <v>359.63182254679396</v>
      </c>
    </row>
    <row r="212" spans="1:4" x14ac:dyDescent="0.2">
      <c r="A212" s="38">
        <f t="shared" si="3"/>
        <v>198</v>
      </c>
      <c r="B212" s="38">
        <v>10626.991455059711</v>
      </c>
      <c r="C212" s="38">
        <f t="shared" si="3"/>
        <v>198</v>
      </c>
      <c r="D212" s="38">
        <v>422.47425843615036</v>
      </c>
    </row>
    <row r="213" spans="1:4" x14ac:dyDescent="0.2">
      <c r="A213" s="38">
        <f t="shared" si="3"/>
        <v>199</v>
      </c>
      <c r="B213" s="38">
        <v>5905.2222081109876</v>
      </c>
      <c r="C213" s="38">
        <f t="shared" si="3"/>
        <v>199</v>
      </c>
      <c r="D213" s="38">
        <v>341.9327676554484</v>
      </c>
    </row>
    <row r="214" spans="1:4" x14ac:dyDescent="0.2">
      <c r="A214" s="38">
        <f t="shared" si="3"/>
        <v>200</v>
      </c>
      <c r="B214" s="38">
        <v>5333.8213074257847</v>
      </c>
      <c r="C214" s="38">
        <f t="shared" si="3"/>
        <v>200</v>
      </c>
      <c r="D214" s="38">
        <v>334.10189623063229</v>
      </c>
    </row>
    <row r="215" spans="1:4" x14ac:dyDescent="0.2">
      <c r="A215" s="38">
        <f t="shared" si="3"/>
        <v>201</v>
      </c>
      <c r="B215" s="38">
        <v>1840.774942167463</v>
      </c>
      <c r="C215" s="38">
        <f t="shared" si="3"/>
        <v>201</v>
      </c>
      <c r="D215" s="38">
        <v>378.79429619808587</v>
      </c>
    </row>
    <row r="216" spans="1:4" x14ac:dyDescent="0.2">
      <c r="A216" s="38">
        <f t="shared" ref="A216:C279" si="4">A215+1</f>
        <v>202</v>
      </c>
      <c r="B216" s="38">
        <v>1251.050557175239</v>
      </c>
      <c r="C216" s="38">
        <f t="shared" si="4"/>
        <v>202</v>
      </c>
      <c r="D216" s="38">
        <v>331.39670609603689</v>
      </c>
    </row>
    <row r="217" spans="1:4" x14ac:dyDescent="0.2">
      <c r="A217" s="38">
        <f t="shared" si="4"/>
        <v>203</v>
      </c>
      <c r="B217" s="38">
        <v>9705.0137277628291</v>
      </c>
      <c r="C217" s="38">
        <f t="shared" si="4"/>
        <v>203</v>
      </c>
      <c r="D217" s="38">
        <v>355.11124957765378</v>
      </c>
    </row>
    <row r="218" spans="1:4" x14ac:dyDescent="0.2">
      <c r="A218" s="38">
        <f t="shared" si="4"/>
        <v>204</v>
      </c>
      <c r="B218" s="38">
        <v>7645.6117026806951</v>
      </c>
      <c r="C218" s="38">
        <f t="shared" si="4"/>
        <v>204</v>
      </c>
      <c r="D218" s="38">
        <v>389.34945745720233</v>
      </c>
    </row>
    <row r="219" spans="1:4" x14ac:dyDescent="0.2">
      <c r="A219" s="38">
        <f t="shared" si="4"/>
        <v>205</v>
      </c>
      <c r="B219" s="38">
        <v>2571.596393080169</v>
      </c>
      <c r="C219" s="38">
        <f t="shared" si="4"/>
        <v>205</v>
      </c>
      <c r="D219" s="38">
        <v>427.17604829008792</v>
      </c>
    </row>
    <row r="220" spans="1:4" x14ac:dyDescent="0.2">
      <c r="A220" s="38">
        <f t="shared" si="4"/>
        <v>206</v>
      </c>
      <c r="B220" s="38">
        <v>13381.983035836971</v>
      </c>
      <c r="C220" s="38">
        <f t="shared" si="4"/>
        <v>206</v>
      </c>
      <c r="D220" s="38">
        <v>483.70670140339439</v>
      </c>
    </row>
    <row r="221" spans="1:4" x14ac:dyDescent="0.2">
      <c r="A221" s="38">
        <f t="shared" si="4"/>
        <v>207</v>
      </c>
      <c r="B221" s="38">
        <v>8861.6387468312951</v>
      </c>
      <c r="C221" s="38">
        <f t="shared" si="4"/>
        <v>207</v>
      </c>
      <c r="D221" s="38">
        <v>284.25174312623443</v>
      </c>
    </row>
    <row r="222" spans="1:4" x14ac:dyDescent="0.2">
      <c r="A222" s="38">
        <f t="shared" si="4"/>
        <v>208</v>
      </c>
      <c r="B222" s="38">
        <v>6391.8973494805841</v>
      </c>
      <c r="C222" s="38">
        <f t="shared" si="4"/>
        <v>208</v>
      </c>
      <c r="D222" s="38">
        <v>379.68889939062103</v>
      </c>
    </row>
    <row r="223" spans="1:4" x14ac:dyDescent="0.2">
      <c r="A223" s="38">
        <f t="shared" si="4"/>
        <v>209</v>
      </c>
      <c r="B223" s="38">
        <v>9726.6131705140597</v>
      </c>
      <c r="C223" s="38">
        <f t="shared" si="4"/>
        <v>209</v>
      </c>
      <c r="D223" s="38">
        <v>298.78534825664372</v>
      </c>
    </row>
    <row r="224" spans="1:4" x14ac:dyDescent="0.2">
      <c r="A224" s="38">
        <f t="shared" si="4"/>
        <v>210</v>
      </c>
      <c r="B224" s="38">
        <v>7011.145272490503</v>
      </c>
      <c r="C224" s="38">
        <f t="shared" si="4"/>
        <v>210</v>
      </c>
      <c r="D224" s="38">
        <v>294.84508352438337</v>
      </c>
    </row>
    <row r="225" spans="1:4" x14ac:dyDescent="0.2">
      <c r="A225" s="38">
        <f t="shared" si="4"/>
        <v>211</v>
      </c>
      <c r="B225" s="38">
        <v>3246.9306004563796</v>
      </c>
      <c r="C225" s="38">
        <f t="shared" si="4"/>
        <v>211</v>
      </c>
      <c r="D225" s="38">
        <v>448.14584454048514</v>
      </c>
    </row>
    <row r="226" spans="1:4" x14ac:dyDescent="0.2">
      <c r="A226" s="38">
        <f t="shared" si="4"/>
        <v>212</v>
      </c>
      <c r="B226" s="38">
        <v>13508.078120173395</v>
      </c>
      <c r="C226" s="38">
        <f t="shared" si="4"/>
        <v>212</v>
      </c>
      <c r="D226" s="38">
        <v>391.96470662680906</v>
      </c>
    </row>
    <row r="227" spans="1:4" x14ac:dyDescent="0.2">
      <c r="A227" s="38">
        <f t="shared" si="4"/>
        <v>213</v>
      </c>
      <c r="B227" s="38">
        <v>2108.1206614127814</v>
      </c>
      <c r="C227" s="38">
        <f t="shared" si="4"/>
        <v>213</v>
      </c>
      <c r="D227" s="38">
        <v>401.76058264472073</v>
      </c>
    </row>
    <row r="228" spans="1:4" x14ac:dyDescent="0.2">
      <c r="A228" s="38">
        <f t="shared" si="4"/>
        <v>214</v>
      </c>
      <c r="B228" s="38">
        <v>2293.504929449658</v>
      </c>
      <c r="C228" s="38">
        <f t="shared" si="4"/>
        <v>214</v>
      </c>
      <c r="D228" s="38">
        <v>398.49958550056584</v>
      </c>
    </row>
    <row r="229" spans="1:4" x14ac:dyDescent="0.2">
      <c r="A229" s="38">
        <f t="shared" si="4"/>
        <v>215</v>
      </c>
      <c r="B229" s="38">
        <v>6538.2718163381141</v>
      </c>
      <c r="C229" s="38">
        <f t="shared" si="4"/>
        <v>215</v>
      </c>
      <c r="D229" s="38">
        <v>376.30162932953493</v>
      </c>
    </row>
    <row r="230" spans="1:4" x14ac:dyDescent="0.2">
      <c r="A230" s="38">
        <f t="shared" si="4"/>
        <v>216</v>
      </c>
      <c r="B230" s="38">
        <v>5207.108009158972</v>
      </c>
      <c r="C230" s="38">
        <f t="shared" si="4"/>
        <v>216</v>
      </c>
      <c r="D230" s="38">
        <v>358.95561641925315</v>
      </c>
    </row>
    <row r="231" spans="1:4" x14ac:dyDescent="0.2">
      <c r="A231" s="38">
        <f t="shared" si="4"/>
        <v>217</v>
      </c>
      <c r="B231" s="38">
        <v>8111.3512315227035</v>
      </c>
      <c r="C231" s="38">
        <f t="shared" si="4"/>
        <v>217</v>
      </c>
      <c r="D231" s="38">
        <v>373.09828891353476</v>
      </c>
    </row>
    <row r="232" spans="1:4" x14ac:dyDescent="0.2">
      <c r="A232" s="38">
        <f t="shared" si="4"/>
        <v>218</v>
      </c>
      <c r="B232" s="38">
        <v>4533.2622991261796</v>
      </c>
      <c r="C232" s="38">
        <f t="shared" si="4"/>
        <v>218</v>
      </c>
      <c r="D232" s="38">
        <v>409.76062627836745</v>
      </c>
    </row>
    <row r="233" spans="1:4" x14ac:dyDescent="0.2">
      <c r="A233" s="38">
        <f t="shared" si="4"/>
        <v>219</v>
      </c>
      <c r="B233" s="38">
        <v>5059.1682289673854</v>
      </c>
      <c r="C233" s="38">
        <f t="shared" si="4"/>
        <v>219</v>
      </c>
      <c r="D233" s="38">
        <v>356.01288244101943</v>
      </c>
    </row>
    <row r="234" spans="1:4" x14ac:dyDescent="0.2">
      <c r="A234" s="38">
        <f t="shared" si="4"/>
        <v>220</v>
      </c>
      <c r="B234" s="38">
        <v>9196.786431126262</v>
      </c>
      <c r="C234" s="38">
        <f t="shared" si="4"/>
        <v>220</v>
      </c>
      <c r="D234" s="38">
        <v>346.56627731596654</v>
      </c>
    </row>
    <row r="235" spans="1:4" x14ac:dyDescent="0.2">
      <c r="A235" s="38">
        <f t="shared" si="4"/>
        <v>221</v>
      </c>
      <c r="B235" s="38">
        <v>9327.5237304145339</v>
      </c>
      <c r="C235" s="38">
        <f t="shared" si="4"/>
        <v>221</v>
      </c>
      <c r="D235" s="38">
        <v>335.74203521559815</v>
      </c>
    </row>
    <row r="236" spans="1:4" x14ac:dyDescent="0.2">
      <c r="A236" s="38">
        <f t="shared" si="4"/>
        <v>222</v>
      </c>
      <c r="B236" s="38">
        <v>10192.234070073877</v>
      </c>
      <c r="C236" s="38">
        <f t="shared" si="4"/>
        <v>222</v>
      </c>
      <c r="D236" s="38">
        <v>397.1201030497669</v>
      </c>
    </row>
    <row r="237" spans="1:4" x14ac:dyDescent="0.2">
      <c r="A237" s="38">
        <f t="shared" si="4"/>
        <v>223</v>
      </c>
      <c r="B237" s="38">
        <v>4092.9979104671361</v>
      </c>
      <c r="C237" s="38">
        <f t="shared" si="4"/>
        <v>223</v>
      </c>
      <c r="D237" s="38">
        <v>358.68545042483049</v>
      </c>
    </row>
    <row r="238" spans="1:4" x14ac:dyDescent="0.2">
      <c r="A238" s="38">
        <f t="shared" si="4"/>
        <v>224</v>
      </c>
      <c r="B238" s="38">
        <v>14556.460552572398</v>
      </c>
      <c r="C238" s="38">
        <f t="shared" si="4"/>
        <v>224</v>
      </c>
      <c r="D238" s="38">
        <v>432.32103092838378</v>
      </c>
    </row>
    <row r="239" spans="1:4" x14ac:dyDescent="0.2">
      <c r="A239" s="38">
        <f t="shared" si="4"/>
        <v>225</v>
      </c>
      <c r="B239" s="38">
        <v>10454.999104777946</v>
      </c>
      <c r="C239" s="38">
        <f t="shared" si="4"/>
        <v>225</v>
      </c>
      <c r="D239" s="38">
        <v>375.75366721797667</v>
      </c>
    </row>
    <row r="240" spans="1:4" x14ac:dyDescent="0.2">
      <c r="A240" s="38">
        <f t="shared" si="4"/>
        <v>226</v>
      </c>
      <c r="B240" s="38">
        <v>15060.909339222984</v>
      </c>
      <c r="C240" s="38">
        <f t="shared" si="4"/>
        <v>226</v>
      </c>
      <c r="D240" s="38">
        <v>371.22931249726088</v>
      </c>
    </row>
    <row r="241" spans="1:4" x14ac:dyDescent="0.2">
      <c r="A241" s="38">
        <f t="shared" si="4"/>
        <v>227</v>
      </c>
      <c r="B241" s="38">
        <v>11712.777528120476</v>
      </c>
      <c r="C241" s="38">
        <f t="shared" si="4"/>
        <v>227</v>
      </c>
      <c r="D241" s="38">
        <v>334.77347580639594</v>
      </c>
    </row>
    <row r="242" spans="1:4" x14ac:dyDescent="0.2">
      <c r="A242" s="38">
        <f t="shared" si="4"/>
        <v>228</v>
      </c>
      <c r="B242" s="38">
        <v>5196.9778023555937</v>
      </c>
      <c r="C242" s="38">
        <f t="shared" si="4"/>
        <v>228</v>
      </c>
      <c r="D242" s="38">
        <v>416.84404220086105</v>
      </c>
    </row>
    <row r="243" spans="1:4" x14ac:dyDescent="0.2">
      <c r="A243" s="38">
        <f t="shared" si="4"/>
        <v>229</v>
      </c>
      <c r="B243" s="38">
        <v>7651.4412598374465</v>
      </c>
      <c r="C243" s="38">
        <f t="shared" si="4"/>
        <v>229</v>
      </c>
      <c r="D243" s="38">
        <v>434.31616812924381</v>
      </c>
    </row>
    <row r="244" spans="1:4" x14ac:dyDescent="0.2">
      <c r="A244" s="38">
        <f t="shared" si="4"/>
        <v>230</v>
      </c>
      <c r="B244" s="38">
        <v>9233.9273604982973</v>
      </c>
      <c r="C244" s="38">
        <f t="shared" si="4"/>
        <v>230</v>
      </c>
      <c r="D244" s="38">
        <v>341.74718376782948</v>
      </c>
    </row>
    <row r="245" spans="1:4" x14ac:dyDescent="0.2">
      <c r="A245" s="38">
        <f t="shared" si="4"/>
        <v>231</v>
      </c>
      <c r="B245" s="38">
        <v>12249.453236389583</v>
      </c>
      <c r="C245" s="38">
        <f t="shared" si="4"/>
        <v>231</v>
      </c>
      <c r="D245" s="38">
        <v>362.45659919688507</v>
      </c>
    </row>
    <row r="246" spans="1:4" x14ac:dyDescent="0.2">
      <c r="A246" s="38">
        <f t="shared" si="4"/>
        <v>232</v>
      </c>
      <c r="B246" s="38">
        <v>7538.0357214313181</v>
      </c>
      <c r="C246" s="38">
        <f t="shared" si="4"/>
        <v>232</v>
      </c>
      <c r="D246" s="38">
        <v>373.60433987740271</v>
      </c>
    </row>
    <row r="247" spans="1:4" x14ac:dyDescent="0.2">
      <c r="A247" s="38">
        <f t="shared" si="4"/>
        <v>233</v>
      </c>
      <c r="B247" s="38">
        <v>9155.7909776802935</v>
      </c>
      <c r="C247" s="38">
        <f t="shared" si="4"/>
        <v>233</v>
      </c>
      <c r="D247" s="38">
        <v>378.15854951828106</v>
      </c>
    </row>
    <row r="248" spans="1:4" x14ac:dyDescent="0.2">
      <c r="A248" s="38">
        <f t="shared" si="4"/>
        <v>234</v>
      </c>
      <c r="B248" s="38">
        <v>8171.2565549266783</v>
      </c>
      <c r="C248" s="38">
        <f t="shared" si="4"/>
        <v>234</v>
      </c>
      <c r="D248" s="38">
        <v>311.96517231367466</v>
      </c>
    </row>
    <row r="249" spans="1:4" x14ac:dyDescent="0.2">
      <c r="A249" s="38">
        <f t="shared" si="4"/>
        <v>235</v>
      </c>
      <c r="B249" s="38">
        <v>7925.9581802584989</v>
      </c>
      <c r="C249" s="38">
        <f t="shared" si="4"/>
        <v>235</v>
      </c>
      <c r="D249" s="38">
        <v>282.49025904279176</v>
      </c>
    </row>
    <row r="250" spans="1:4" x14ac:dyDescent="0.2">
      <c r="A250" s="38">
        <f t="shared" si="4"/>
        <v>236</v>
      </c>
      <c r="B250" s="38">
        <v>7317.8043534017752</v>
      </c>
      <c r="C250" s="38">
        <f t="shared" si="4"/>
        <v>236</v>
      </c>
      <c r="D250" s="38">
        <v>344.19575180618835</v>
      </c>
    </row>
    <row r="251" spans="1:4" x14ac:dyDescent="0.2">
      <c r="A251" s="38">
        <f t="shared" si="4"/>
        <v>237</v>
      </c>
      <c r="B251" s="38">
        <v>4882.0521539413403</v>
      </c>
      <c r="C251" s="38">
        <f t="shared" si="4"/>
        <v>237</v>
      </c>
      <c r="D251" s="38">
        <v>361.19486704878739</v>
      </c>
    </row>
    <row r="252" spans="1:4" x14ac:dyDescent="0.2">
      <c r="A252" s="38">
        <f t="shared" si="4"/>
        <v>238</v>
      </c>
      <c r="B252" s="38">
        <v>6931.0065302652201</v>
      </c>
      <c r="C252" s="38">
        <f t="shared" si="4"/>
        <v>238</v>
      </c>
      <c r="D252" s="38">
        <v>368.13894633840619</v>
      </c>
    </row>
    <row r="253" spans="1:4" x14ac:dyDescent="0.2">
      <c r="A253" s="38">
        <f t="shared" si="4"/>
        <v>239</v>
      </c>
      <c r="B253" s="38">
        <v>5450.3117460154863</v>
      </c>
      <c r="C253" s="38">
        <f t="shared" si="4"/>
        <v>239</v>
      </c>
      <c r="D253" s="38">
        <v>311.8654821641864</v>
      </c>
    </row>
    <row r="254" spans="1:4" x14ac:dyDescent="0.2">
      <c r="A254" s="38">
        <f t="shared" si="4"/>
        <v>240</v>
      </c>
      <c r="B254" s="38">
        <v>5621.9516941209986</v>
      </c>
      <c r="C254" s="38">
        <f t="shared" si="4"/>
        <v>240</v>
      </c>
      <c r="D254" s="38">
        <v>339.39502899263607</v>
      </c>
    </row>
    <row r="255" spans="1:4" x14ac:dyDescent="0.2">
      <c r="A255" s="38">
        <f t="shared" si="4"/>
        <v>241</v>
      </c>
      <c r="B255" s="38">
        <v>12352.538996717793</v>
      </c>
      <c r="C255" s="38">
        <f t="shared" si="4"/>
        <v>241</v>
      </c>
      <c r="D255" s="38">
        <v>345.19485785084282</v>
      </c>
    </row>
    <row r="256" spans="1:4" x14ac:dyDescent="0.2">
      <c r="A256" s="38">
        <f t="shared" si="4"/>
        <v>242</v>
      </c>
      <c r="B256" s="38">
        <v>11887.579267092919</v>
      </c>
      <c r="C256" s="38">
        <f t="shared" si="4"/>
        <v>242</v>
      </c>
      <c r="D256" s="38">
        <v>374.12937484431939</v>
      </c>
    </row>
    <row r="257" spans="1:4" x14ac:dyDescent="0.2">
      <c r="A257" s="38">
        <f t="shared" si="4"/>
        <v>243</v>
      </c>
      <c r="B257" s="38">
        <v>11732.51431045645</v>
      </c>
      <c r="C257" s="38">
        <f t="shared" si="4"/>
        <v>243</v>
      </c>
      <c r="D257" s="38">
        <v>375.79874864328087</v>
      </c>
    </row>
    <row r="258" spans="1:4" x14ac:dyDescent="0.2">
      <c r="A258" s="38">
        <f t="shared" si="4"/>
        <v>244</v>
      </c>
      <c r="B258" s="38">
        <v>10006.969512468138</v>
      </c>
      <c r="C258" s="38">
        <f t="shared" si="4"/>
        <v>244</v>
      </c>
      <c r="D258" s="38">
        <v>339.28409003477429</v>
      </c>
    </row>
    <row r="259" spans="1:4" x14ac:dyDescent="0.2">
      <c r="A259" s="38">
        <f t="shared" si="4"/>
        <v>245</v>
      </c>
      <c r="B259" s="38">
        <v>4855.8745595968849</v>
      </c>
      <c r="C259" s="38">
        <f t="shared" si="4"/>
        <v>245</v>
      </c>
      <c r="D259" s="38">
        <v>378.04432052547594</v>
      </c>
    </row>
    <row r="260" spans="1:4" x14ac:dyDescent="0.2">
      <c r="A260" s="38">
        <f t="shared" si="4"/>
        <v>246</v>
      </c>
      <c r="B260" s="38">
        <v>12580.434465091692</v>
      </c>
      <c r="C260" s="38">
        <f t="shared" si="4"/>
        <v>246</v>
      </c>
      <c r="D260" s="38">
        <v>361.46443113164588</v>
      </c>
    </row>
    <row r="261" spans="1:4" x14ac:dyDescent="0.2">
      <c r="A261" s="38">
        <f t="shared" si="4"/>
        <v>247</v>
      </c>
      <c r="B261" s="38">
        <v>13469.753468241142</v>
      </c>
      <c r="C261" s="38">
        <f t="shared" si="4"/>
        <v>247</v>
      </c>
      <c r="D261" s="38">
        <v>336.65486362357223</v>
      </c>
    </row>
    <row r="262" spans="1:4" x14ac:dyDescent="0.2">
      <c r="A262" s="38">
        <f t="shared" si="4"/>
        <v>248</v>
      </c>
      <c r="B262" s="38">
        <v>7317.056058946102</v>
      </c>
      <c r="C262" s="38">
        <f t="shared" si="4"/>
        <v>248</v>
      </c>
      <c r="D262" s="38">
        <v>386.85590419119001</v>
      </c>
    </row>
    <row r="263" spans="1:4" x14ac:dyDescent="0.2">
      <c r="A263" s="38">
        <f t="shared" si="4"/>
        <v>249</v>
      </c>
      <c r="B263" s="38">
        <v>9941.0585445304478</v>
      </c>
      <c r="C263" s="38">
        <f t="shared" si="4"/>
        <v>249</v>
      </c>
      <c r="D263" s="38">
        <v>326.73657949032093</v>
      </c>
    </row>
    <row r="264" spans="1:4" x14ac:dyDescent="0.2">
      <c r="A264" s="38">
        <f t="shared" si="4"/>
        <v>250</v>
      </c>
      <c r="B264" s="38">
        <v>6390.8734194164781</v>
      </c>
      <c r="C264" s="38">
        <f t="shared" si="4"/>
        <v>250</v>
      </c>
      <c r="D264" s="38">
        <v>390.66750806815611</v>
      </c>
    </row>
    <row r="265" spans="1:4" x14ac:dyDescent="0.2">
      <c r="A265" s="38">
        <f t="shared" si="4"/>
        <v>251</v>
      </c>
      <c r="B265" s="38">
        <v>5270.1389687913143</v>
      </c>
      <c r="C265" s="38">
        <f t="shared" si="4"/>
        <v>251</v>
      </c>
      <c r="D265" s="38">
        <v>369.95073632145073</v>
      </c>
    </row>
    <row r="266" spans="1:4" x14ac:dyDescent="0.2">
      <c r="A266" s="38">
        <f t="shared" si="4"/>
        <v>252</v>
      </c>
      <c r="B266" s="38">
        <v>6079.8871278057104</v>
      </c>
      <c r="C266" s="38">
        <f t="shared" si="4"/>
        <v>252</v>
      </c>
      <c r="D266" s="38">
        <v>399.06453256142959</v>
      </c>
    </row>
    <row r="267" spans="1:4" x14ac:dyDescent="0.2">
      <c r="A267" s="38">
        <f t="shared" si="4"/>
        <v>253</v>
      </c>
      <c r="B267" s="38">
        <v>11232.800787590644</v>
      </c>
      <c r="C267" s="38">
        <f t="shared" si="4"/>
        <v>253</v>
      </c>
      <c r="D267" s="38">
        <v>384.68895102099975</v>
      </c>
    </row>
    <row r="268" spans="1:4" x14ac:dyDescent="0.2">
      <c r="A268" s="38">
        <f t="shared" si="4"/>
        <v>254</v>
      </c>
      <c r="B268" s="38">
        <v>14738.550603507336</v>
      </c>
      <c r="C268" s="38">
        <f t="shared" si="4"/>
        <v>254</v>
      </c>
      <c r="D268" s="38">
        <v>291.871913931574</v>
      </c>
    </row>
    <row r="269" spans="1:4" x14ac:dyDescent="0.2">
      <c r="A269" s="38">
        <f t="shared" si="4"/>
        <v>255</v>
      </c>
      <c r="B269" s="38">
        <v>10359.008607148475</v>
      </c>
      <c r="C269" s="38">
        <f t="shared" si="4"/>
        <v>255</v>
      </c>
      <c r="D269" s="38">
        <v>337.54213694865285</v>
      </c>
    </row>
    <row r="270" spans="1:4" x14ac:dyDescent="0.2">
      <c r="A270" s="38">
        <f t="shared" si="4"/>
        <v>256</v>
      </c>
      <c r="B270" s="38">
        <v>8644.7716408468568</v>
      </c>
      <c r="C270" s="38">
        <f t="shared" si="4"/>
        <v>256</v>
      </c>
      <c r="D270" s="38">
        <v>332.46626132215692</v>
      </c>
    </row>
    <row r="271" spans="1:4" x14ac:dyDescent="0.2">
      <c r="A271" s="38">
        <f t="shared" si="4"/>
        <v>257</v>
      </c>
      <c r="B271" s="38">
        <v>16992.947871241766</v>
      </c>
      <c r="C271" s="38">
        <f t="shared" si="4"/>
        <v>257</v>
      </c>
      <c r="D271" s="38">
        <v>334.44705977199948</v>
      </c>
    </row>
    <row r="272" spans="1:4" x14ac:dyDescent="0.2">
      <c r="A272" s="38">
        <f t="shared" si="4"/>
        <v>258</v>
      </c>
      <c r="B272" s="38">
        <v>7921.6638958454687</v>
      </c>
      <c r="C272" s="38">
        <f t="shared" si="4"/>
        <v>258</v>
      </c>
      <c r="D272" s="38">
        <v>325.88888314983342</v>
      </c>
    </row>
    <row r="273" spans="1:4" x14ac:dyDescent="0.2">
      <c r="A273" s="38">
        <f t="shared" si="4"/>
        <v>259</v>
      </c>
      <c r="B273" s="38">
        <v>8404.4748713552599</v>
      </c>
      <c r="C273" s="38">
        <f t="shared" si="4"/>
        <v>259</v>
      </c>
      <c r="D273" s="38">
        <v>324.873275704702</v>
      </c>
    </row>
    <row r="274" spans="1:4" x14ac:dyDescent="0.2">
      <c r="A274" s="38">
        <f t="shared" si="4"/>
        <v>260</v>
      </c>
      <c r="B274" s="38">
        <v>12657.914529506639</v>
      </c>
      <c r="C274" s="38">
        <f t="shared" si="4"/>
        <v>260</v>
      </c>
      <c r="D274" s="38">
        <v>326.93283464342278</v>
      </c>
    </row>
    <row r="275" spans="1:4" x14ac:dyDescent="0.2">
      <c r="A275" s="38">
        <f t="shared" si="4"/>
        <v>261</v>
      </c>
      <c r="B275" s="38">
        <v>4029.8786023952857</v>
      </c>
      <c r="C275" s="38">
        <f t="shared" si="4"/>
        <v>261</v>
      </c>
      <c r="D275" s="38">
        <v>373.33821002449866</v>
      </c>
    </row>
    <row r="276" spans="1:4" x14ac:dyDescent="0.2">
      <c r="A276" s="38">
        <f t="shared" si="4"/>
        <v>262</v>
      </c>
      <c r="B276" s="38">
        <v>8949.4051481220904</v>
      </c>
      <c r="C276" s="38">
        <f t="shared" si="4"/>
        <v>262</v>
      </c>
      <c r="D276" s="38">
        <v>332.73921840668527</v>
      </c>
    </row>
    <row r="277" spans="1:4" x14ac:dyDescent="0.2">
      <c r="A277" s="38">
        <f t="shared" si="4"/>
        <v>263</v>
      </c>
      <c r="B277" s="38">
        <v>6561.163872377866</v>
      </c>
      <c r="C277" s="38">
        <f t="shared" si="4"/>
        <v>263</v>
      </c>
      <c r="D277" s="38">
        <v>296.25554410123186</v>
      </c>
    </row>
    <row r="278" spans="1:4" x14ac:dyDescent="0.2">
      <c r="A278" s="38">
        <f t="shared" si="4"/>
        <v>264</v>
      </c>
      <c r="B278" s="38">
        <v>6712.8472958332486</v>
      </c>
      <c r="C278" s="38">
        <f t="shared" si="4"/>
        <v>264</v>
      </c>
      <c r="D278" s="38">
        <v>377.47827815241692</v>
      </c>
    </row>
    <row r="279" spans="1:4" x14ac:dyDescent="0.2">
      <c r="A279" s="38">
        <f t="shared" si="4"/>
        <v>265</v>
      </c>
      <c r="B279" s="38">
        <v>10329.969254872782</v>
      </c>
      <c r="C279" s="38">
        <f t="shared" si="4"/>
        <v>265</v>
      </c>
      <c r="D279" s="38">
        <v>338.13568402490415</v>
      </c>
    </row>
    <row r="280" spans="1:4" x14ac:dyDescent="0.2">
      <c r="A280" s="38">
        <f t="shared" ref="A280:C343" si="5">A279+1</f>
        <v>266</v>
      </c>
      <c r="B280" s="38">
        <v>9135.4533572336368</v>
      </c>
      <c r="C280" s="38">
        <f t="shared" si="5"/>
        <v>266</v>
      </c>
      <c r="D280" s="38">
        <v>349.6260494793687</v>
      </c>
    </row>
    <row r="281" spans="1:4" x14ac:dyDescent="0.2">
      <c r="A281" s="38">
        <f t="shared" si="5"/>
        <v>267</v>
      </c>
      <c r="B281" s="38">
        <v>6310.9278528566128</v>
      </c>
      <c r="C281" s="38">
        <f t="shared" si="5"/>
        <v>267</v>
      </c>
      <c r="D281" s="38">
        <v>296.12555235833918</v>
      </c>
    </row>
    <row r="282" spans="1:4" x14ac:dyDescent="0.2">
      <c r="A282" s="38">
        <f t="shared" si="5"/>
        <v>268</v>
      </c>
      <c r="B282" s="38">
        <v>8669.5810382920245</v>
      </c>
      <c r="C282" s="38">
        <f t="shared" si="5"/>
        <v>268</v>
      </c>
      <c r="D282" s="38">
        <v>379.00589724881871</v>
      </c>
    </row>
    <row r="283" spans="1:4" x14ac:dyDescent="0.2">
      <c r="A283" s="38">
        <f t="shared" si="5"/>
        <v>269</v>
      </c>
      <c r="B283" s="38">
        <v>5696.0824356438643</v>
      </c>
      <c r="C283" s="38">
        <f t="shared" si="5"/>
        <v>269</v>
      </c>
      <c r="D283" s="38">
        <v>346.65921731896333</v>
      </c>
    </row>
    <row r="284" spans="1:4" x14ac:dyDescent="0.2">
      <c r="A284" s="38">
        <f t="shared" si="5"/>
        <v>270</v>
      </c>
      <c r="B284" s="38">
        <v>2887.1566442105723</v>
      </c>
      <c r="C284" s="38">
        <f t="shared" si="5"/>
        <v>270</v>
      </c>
      <c r="D284" s="38">
        <v>365.14684295157014</v>
      </c>
    </row>
    <row r="285" spans="1:4" x14ac:dyDescent="0.2">
      <c r="A285" s="38">
        <f t="shared" si="5"/>
        <v>271</v>
      </c>
      <c r="B285" s="38">
        <v>17367.012890114274</v>
      </c>
      <c r="C285" s="38">
        <f t="shared" si="5"/>
        <v>271</v>
      </c>
      <c r="D285" s="38">
        <v>399.16953972628045</v>
      </c>
    </row>
    <row r="286" spans="1:4" x14ac:dyDescent="0.2">
      <c r="A286" s="38">
        <f t="shared" si="5"/>
        <v>272</v>
      </c>
      <c r="B286" s="38">
        <v>5902.5120709008861</v>
      </c>
      <c r="C286" s="38">
        <f t="shared" si="5"/>
        <v>272</v>
      </c>
      <c r="D286" s="38">
        <v>315.74399616604933</v>
      </c>
    </row>
    <row r="287" spans="1:4" x14ac:dyDescent="0.2">
      <c r="A287" s="38">
        <f t="shared" si="5"/>
        <v>273</v>
      </c>
      <c r="B287" s="38">
        <v>10899.885236423637</v>
      </c>
      <c r="C287" s="38">
        <f t="shared" si="5"/>
        <v>273</v>
      </c>
      <c r="D287" s="38">
        <v>335.69843900205763</v>
      </c>
    </row>
    <row r="288" spans="1:4" x14ac:dyDescent="0.2">
      <c r="A288" s="38">
        <f t="shared" si="5"/>
        <v>274</v>
      </c>
      <c r="B288" s="38">
        <v>9996.6243092696131</v>
      </c>
      <c r="C288" s="38">
        <f t="shared" si="5"/>
        <v>274</v>
      </c>
      <c r="D288" s="38">
        <v>325.95223393197347</v>
      </c>
    </row>
    <row r="289" spans="1:4" x14ac:dyDescent="0.2">
      <c r="A289" s="38">
        <f t="shared" si="5"/>
        <v>275</v>
      </c>
      <c r="B289" s="38">
        <v>3038.4363297125519</v>
      </c>
      <c r="C289" s="38">
        <f t="shared" si="5"/>
        <v>275</v>
      </c>
      <c r="D289" s="38">
        <v>346.07129793117974</v>
      </c>
    </row>
    <row r="290" spans="1:4" x14ac:dyDescent="0.2">
      <c r="A290" s="38">
        <f t="shared" si="5"/>
        <v>276</v>
      </c>
      <c r="B290" s="38">
        <v>6806.5418851617387</v>
      </c>
      <c r="C290" s="38">
        <f t="shared" si="5"/>
        <v>276</v>
      </c>
      <c r="D290" s="38">
        <v>371.86883929934442</v>
      </c>
    </row>
    <row r="291" spans="1:4" x14ac:dyDescent="0.2">
      <c r="A291" s="38">
        <f t="shared" si="5"/>
        <v>277</v>
      </c>
      <c r="B291" s="38">
        <v>8862.9792301797042</v>
      </c>
      <c r="C291" s="38">
        <f t="shared" si="5"/>
        <v>277</v>
      </c>
      <c r="D291" s="38">
        <v>408.599202011074</v>
      </c>
    </row>
    <row r="292" spans="1:4" x14ac:dyDescent="0.2">
      <c r="A292" s="38">
        <f t="shared" si="5"/>
        <v>278</v>
      </c>
      <c r="B292" s="38">
        <v>4412.0487919474381</v>
      </c>
      <c r="C292" s="38">
        <f t="shared" si="5"/>
        <v>278</v>
      </c>
      <c r="D292" s="38">
        <v>333.15318031486055</v>
      </c>
    </row>
    <row r="293" spans="1:4" x14ac:dyDescent="0.2">
      <c r="A293" s="38">
        <f t="shared" si="5"/>
        <v>279</v>
      </c>
      <c r="B293" s="38">
        <v>7059.192078515408</v>
      </c>
      <c r="C293" s="38">
        <f t="shared" si="5"/>
        <v>279</v>
      </c>
      <c r="D293" s="38">
        <v>371.87433972615764</v>
      </c>
    </row>
    <row r="294" spans="1:4" x14ac:dyDescent="0.2">
      <c r="A294" s="38">
        <f t="shared" si="5"/>
        <v>280</v>
      </c>
      <c r="B294" s="38">
        <v>11391.852072744246</v>
      </c>
      <c r="C294" s="38">
        <f t="shared" si="5"/>
        <v>280</v>
      </c>
      <c r="D294" s="38">
        <v>331.0915620420335</v>
      </c>
    </row>
    <row r="295" spans="1:4" x14ac:dyDescent="0.2">
      <c r="A295" s="38">
        <f t="shared" si="5"/>
        <v>281</v>
      </c>
      <c r="B295" s="38">
        <v>1821.4780971542248</v>
      </c>
      <c r="C295" s="38">
        <f t="shared" si="5"/>
        <v>281</v>
      </c>
      <c r="D295" s="38">
        <v>349.6736603948471</v>
      </c>
    </row>
    <row r="296" spans="1:4" x14ac:dyDescent="0.2">
      <c r="A296" s="38">
        <f t="shared" si="5"/>
        <v>282</v>
      </c>
      <c r="B296" s="38">
        <v>8984.9448913672659</v>
      </c>
      <c r="C296" s="38">
        <f t="shared" si="5"/>
        <v>282</v>
      </c>
      <c r="D296" s="38">
        <v>375.86614584127096</v>
      </c>
    </row>
    <row r="297" spans="1:4" x14ac:dyDescent="0.2">
      <c r="A297" s="38">
        <f t="shared" si="5"/>
        <v>283</v>
      </c>
      <c r="B297" s="38">
        <v>8103.5569639604473</v>
      </c>
      <c r="C297" s="38">
        <f t="shared" si="5"/>
        <v>283</v>
      </c>
      <c r="D297" s="38">
        <v>336.06388575768278</v>
      </c>
    </row>
    <row r="298" spans="1:4" x14ac:dyDescent="0.2">
      <c r="A298" s="38">
        <f t="shared" si="5"/>
        <v>284</v>
      </c>
      <c r="B298" s="38">
        <v>8166.4142431667624</v>
      </c>
      <c r="C298" s="38">
        <f t="shared" si="5"/>
        <v>284</v>
      </c>
      <c r="D298" s="38">
        <v>363.56420812445748</v>
      </c>
    </row>
    <row r="299" spans="1:4" x14ac:dyDescent="0.2">
      <c r="A299" s="38">
        <f t="shared" si="5"/>
        <v>285</v>
      </c>
      <c r="B299" s="38">
        <v>9132.9462250612487</v>
      </c>
      <c r="C299" s="38">
        <f t="shared" si="5"/>
        <v>285</v>
      </c>
      <c r="D299" s="38">
        <v>394.61550280865993</v>
      </c>
    </row>
    <row r="300" spans="1:4" x14ac:dyDescent="0.2">
      <c r="A300" s="38">
        <f t="shared" si="5"/>
        <v>286</v>
      </c>
      <c r="B300" s="38">
        <v>10894.917680176181</v>
      </c>
      <c r="C300" s="38">
        <f t="shared" si="5"/>
        <v>286</v>
      </c>
      <c r="D300" s="38">
        <v>327.93305597976774</v>
      </c>
    </row>
    <row r="301" spans="1:4" x14ac:dyDescent="0.2">
      <c r="A301" s="38">
        <f t="shared" si="5"/>
        <v>287</v>
      </c>
      <c r="B301" s="38">
        <v>5050.463474248786</v>
      </c>
      <c r="C301" s="38">
        <f t="shared" si="5"/>
        <v>287</v>
      </c>
      <c r="D301" s="38">
        <v>325.95323887069247</v>
      </c>
    </row>
    <row r="302" spans="1:4" x14ac:dyDescent="0.2">
      <c r="A302" s="38">
        <f t="shared" si="5"/>
        <v>288</v>
      </c>
      <c r="B302" s="38">
        <v>8214.8569492995175</v>
      </c>
      <c r="C302" s="38">
        <f t="shared" si="5"/>
        <v>288</v>
      </c>
      <c r="D302" s="38">
        <v>344.45371417900077</v>
      </c>
    </row>
    <row r="303" spans="1:4" x14ac:dyDescent="0.2">
      <c r="A303" s="38">
        <f t="shared" si="5"/>
        <v>289</v>
      </c>
      <c r="B303" s="38">
        <v>13310.994477308608</v>
      </c>
      <c r="C303" s="38">
        <f t="shared" si="5"/>
        <v>289</v>
      </c>
      <c r="D303" s="38">
        <v>306.66835715069874</v>
      </c>
    </row>
    <row r="304" spans="1:4" x14ac:dyDescent="0.2">
      <c r="A304" s="38">
        <f t="shared" si="5"/>
        <v>290</v>
      </c>
      <c r="B304" s="38">
        <v>4858.2733587498142</v>
      </c>
      <c r="C304" s="38">
        <f t="shared" si="5"/>
        <v>290</v>
      </c>
      <c r="D304" s="38">
        <v>299.85794856367789</v>
      </c>
    </row>
    <row r="305" spans="1:4" x14ac:dyDescent="0.2">
      <c r="A305" s="38">
        <f t="shared" si="5"/>
        <v>291</v>
      </c>
      <c r="B305" s="38">
        <v>12514.607981640871</v>
      </c>
      <c r="C305" s="38">
        <f t="shared" si="5"/>
        <v>291</v>
      </c>
      <c r="D305" s="38">
        <v>368.0706309760173</v>
      </c>
    </row>
    <row r="306" spans="1:4" x14ac:dyDescent="0.2">
      <c r="A306" s="38">
        <f t="shared" si="5"/>
        <v>292</v>
      </c>
      <c r="B306" s="38">
        <v>7303.9795885903131</v>
      </c>
      <c r="C306" s="38">
        <f t="shared" si="5"/>
        <v>292</v>
      </c>
      <c r="D306" s="38">
        <v>370.0839751891321</v>
      </c>
    </row>
    <row r="307" spans="1:4" x14ac:dyDescent="0.2">
      <c r="A307" s="38">
        <f t="shared" si="5"/>
        <v>293</v>
      </c>
      <c r="B307" s="38">
        <v>10257.335841318423</v>
      </c>
      <c r="C307" s="38">
        <f t="shared" si="5"/>
        <v>293</v>
      </c>
      <c r="D307" s="38">
        <v>388.2043414977789</v>
      </c>
    </row>
    <row r="308" spans="1:4" x14ac:dyDescent="0.2">
      <c r="A308" s="38">
        <f t="shared" si="5"/>
        <v>294</v>
      </c>
      <c r="B308" s="38">
        <v>4820.1266725918413</v>
      </c>
      <c r="C308" s="38">
        <f t="shared" si="5"/>
        <v>294</v>
      </c>
      <c r="D308" s="38">
        <v>364.87497509350783</v>
      </c>
    </row>
    <row r="309" spans="1:4" x14ac:dyDescent="0.2">
      <c r="A309" s="38">
        <f t="shared" si="5"/>
        <v>295</v>
      </c>
      <c r="B309" s="38">
        <v>4870.5654222194607</v>
      </c>
      <c r="C309" s="38">
        <f t="shared" si="5"/>
        <v>295</v>
      </c>
      <c r="D309" s="38">
        <v>351.85508350755913</v>
      </c>
    </row>
    <row r="310" spans="1:4" x14ac:dyDescent="0.2">
      <c r="A310" s="38">
        <f t="shared" si="5"/>
        <v>296</v>
      </c>
      <c r="B310" s="38">
        <v>6454.876447160992</v>
      </c>
      <c r="C310" s="38">
        <f t="shared" si="5"/>
        <v>296</v>
      </c>
      <c r="D310" s="38">
        <v>398.8325112317608</v>
      </c>
    </row>
    <row r="311" spans="1:4" x14ac:dyDescent="0.2">
      <c r="A311" s="38">
        <f t="shared" si="5"/>
        <v>297</v>
      </c>
      <c r="B311" s="38">
        <v>7979.5277328640514</v>
      </c>
      <c r="C311" s="38">
        <f t="shared" si="5"/>
        <v>297</v>
      </c>
      <c r="D311" s="38">
        <v>366.25951073074583</v>
      </c>
    </row>
    <row r="312" spans="1:4" x14ac:dyDescent="0.2">
      <c r="A312" s="38">
        <f t="shared" si="5"/>
        <v>298</v>
      </c>
      <c r="B312" s="38">
        <v>2800.6718206713085</v>
      </c>
      <c r="C312" s="38">
        <f t="shared" si="5"/>
        <v>298</v>
      </c>
      <c r="D312" s="38">
        <v>363.05199827646811</v>
      </c>
    </row>
    <row r="313" spans="1:4" x14ac:dyDescent="0.2">
      <c r="A313" s="38">
        <f t="shared" si="5"/>
        <v>299</v>
      </c>
      <c r="B313" s="38">
        <v>7942.9000629294151</v>
      </c>
      <c r="C313" s="38">
        <f t="shared" si="5"/>
        <v>299</v>
      </c>
      <c r="D313" s="38">
        <v>319.31045559591558</v>
      </c>
    </row>
    <row r="314" spans="1:4" x14ac:dyDescent="0.2">
      <c r="A314" s="38">
        <f t="shared" si="5"/>
        <v>300</v>
      </c>
      <c r="B314" s="38">
        <v>8187.5907808527063</v>
      </c>
      <c r="C314" s="38">
        <f t="shared" si="5"/>
        <v>300</v>
      </c>
      <c r="D314" s="38">
        <v>359.76765107294239</v>
      </c>
    </row>
    <row r="315" spans="1:4" x14ac:dyDescent="0.2">
      <c r="A315" s="38">
        <f t="shared" si="5"/>
        <v>301</v>
      </c>
      <c r="B315" s="38">
        <v>8936.9420513560999</v>
      </c>
      <c r="C315" s="38">
        <f t="shared" si="5"/>
        <v>301</v>
      </c>
      <c r="D315" s="38">
        <v>305.35503647286549</v>
      </c>
    </row>
    <row r="316" spans="1:4" x14ac:dyDescent="0.2">
      <c r="A316" s="38">
        <f t="shared" si="5"/>
        <v>302</v>
      </c>
      <c r="B316" s="38">
        <v>6466.6338903192309</v>
      </c>
      <c r="C316" s="38">
        <f t="shared" si="5"/>
        <v>302</v>
      </c>
      <c r="D316" s="38">
        <v>373.34296429142972</v>
      </c>
    </row>
    <row r="317" spans="1:4" x14ac:dyDescent="0.2">
      <c r="A317" s="38">
        <f t="shared" si="5"/>
        <v>303</v>
      </c>
      <c r="B317" s="38">
        <v>11316.227702167758</v>
      </c>
      <c r="C317" s="38">
        <f t="shared" si="5"/>
        <v>303</v>
      </c>
      <c r="D317" s="38">
        <v>345.64079002056508</v>
      </c>
    </row>
    <row r="318" spans="1:4" x14ac:dyDescent="0.2">
      <c r="A318" s="38">
        <f t="shared" si="5"/>
        <v>304</v>
      </c>
      <c r="B318" s="38">
        <v>8164.6440438919108</v>
      </c>
      <c r="C318" s="38">
        <f t="shared" si="5"/>
        <v>304</v>
      </c>
      <c r="D318" s="38">
        <v>347.85394064455329</v>
      </c>
    </row>
    <row r="319" spans="1:4" x14ac:dyDescent="0.2">
      <c r="A319" s="38">
        <f t="shared" si="5"/>
        <v>305</v>
      </c>
      <c r="B319" s="38">
        <v>12181.619274854325</v>
      </c>
      <c r="C319" s="38">
        <f t="shared" si="5"/>
        <v>305</v>
      </c>
      <c r="D319" s="38">
        <v>458.50978466832186</v>
      </c>
    </row>
    <row r="320" spans="1:4" x14ac:dyDescent="0.2">
      <c r="A320" s="38">
        <f t="shared" si="5"/>
        <v>306</v>
      </c>
      <c r="B320" s="38">
        <v>6941.4620053655781</v>
      </c>
      <c r="C320" s="38">
        <f t="shared" si="5"/>
        <v>306</v>
      </c>
      <c r="D320" s="38">
        <v>320.52420459024063</v>
      </c>
    </row>
    <row r="321" spans="1:4" x14ac:dyDescent="0.2">
      <c r="A321" s="38">
        <f t="shared" si="5"/>
        <v>307</v>
      </c>
      <c r="B321" s="38">
        <v>6857.2345438949687</v>
      </c>
      <c r="C321" s="38">
        <f t="shared" si="5"/>
        <v>307</v>
      </c>
      <c r="D321" s="38">
        <v>315.70015221314293</v>
      </c>
    </row>
    <row r="322" spans="1:4" x14ac:dyDescent="0.2">
      <c r="A322" s="38">
        <f t="shared" si="5"/>
        <v>308</v>
      </c>
      <c r="B322" s="38">
        <v>2706.6430603656063</v>
      </c>
      <c r="C322" s="38">
        <f t="shared" si="5"/>
        <v>308</v>
      </c>
      <c r="D322" s="38">
        <v>321.45803302306757</v>
      </c>
    </row>
    <row r="323" spans="1:4" x14ac:dyDescent="0.2">
      <c r="A323" s="38">
        <f t="shared" si="5"/>
        <v>309</v>
      </c>
      <c r="B323" s="38">
        <v>7509.8321213027129</v>
      </c>
      <c r="C323" s="38">
        <f t="shared" si="5"/>
        <v>309</v>
      </c>
      <c r="D323" s="38">
        <v>289.38673757093125</v>
      </c>
    </row>
    <row r="324" spans="1:4" x14ac:dyDescent="0.2">
      <c r="A324" s="38">
        <f t="shared" si="5"/>
        <v>310</v>
      </c>
      <c r="B324" s="38">
        <v>7981.1026667990445</v>
      </c>
      <c r="C324" s="38">
        <f t="shared" si="5"/>
        <v>310</v>
      </c>
      <c r="D324" s="38">
        <v>414.95167300762665</v>
      </c>
    </row>
    <row r="325" spans="1:4" x14ac:dyDescent="0.2">
      <c r="A325" s="38">
        <f t="shared" si="5"/>
        <v>311</v>
      </c>
      <c r="B325" s="38">
        <v>4199.6830825559691</v>
      </c>
      <c r="C325" s="38">
        <f t="shared" si="5"/>
        <v>311</v>
      </c>
      <c r="D325" s="38">
        <v>402.4036703983208</v>
      </c>
    </row>
    <row r="326" spans="1:4" x14ac:dyDescent="0.2">
      <c r="A326" s="38">
        <f t="shared" si="5"/>
        <v>312</v>
      </c>
      <c r="B326" s="38">
        <v>8422.7976900222202</v>
      </c>
      <c r="C326" s="38">
        <f t="shared" si="5"/>
        <v>312</v>
      </c>
      <c r="D326" s="38">
        <v>458.78556777719228</v>
      </c>
    </row>
    <row r="327" spans="1:4" x14ac:dyDescent="0.2">
      <c r="A327" s="38">
        <f t="shared" si="5"/>
        <v>313</v>
      </c>
      <c r="B327" s="38">
        <v>8628.1879655266912</v>
      </c>
      <c r="C327" s="38">
        <f t="shared" si="5"/>
        <v>313</v>
      </c>
      <c r="D327" s="38">
        <v>359.25136250630749</v>
      </c>
    </row>
    <row r="328" spans="1:4" x14ac:dyDescent="0.2">
      <c r="A328" s="38">
        <f t="shared" si="5"/>
        <v>314</v>
      </c>
      <c r="B328" s="38">
        <v>5165.2606407840558</v>
      </c>
      <c r="C328" s="38">
        <f t="shared" si="5"/>
        <v>314</v>
      </c>
      <c r="D328" s="38">
        <v>335.93501833776259</v>
      </c>
    </row>
    <row r="329" spans="1:4" x14ac:dyDescent="0.2">
      <c r="A329" s="38">
        <f t="shared" si="5"/>
        <v>315</v>
      </c>
      <c r="B329" s="38">
        <v>7674.9755312550769</v>
      </c>
      <c r="C329" s="38">
        <f t="shared" si="5"/>
        <v>315</v>
      </c>
      <c r="D329" s="38">
        <v>320.38540309902777</v>
      </c>
    </row>
    <row r="330" spans="1:4" x14ac:dyDescent="0.2">
      <c r="A330" s="38">
        <f t="shared" si="5"/>
        <v>316</v>
      </c>
      <c r="B330" s="38">
        <v>10907.853832535033</v>
      </c>
      <c r="C330" s="38">
        <f t="shared" si="5"/>
        <v>316</v>
      </c>
      <c r="D330" s="38">
        <v>330.98754485938304</v>
      </c>
    </row>
    <row r="331" spans="1:4" x14ac:dyDescent="0.2">
      <c r="A331" s="38">
        <f t="shared" si="5"/>
        <v>317</v>
      </c>
      <c r="B331" s="38">
        <v>7668.8012723916772</v>
      </c>
      <c r="C331" s="38">
        <f t="shared" si="5"/>
        <v>317</v>
      </c>
      <c r="D331" s="38">
        <v>335.09874006266114</v>
      </c>
    </row>
    <row r="332" spans="1:4" x14ac:dyDescent="0.2">
      <c r="A332" s="38">
        <f t="shared" si="5"/>
        <v>318</v>
      </c>
      <c r="B332" s="38">
        <v>3848.1304203894974</v>
      </c>
      <c r="C332" s="38">
        <f t="shared" si="5"/>
        <v>318</v>
      </c>
      <c r="D332" s="38">
        <v>365.73387928243335</v>
      </c>
    </row>
    <row r="333" spans="1:4" x14ac:dyDescent="0.2">
      <c r="A333" s="38">
        <f t="shared" si="5"/>
        <v>319</v>
      </c>
      <c r="B333" s="38">
        <v>10371.796045394642</v>
      </c>
      <c r="C333" s="38">
        <f t="shared" si="5"/>
        <v>319</v>
      </c>
      <c r="D333" s="38">
        <v>405.08679919275647</v>
      </c>
    </row>
    <row r="334" spans="1:4" x14ac:dyDescent="0.2">
      <c r="A334" s="38">
        <f t="shared" si="5"/>
        <v>320</v>
      </c>
      <c r="B334" s="38">
        <v>3889.2057924897485</v>
      </c>
      <c r="C334" s="38">
        <f t="shared" si="5"/>
        <v>320</v>
      </c>
      <c r="D334" s="38">
        <v>338.00306157279692</v>
      </c>
    </row>
    <row r="335" spans="1:4" x14ac:dyDescent="0.2">
      <c r="A335" s="38">
        <f t="shared" si="5"/>
        <v>321</v>
      </c>
      <c r="B335" s="38">
        <v>8094.4655629528879</v>
      </c>
      <c r="C335" s="38">
        <f t="shared" si="5"/>
        <v>321</v>
      </c>
      <c r="D335" s="38">
        <v>345.08374155685277</v>
      </c>
    </row>
    <row r="336" spans="1:4" x14ac:dyDescent="0.2">
      <c r="A336" s="38">
        <f t="shared" si="5"/>
        <v>322</v>
      </c>
      <c r="B336" s="38">
        <v>4621.7849350740962</v>
      </c>
      <c r="C336" s="38">
        <f t="shared" si="5"/>
        <v>322</v>
      </c>
      <c r="D336" s="38">
        <v>368.3094908938906</v>
      </c>
    </row>
    <row r="337" spans="1:4" x14ac:dyDescent="0.2">
      <c r="A337" s="38">
        <f t="shared" si="5"/>
        <v>323</v>
      </c>
      <c r="B337" s="38">
        <v>10059.803745245819</v>
      </c>
      <c r="C337" s="38">
        <f t="shared" si="5"/>
        <v>323</v>
      </c>
      <c r="D337" s="38">
        <v>336.6763996654704</v>
      </c>
    </row>
    <row r="338" spans="1:4" x14ac:dyDescent="0.2">
      <c r="A338" s="38">
        <f t="shared" si="5"/>
        <v>324</v>
      </c>
      <c r="B338" s="38">
        <v>5165.7393127055975</v>
      </c>
      <c r="C338" s="38">
        <f t="shared" si="5"/>
        <v>324</v>
      </c>
      <c r="D338" s="38">
        <v>329.17112897959015</v>
      </c>
    </row>
    <row r="339" spans="1:4" x14ac:dyDescent="0.2">
      <c r="A339" s="38">
        <f t="shared" si="5"/>
        <v>325</v>
      </c>
      <c r="B339" s="38">
        <v>11706.620586488505</v>
      </c>
      <c r="C339" s="38">
        <f t="shared" si="5"/>
        <v>325</v>
      </c>
      <c r="D339" s="38">
        <v>349.31366706992196</v>
      </c>
    </row>
    <row r="340" spans="1:4" x14ac:dyDescent="0.2">
      <c r="A340" s="38">
        <f t="shared" si="5"/>
        <v>326</v>
      </c>
      <c r="B340" s="38">
        <v>10810.500812515247</v>
      </c>
      <c r="C340" s="38">
        <f t="shared" si="5"/>
        <v>326</v>
      </c>
      <c r="D340" s="38">
        <v>422.83149076712994</v>
      </c>
    </row>
    <row r="341" spans="1:4" x14ac:dyDescent="0.2">
      <c r="A341" s="38">
        <f t="shared" si="5"/>
        <v>327</v>
      </c>
      <c r="B341" s="38">
        <v>11602.081905198751</v>
      </c>
      <c r="C341" s="38">
        <f t="shared" si="5"/>
        <v>327</v>
      </c>
      <c r="D341" s="38">
        <v>397.50918269223206</v>
      </c>
    </row>
    <row r="342" spans="1:4" x14ac:dyDescent="0.2">
      <c r="A342" s="38">
        <f t="shared" si="5"/>
        <v>328</v>
      </c>
      <c r="B342" s="38">
        <v>13205.348239801588</v>
      </c>
      <c r="C342" s="38">
        <f t="shared" si="5"/>
        <v>328</v>
      </c>
      <c r="D342" s="38">
        <v>336.18687677277302</v>
      </c>
    </row>
    <row r="343" spans="1:4" x14ac:dyDescent="0.2">
      <c r="A343" s="38">
        <f t="shared" si="5"/>
        <v>329</v>
      </c>
      <c r="B343" s="38">
        <v>4231.6936387649785</v>
      </c>
      <c r="C343" s="38">
        <f t="shared" si="5"/>
        <v>329</v>
      </c>
      <c r="D343" s="38">
        <v>387.62802045568276</v>
      </c>
    </row>
    <row r="344" spans="1:4" x14ac:dyDescent="0.2">
      <c r="A344" s="38">
        <f t="shared" ref="A344:C407" si="6">A343+1</f>
        <v>330</v>
      </c>
      <c r="B344" s="38">
        <v>3667.4472901872427</v>
      </c>
      <c r="C344" s="38">
        <f t="shared" si="6"/>
        <v>330</v>
      </c>
      <c r="D344" s="38">
        <v>358.623785983277</v>
      </c>
    </row>
    <row r="345" spans="1:4" x14ac:dyDescent="0.2">
      <c r="A345" s="38">
        <f t="shared" si="6"/>
        <v>331</v>
      </c>
      <c r="B345" s="38">
        <v>8791.5207166524906</v>
      </c>
      <c r="C345" s="38">
        <f t="shared" si="6"/>
        <v>331</v>
      </c>
      <c r="D345" s="38">
        <v>325.7044999008786</v>
      </c>
    </row>
    <row r="346" spans="1:4" x14ac:dyDescent="0.2">
      <c r="A346" s="38">
        <f t="shared" si="6"/>
        <v>332</v>
      </c>
      <c r="B346" s="38">
        <v>6745.0685911709843</v>
      </c>
      <c r="C346" s="38">
        <f t="shared" si="6"/>
        <v>332</v>
      </c>
      <c r="D346" s="38">
        <v>409.08929390127463</v>
      </c>
    </row>
    <row r="347" spans="1:4" x14ac:dyDescent="0.2">
      <c r="A347" s="38">
        <f t="shared" si="6"/>
        <v>333</v>
      </c>
      <c r="B347" s="38">
        <v>4111.5987080539526</v>
      </c>
      <c r="C347" s="38">
        <f t="shared" si="6"/>
        <v>333</v>
      </c>
      <c r="D347" s="38">
        <v>415.47913659921579</v>
      </c>
    </row>
    <row r="348" spans="1:4" x14ac:dyDescent="0.2">
      <c r="A348" s="38">
        <f t="shared" si="6"/>
        <v>334</v>
      </c>
      <c r="B348" s="38">
        <v>12946.228862501152</v>
      </c>
      <c r="C348" s="38">
        <f t="shared" si="6"/>
        <v>334</v>
      </c>
      <c r="D348" s="38">
        <v>364.58784135668907</v>
      </c>
    </row>
    <row r="349" spans="1:4" x14ac:dyDescent="0.2">
      <c r="A349" s="38">
        <f t="shared" si="6"/>
        <v>335</v>
      </c>
      <c r="B349" s="38">
        <v>7807.0980645430782</v>
      </c>
      <c r="C349" s="38">
        <f t="shared" si="6"/>
        <v>335</v>
      </c>
      <c r="D349" s="38">
        <v>334.85171891737446</v>
      </c>
    </row>
    <row r="350" spans="1:4" x14ac:dyDescent="0.2">
      <c r="A350" s="38">
        <f t="shared" si="6"/>
        <v>336</v>
      </c>
      <c r="B350" s="38">
        <v>7102.0787847547044</v>
      </c>
      <c r="C350" s="38">
        <f t="shared" si="6"/>
        <v>336</v>
      </c>
      <c r="D350" s="38">
        <v>407.18080662794517</v>
      </c>
    </row>
    <row r="351" spans="1:4" x14ac:dyDescent="0.2">
      <c r="A351" s="38">
        <f t="shared" si="6"/>
        <v>337</v>
      </c>
      <c r="B351" s="38">
        <v>13855.324651974079</v>
      </c>
      <c r="C351" s="38">
        <f t="shared" si="6"/>
        <v>337</v>
      </c>
      <c r="D351" s="38">
        <v>354.64333397815301</v>
      </c>
    </row>
    <row r="352" spans="1:4" x14ac:dyDescent="0.2">
      <c r="A352" s="38">
        <f t="shared" si="6"/>
        <v>338</v>
      </c>
      <c r="B352" s="38">
        <v>3694.5063576594521</v>
      </c>
      <c r="C352" s="38">
        <f t="shared" si="6"/>
        <v>338</v>
      </c>
      <c r="D352" s="38">
        <v>389.26190535561557</v>
      </c>
    </row>
    <row r="353" spans="1:4" x14ac:dyDescent="0.2">
      <c r="A353" s="38">
        <f t="shared" si="6"/>
        <v>339</v>
      </c>
      <c r="B353" s="38">
        <v>4915.2242495217306</v>
      </c>
      <c r="C353" s="38">
        <f t="shared" si="6"/>
        <v>339</v>
      </c>
      <c r="D353" s="38">
        <v>433.79340418970287</v>
      </c>
    </row>
    <row r="354" spans="1:4" x14ac:dyDescent="0.2">
      <c r="A354" s="38">
        <f t="shared" si="6"/>
        <v>340</v>
      </c>
      <c r="B354" s="38">
        <v>2032.3606934581667</v>
      </c>
      <c r="C354" s="38">
        <f t="shared" si="6"/>
        <v>340</v>
      </c>
      <c r="D354" s="38">
        <v>310.07178133788193</v>
      </c>
    </row>
    <row r="355" spans="1:4" x14ac:dyDescent="0.2">
      <c r="A355" s="38">
        <f t="shared" si="6"/>
        <v>341</v>
      </c>
      <c r="B355" s="38">
        <v>11550.23758123347</v>
      </c>
      <c r="C355" s="38">
        <f t="shared" si="6"/>
        <v>341</v>
      </c>
      <c r="D355" s="38">
        <v>353.07903964167167</v>
      </c>
    </row>
    <row r="356" spans="1:4" x14ac:dyDescent="0.2">
      <c r="A356" s="38">
        <f t="shared" si="6"/>
        <v>342</v>
      </c>
      <c r="B356" s="38">
        <v>3124.3362212497832</v>
      </c>
      <c r="C356" s="38">
        <f t="shared" si="6"/>
        <v>342</v>
      </c>
      <c r="D356" s="38">
        <v>373.17732385521219</v>
      </c>
    </row>
    <row r="357" spans="1:4" x14ac:dyDescent="0.2">
      <c r="A357" s="38">
        <f t="shared" si="6"/>
        <v>343</v>
      </c>
      <c r="B357" s="38">
        <v>12177.880271173266</v>
      </c>
      <c r="C357" s="38">
        <f t="shared" si="6"/>
        <v>343</v>
      </c>
      <c r="D357" s="38">
        <v>402.09706909789867</v>
      </c>
    </row>
    <row r="358" spans="1:4" x14ac:dyDescent="0.2">
      <c r="A358" s="38">
        <f t="shared" si="6"/>
        <v>344</v>
      </c>
      <c r="B358" s="38">
        <v>7058.5848970776206</v>
      </c>
      <c r="C358" s="38">
        <f t="shared" si="6"/>
        <v>344</v>
      </c>
      <c r="D358" s="38">
        <v>322.12160197346407</v>
      </c>
    </row>
    <row r="359" spans="1:4" x14ac:dyDescent="0.2">
      <c r="A359" s="38">
        <f t="shared" si="6"/>
        <v>345</v>
      </c>
      <c r="B359" s="38">
        <v>6363.1101464280355</v>
      </c>
      <c r="C359" s="38">
        <f t="shared" si="6"/>
        <v>345</v>
      </c>
      <c r="D359" s="38">
        <v>389.12348695628503</v>
      </c>
    </row>
    <row r="360" spans="1:4" x14ac:dyDescent="0.2">
      <c r="A360" s="38">
        <f t="shared" si="6"/>
        <v>346</v>
      </c>
      <c r="B360" s="38">
        <v>14652.999756801799</v>
      </c>
      <c r="C360" s="38">
        <f t="shared" si="6"/>
        <v>346</v>
      </c>
      <c r="D360" s="38">
        <v>397.88444610582309</v>
      </c>
    </row>
    <row r="361" spans="1:4" x14ac:dyDescent="0.2">
      <c r="A361" s="38">
        <f t="shared" si="6"/>
        <v>347</v>
      </c>
      <c r="B361" s="38">
        <v>8560.8357965908217</v>
      </c>
      <c r="C361" s="38">
        <f t="shared" si="6"/>
        <v>347</v>
      </c>
      <c r="D361" s="38">
        <v>335.90327126701635</v>
      </c>
    </row>
    <row r="362" spans="1:4" x14ac:dyDescent="0.2">
      <c r="A362" s="38">
        <f t="shared" si="6"/>
        <v>348</v>
      </c>
      <c r="B362" s="38">
        <v>14088.854174784103</v>
      </c>
      <c r="C362" s="38">
        <f t="shared" si="6"/>
        <v>348</v>
      </c>
      <c r="D362" s="38">
        <v>347.34842863651829</v>
      </c>
    </row>
    <row r="363" spans="1:4" x14ac:dyDescent="0.2">
      <c r="A363" s="38">
        <f t="shared" si="6"/>
        <v>349</v>
      </c>
      <c r="B363" s="38">
        <v>4124.1567771641057</v>
      </c>
      <c r="C363" s="38">
        <f t="shared" si="6"/>
        <v>349</v>
      </c>
      <c r="D363" s="38">
        <v>397.42852761802607</v>
      </c>
    </row>
    <row r="364" spans="1:4" x14ac:dyDescent="0.2">
      <c r="A364" s="38">
        <f t="shared" si="6"/>
        <v>350</v>
      </c>
      <c r="B364" s="38">
        <v>9868.8320819248274</v>
      </c>
      <c r="C364" s="38">
        <f t="shared" si="6"/>
        <v>350</v>
      </c>
      <c r="D364" s="38">
        <v>345.44220309922753</v>
      </c>
    </row>
    <row r="365" spans="1:4" x14ac:dyDescent="0.2">
      <c r="A365" s="38">
        <f t="shared" si="6"/>
        <v>351</v>
      </c>
      <c r="B365" s="38">
        <v>9593.5659689900749</v>
      </c>
      <c r="C365" s="38">
        <f t="shared" si="6"/>
        <v>351</v>
      </c>
      <c r="D365" s="38">
        <v>374.75805549748014</v>
      </c>
    </row>
    <row r="366" spans="1:4" x14ac:dyDescent="0.2">
      <c r="A366" s="38">
        <f t="shared" si="6"/>
        <v>352</v>
      </c>
      <c r="B366" s="38">
        <v>1401.8564916252585</v>
      </c>
      <c r="C366" s="38">
        <f t="shared" si="6"/>
        <v>352</v>
      </c>
      <c r="D366" s="38">
        <v>319.25737378916131</v>
      </c>
    </row>
    <row r="367" spans="1:4" x14ac:dyDescent="0.2">
      <c r="A367" s="38">
        <f t="shared" si="6"/>
        <v>353</v>
      </c>
      <c r="B367" s="38">
        <v>9528.6632555176147</v>
      </c>
      <c r="C367" s="38">
        <f t="shared" si="6"/>
        <v>353</v>
      </c>
      <c r="D367" s="38">
        <v>342.75670521771895</v>
      </c>
    </row>
    <row r="368" spans="1:4" x14ac:dyDescent="0.2">
      <c r="A368" s="38">
        <f t="shared" si="6"/>
        <v>354</v>
      </c>
      <c r="B368" s="38">
        <v>12795.593038070016</v>
      </c>
      <c r="C368" s="38">
        <f t="shared" si="6"/>
        <v>354</v>
      </c>
      <c r="D368" s="38">
        <v>337.18949487338296</v>
      </c>
    </row>
    <row r="369" spans="1:4" x14ac:dyDescent="0.2">
      <c r="A369" s="38">
        <f t="shared" si="6"/>
        <v>355</v>
      </c>
      <c r="B369" s="38">
        <v>1889.9124212290933</v>
      </c>
      <c r="C369" s="38">
        <f t="shared" si="6"/>
        <v>355</v>
      </c>
      <c r="D369" s="38">
        <v>392.69060559932711</v>
      </c>
    </row>
    <row r="370" spans="1:4" x14ac:dyDescent="0.2">
      <c r="A370" s="38">
        <f t="shared" si="6"/>
        <v>356</v>
      </c>
      <c r="B370" s="38">
        <v>10928.229474311591</v>
      </c>
      <c r="C370" s="38">
        <f t="shared" si="6"/>
        <v>356</v>
      </c>
      <c r="D370" s="38">
        <v>387.22167329357967</v>
      </c>
    </row>
    <row r="371" spans="1:4" x14ac:dyDescent="0.2">
      <c r="A371" s="38">
        <f t="shared" si="6"/>
        <v>357</v>
      </c>
      <c r="B371" s="38">
        <v>7857.5609213817997</v>
      </c>
      <c r="C371" s="38">
        <f t="shared" si="6"/>
        <v>357</v>
      </c>
      <c r="D371" s="38">
        <v>363.44248900273169</v>
      </c>
    </row>
    <row r="372" spans="1:4" x14ac:dyDescent="0.2">
      <c r="A372" s="38">
        <f t="shared" si="6"/>
        <v>358</v>
      </c>
      <c r="B372" s="38">
        <v>8914.7497629508107</v>
      </c>
      <c r="C372" s="38">
        <f t="shared" si="6"/>
        <v>358</v>
      </c>
      <c r="D372" s="38">
        <v>308.9086793627614</v>
      </c>
    </row>
    <row r="373" spans="1:4" x14ac:dyDescent="0.2">
      <c r="A373" s="38">
        <f t="shared" si="6"/>
        <v>359</v>
      </c>
      <c r="B373" s="38">
        <v>5936.2902567120318</v>
      </c>
      <c r="C373" s="38">
        <f t="shared" si="6"/>
        <v>359</v>
      </c>
      <c r="D373" s="38">
        <v>348.59138593431214</v>
      </c>
    </row>
    <row r="374" spans="1:4" x14ac:dyDescent="0.2">
      <c r="A374" s="38">
        <f t="shared" si="6"/>
        <v>360</v>
      </c>
      <c r="B374" s="38">
        <v>3294.6576083033178</v>
      </c>
      <c r="C374" s="38">
        <f t="shared" si="6"/>
        <v>360</v>
      </c>
      <c r="D374" s="38">
        <v>319.56864651269882</v>
      </c>
    </row>
    <row r="375" spans="1:4" x14ac:dyDescent="0.2">
      <c r="A375" s="38">
        <f t="shared" si="6"/>
        <v>361</v>
      </c>
      <c r="B375" s="38">
        <v>13796.868063464262</v>
      </c>
      <c r="C375" s="38">
        <f t="shared" si="6"/>
        <v>361</v>
      </c>
      <c r="D375" s="38">
        <v>381.00172003969789</v>
      </c>
    </row>
    <row r="376" spans="1:4" x14ac:dyDescent="0.2">
      <c r="A376" s="38">
        <f t="shared" si="6"/>
        <v>362</v>
      </c>
      <c r="B376" s="38">
        <v>3395.5348737784989</v>
      </c>
      <c r="C376" s="38">
        <f t="shared" si="6"/>
        <v>362</v>
      </c>
      <c r="D376" s="38">
        <v>407.78234459119142</v>
      </c>
    </row>
    <row r="377" spans="1:4" x14ac:dyDescent="0.2">
      <c r="A377" s="38">
        <f t="shared" si="6"/>
        <v>363</v>
      </c>
      <c r="B377" s="38">
        <v>4120.7635839122222</v>
      </c>
      <c r="C377" s="38">
        <f t="shared" si="6"/>
        <v>363</v>
      </c>
      <c r="D377" s="38">
        <v>494.52369760555075</v>
      </c>
    </row>
    <row r="378" spans="1:4" x14ac:dyDescent="0.2">
      <c r="A378" s="38">
        <f t="shared" si="6"/>
        <v>364</v>
      </c>
      <c r="B378" s="38">
        <v>3753.3017122267129</v>
      </c>
      <c r="C378" s="38">
        <f t="shared" si="6"/>
        <v>364</v>
      </c>
      <c r="D378" s="38">
        <v>375.91239709874441</v>
      </c>
    </row>
    <row r="379" spans="1:4" x14ac:dyDescent="0.2">
      <c r="A379" s="38">
        <f t="shared" si="6"/>
        <v>365</v>
      </c>
      <c r="B379" s="38">
        <v>13303.703677444506</v>
      </c>
      <c r="C379" s="38">
        <f t="shared" si="6"/>
        <v>365</v>
      </c>
      <c r="D379" s="38">
        <v>296.35907047450439</v>
      </c>
    </row>
    <row r="380" spans="1:4" x14ac:dyDescent="0.2">
      <c r="A380" s="38">
        <f t="shared" si="6"/>
        <v>366</v>
      </c>
      <c r="B380" s="38">
        <v>8823.4984178513223</v>
      </c>
      <c r="C380" s="38">
        <f t="shared" si="6"/>
        <v>366</v>
      </c>
      <c r="D380" s="38">
        <v>418.47913563364904</v>
      </c>
    </row>
    <row r="381" spans="1:4" x14ac:dyDescent="0.2">
      <c r="A381" s="38">
        <f t="shared" si="6"/>
        <v>367</v>
      </c>
      <c r="B381" s="38">
        <v>7520.0082150542485</v>
      </c>
      <c r="C381" s="38">
        <f t="shared" si="6"/>
        <v>367</v>
      </c>
      <c r="D381" s="38">
        <v>362.85685111144824</v>
      </c>
    </row>
    <row r="382" spans="1:4" x14ac:dyDescent="0.2">
      <c r="A382" s="38">
        <f t="shared" si="6"/>
        <v>368</v>
      </c>
      <c r="B382" s="38">
        <v>12368.203621038476</v>
      </c>
      <c r="C382" s="38">
        <f t="shared" si="6"/>
        <v>368</v>
      </c>
      <c r="D382" s="38">
        <v>338.83675201964377</v>
      </c>
    </row>
    <row r="383" spans="1:4" x14ac:dyDescent="0.2">
      <c r="A383" s="38">
        <f t="shared" si="6"/>
        <v>369</v>
      </c>
      <c r="B383" s="38">
        <v>5117.0293748741115</v>
      </c>
      <c r="C383" s="38">
        <f t="shared" si="6"/>
        <v>369</v>
      </c>
      <c r="D383" s="38">
        <v>375.04289256658188</v>
      </c>
    </row>
    <row r="384" spans="1:4" x14ac:dyDescent="0.2">
      <c r="A384" s="38">
        <f t="shared" si="6"/>
        <v>370</v>
      </c>
      <c r="B384" s="38">
        <v>3605.4458495905392</v>
      </c>
      <c r="C384" s="38">
        <f t="shared" si="6"/>
        <v>370</v>
      </c>
      <c r="D384" s="38">
        <v>444.51446227978687</v>
      </c>
    </row>
    <row r="385" spans="1:4" x14ac:dyDescent="0.2">
      <c r="A385" s="38">
        <f t="shared" si="6"/>
        <v>371</v>
      </c>
      <c r="B385" s="38">
        <v>12520.332473090875</v>
      </c>
      <c r="C385" s="38">
        <f t="shared" si="6"/>
        <v>371</v>
      </c>
      <c r="D385" s="38">
        <v>340.15659965106352</v>
      </c>
    </row>
    <row r="386" spans="1:4" x14ac:dyDescent="0.2">
      <c r="A386" s="38">
        <f t="shared" si="6"/>
        <v>372</v>
      </c>
      <c r="B386" s="38">
        <v>6341.0030867085634</v>
      </c>
      <c r="C386" s="38">
        <f t="shared" si="6"/>
        <v>372</v>
      </c>
      <c r="D386" s="38">
        <v>386.83794897894916</v>
      </c>
    </row>
    <row r="387" spans="1:4" x14ac:dyDescent="0.2">
      <c r="A387" s="38">
        <f t="shared" si="6"/>
        <v>373</v>
      </c>
      <c r="B387" s="38">
        <v>4332.7842565091532</v>
      </c>
      <c r="C387" s="38">
        <f t="shared" si="6"/>
        <v>373</v>
      </c>
      <c r="D387" s="38">
        <v>334.33645949899301</v>
      </c>
    </row>
    <row r="388" spans="1:4" x14ac:dyDescent="0.2">
      <c r="A388" s="38">
        <f t="shared" si="6"/>
        <v>374</v>
      </c>
      <c r="B388" s="38">
        <v>8144.2256799356001</v>
      </c>
      <c r="C388" s="38">
        <f t="shared" si="6"/>
        <v>374</v>
      </c>
      <c r="D388" s="38">
        <v>382.53824298647726</v>
      </c>
    </row>
    <row r="389" spans="1:4" x14ac:dyDescent="0.2">
      <c r="A389" s="38">
        <f t="shared" si="6"/>
        <v>375</v>
      </c>
      <c r="B389" s="38">
        <v>5515.6388243498604</v>
      </c>
      <c r="C389" s="38">
        <f t="shared" si="6"/>
        <v>375</v>
      </c>
      <c r="D389" s="38">
        <v>306.91449367447257</v>
      </c>
    </row>
    <row r="390" spans="1:4" x14ac:dyDescent="0.2">
      <c r="A390" s="38">
        <f t="shared" si="6"/>
        <v>376</v>
      </c>
      <c r="B390" s="38">
        <v>5784.151972259775</v>
      </c>
      <c r="C390" s="38">
        <f t="shared" si="6"/>
        <v>376</v>
      </c>
      <c r="D390" s="38">
        <v>328.64484338309529</v>
      </c>
    </row>
    <row r="391" spans="1:4" x14ac:dyDescent="0.2">
      <c r="A391" s="38">
        <f t="shared" si="6"/>
        <v>377</v>
      </c>
      <c r="B391" s="38">
        <v>6401.8793294910865</v>
      </c>
      <c r="C391" s="38">
        <f t="shared" si="6"/>
        <v>377</v>
      </c>
      <c r="D391" s="38">
        <v>334.0326740440583</v>
      </c>
    </row>
    <row r="392" spans="1:4" x14ac:dyDescent="0.2">
      <c r="A392" s="38">
        <f t="shared" si="6"/>
        <v>378</v>
      </c>
      <c r="B392" s="38">
        <v>13368.354467583546</v>
      </c>
      <c r="C392" s="38">
        <f t="shared" si="6"/>
        <v>378</v>
      </c>
      <c r="D392" s="38">
        <v>351.91184901721834</v>
      </c>
    </row>
    <row r="393" spans="1:4" x14ac:dyDescent="0.2">
      <c r="A393" s="38">
        <f t="shared" si="6"/>
        <v>379</v>
      </c>
      <c r="B393" s="38">
        <v>7796.8964829584129</v>
      </c>
      <c r="C393" s="38">
        <f t="shared" si="6"/>
        <v>379</v>
      </c>
      <c r="D393" s="38">
        <v>295.09751770087269</v>
      </c>
    </row>
    <row r="394" spans="1:4" x14ac:dyDescent="0.2">
      <c r="A394" s="38">
        <f t="shared" si="6"/>
        <v>380</v>
      </c>
      <c r="B394" s="38">
        <v>7693.1890569516918</v>
      </c>
      <c r="C394" s="38">
        <f t="shared" si="6"/>
        <v>380</v>
      </c>
      <c r="D394" s="38">
        <v>360.42164747834698</v>
      </c>
    </row>
    <row r="395" spans="1:4" x14ac:dyDescent="0.2">
      <c r="A395" s="38">
        <f t="shared" si="6"/>
        <v>381</v>
      </c>
      <c r="B395" s="38">
        <v>12158.400446487351</v>
      </c>
      <c r="C395" s="38">
        <f t="shared" si="6"/>
        <v>381</v>
      </c>
      <c r="D395" s="38">
        <v>333.65195431426247</v>
      </c>
    </row>
    <row r="396" spans="1:4" x14ac:dyDescent="0.2">
      <c r="A396" s="38">
        <f t="shared" si="6"/>
        <v>382</v>
      </c>
      <c r="B396" s="38">
        <v>6106.1643591289076</v>
      </c>
      <c r="C396" s="38">
        <f t="shared" si="6"/>
        <v>382</v>
      </c>
      <c r="D396" s="38">
        <v>399.83965575230462</v>
      </c>
    </row>
    <row r="397" spans="1:4" x14ac:dyDescent="0.2">
      <c r="A397" s="38">
        <f t="shared" si="6"/>
        <v>383</v>
      </c>
      <c r="B397" s="38">
        <v>11482.240063204432</v>
      </c>
      <c r="C397" s="38">
        <f t="shared" si="6"/>
        <v>383</v>
      </c>
      <c r="D397" s="38">
        <v>372.25165019172232</v>
      </c>
    </row>
    <row r="398" spans="1:4" x14ac:dyDescent="0.2">
      <c r="A398" s="38">
        <f t="shared" si="6"/>
        <v>384</v>
      </c>
      <c r="B398" s="38">
        <v>4792.41703565433</v>
      </c>
      <c r="C398" s="38">
        <f t="shared" si="6"/>
        <v>384</v>
      </c>
      <c r="D398" s="38">
        <v>329.12722091645031</v>
      </c>
    </row>
    <row r="399" spans="1:4" x14ac:dyDescent="0.2">
      <c r="A399" s="38">
        <f t="shared" si="6"/>
        <v>385</v>
      </c>
      <c r="B399" s="38">
        <v>10225.755280887708</v>
      </c>
      <c r="C399" s="38">
        <f t="shared" si="6"/>
        <v>385</v>
      </c>
      <c r="D399" s="38">
        <v>335.30562186418354</v>
      </c>
    </row>
    <row r="400" spans="1:4" x14ac:dyDescent="0.2">
      <c r="A400" s="38">
        <f t="shared" si="6"/>
        <v>386</v>
      </c>
      <c r="B400" s="38">
        <v>5982.8547102994116</v>
      </c>
      <c r="C400" s="38">
        <f t="shared" si="6"/>
        <v>386</v>
      </c>
      <c r="D400" s="38">
        <v>368.42474385126519</v>
      </c>
    </row>
    <row r="401" spans="1:4" x14ac:dyDescent="0.2">
      <c r="A401" s="38">
        <f t="shared" si="6"/>
        <v>387</v>
      </c>
      <c r="B401" s="38">
        <v>5473.8612225617007</v>
      </c>
      <c r="C401" s="38">
        <f t="shared" si="6"/>
        <v>387</v>
      </c>
      <c r="D401" s="38">
        <v>350.96694769853013</v>
      </c>
    </row>
    <row r="402" spans="1:4" x14ac:dyDescent="0.2">
      <c r="A402" s="38">
        <f t="shared" si="6"/>
        <v>388</v>
      </c>
      <c r="B402" s="38">
        <v>5853.0716309525642</v>
      </c>
      <c r="C402" s="38">
        <f t="shared" si="6"/>
        <v>388</v>
      </c>
      <c r="D402" s="38">
        <v>366.13104513114405</v>
      </c>
    </row>
    <row r="403" spans="1:4" x14ac:dyDescent="0.2">
      <c r="A403" s="38">
        <f t="shared" si="6"/>
        <v>389</v>
      </c>
      <c r="B403" s="38">
        <v>10674.791161178868</v>
      </c>
      <c r="C403" s="38">
        <f t="shared" si="6"/>
        <v>389</v>
      </c>
      <c r="D403" s="38">
        <v>349.02267129282109</v>
      </c>
    </row>
    <row r="404" spans="1:4" x14ac:dyDescent="0.2">
      <c r="A404" s="38">
        <f t="shared" si="6"/>
        <v>390</v>
      </c>
      <c r="B404" s="38">
        <v>10735.868123929862</v>
      </c>
      <c r="C404" s="38">
        <f t="shared" si="6"/>
        <v>390</v>
      </c>
      <c r="D404" s="38">
        <v>454.77951034143183</v>
      </c>
    </row>
    <row r="405" spans="1:4" x14ac:dyDescent="0.2">
      <c r="A405" s="38">
        <f t="shared" si="6"/>
        <v>391</v>
      </c>
      <c r="B405" s="38">
        <v>7170.8984837990174</v>
      </c>
      <c r="C405" s="38">
        <f t="shared" si="6"/>
        <v>391</v>
      </c>
      <c r="D405" s="38">
        <v>395.44047454276443</v>
      </c>
    </row>
    <row r="406" spans="1:4" x14ac:dyDescent="0.2">
      <c r="A406" s="38">
        <f t="shared" si="6"/>
        <v>392</v>
      </c>
      <c r="B406" s="38">
        <v>7801.8751707859819</v>
      </c>
      <c r="C406" s="38">
        <f t="shared" si="6"/>
        <v>392</v>
      </c>
      <c r="D406" s="38">
        <v>355.2480772606782</v>
      </c>
    </row>
    <row r="407" spans="1:4" x14ac:dyDescent="0.2">
      <c r="A407" s="38">
        <f t="shared" si="6"/>
        <v>393</v>
      </c>
      <c r="B407" s="38">
        <v>5600.9005476637285</v>
      </c>
      <c r="C407" s="38">
        <f t="shared" si="6"/>
        <v>393</v>
      </c>
      <c r="D407" s="38">
        <v>335.499395777129</v>
      </c>
    </row>
    <row r="408" spans="1:4" x14ac:dyDescent="0.2">
      <c r="A408" s="38">
        <f t="shared" ref="A408:C471" si="7">A407+1</f>
        <v>394</v>
      </c>
      <c r="B408" s="38">
        <v>5975.8379619461302</v>
      </c>
      <c r="C408" s="38">
        <f t="shared" si="7"/>
        <v>394</v>
      </c>
      <c r="D408" s="38">
        <v>339.2855473932072</v>
      </c>
    </row>
    <row r="409" spans="1:4" x14ac:dyDescent="0.2">
      <c r="A409" s="38">
        <f t="shared" si="7"/>
        <v>395</v>
      </c>
      <c r="B409" s="38">
        <v>8216.2734677456792</v>
      </c>
      <c r="C409" s="38">
        <f t="shared" si="7"/>
        <v>395</v>
      </c>
      <c r="D409" s="38">
        <v>308.13550222373539</v>
      </c>
    </row>
    <row r="410" spans="1:4" x14ac:dyDescent="0.2">
      <c r="A410" s="38">
        <f t="shared" si="7"/>
        <v>396</v>
      </c>
      <c r="B410" s="38">
        <v>12132.559498683908</v>
      </c>
      <c r="C410" s="38">
        <f t="shared" si="7"/>
        <v>396</v>
      </c>
      <c r="D410" s="38">
        <v>367.87387902483675</v>
      </c>
    </row>
    <row r="411" spans="1:4" x14ac:dyDescent="0.2">
      <c r="A411" s="38">
        <f t="shared" si="7"/>
        <v>397</v>
      </c>
      <c r="B411" s="38">
        <v>11394.85384751018</v>
      </c>
      <c r="C411" s="38">
        <f t="shared" si="7"/>
        <v>397</v>
      </c>
      <c r="D411" s="38">
        <v>267.05431907416693</v>
      </c>
    </row>
    <row r="412" spans="1:4" x14ac:dyDescent="0.2">
      <c r="A412" s="38">
        <f t="shared" si="7"/>
        <v>398</v>
      </c>
      <c r="B412" s="38">
        <v>8338.2750467647984</v>
      </c>
      <c r="C412" s="38">
        <f t="shared" si="7"/>
        <v>398</v>
      </c>
      <c r="D412" s="38">
        <v>378.89587656196795</v>
      </c>
    </row>
    <row r="413" spans="1:4" x14ac:dyDescent="0.2">
      <c r="A413" s="38">
        <f t="shared" si="7"/>
        <v>399</v>
      </c>
      <c r="B413" s="38">
        <v>8389.6536936792509</v>
      </c>
      <c r="C413" s="38">
        <f t="shared" si="7"/>
        <v>399</v>
      </c>
      <c r="D413" s="38">
        <v>323.65685905687496</v>
      </c>
    </row>
    <row r="414" spans="1:4" x14ac:dyDescent="0.2">
      <c r="A414" s="38">
        <f t="shared" si="7"/>
        <v>400</v>
      </c>
      <c r="B414" s="38">
        <v>8598.0540038680138</v>
      </c>
      <c r="C414" s="38">
        <f t="shared" si="7"/>
        <v>400</v>
      </c>
      <c r="D414" s="38">
        <v>476.21664392998349</v>
      </c>
    </row>
    <row r="415" spans="1:4" x14ac:dyDescent="0.2">
      <c r="A415" s="38">
        <f t="shared" si="7"/>
        <v>401</v>
      </c>
      <c r="B415" s="38">
        <v>6736.4553829216302</v>
      </c>
      <c r="C415" s="38">
        <f t="shared" si="7"/>
        <v>401</v>
      </c>
      <c r="D415" s="38">
        <v>350.12338599391865</v>
      </c>
    </row>
    <row r="416" spans="1:4" x14ac:dyDescent="0.2">
      <c r="A416" s="38">
        <f t="shared" si="7"/>
        <v>402</v>
      </c>
      <c r="B416" s="38">
        <v>9997.1383022579721</v>
      </c>
      <c r="C416" s="38">
        <f t="shared" si="7"/>
        <v>402</v>
      </c>
      <c r="D416" s="38">
        <v>401.93227811533922</v>
      </c>
    </row>
    <row r="417" spans="1:4" x14ac:dyDescent="0.2">
      <c r="A417" s="38">
        <f t="shared" si="7"/>
        <v>403</v>
      </c>
      <c r="B417" s="38">
        <v>12998.416419320838</v>
      </c>
      <c r="C417" s="38">
        <f t="shared" si="7"/>
        <v>403</v>
      </c>
      <c r="D417" s="38">
        <v>296.7173574209844</v>
      </c>
    </row>
    <row r="418" spans="1:4" x14ac:dyDescent="0.2">
      <c r="A418" s="38">
        <f t="shared" si="7"/>
        <v>404</v>
      </c>
      <c r="B418" s="38">
        <v>7012.1592285034803</v>
      </c>
      <c r="C418" s="38">
        <f t="shared" si="7"/>
        <v>404</v>
      </c>
      <c r="D418" s="38">
        <v>391.83924656848166</v>
      </c>
    </row>
    <row r="419" spans="1:4" x14ac:dyDescent="0.2">
      <c r="A419" s="38">
        <f t="shared" si="7"/>
        <v>405</v>
      </c>
      <c r="B419" s="38">
        <v>6537.1036137207575</v>
      </c>
      <c r="C419" s="38">
        <f t="shared" si="7"/>
        <v>405</v>
      </c>
      <c r="D419" s="38">
        <v>403.76898246037564</v>
      </c>
    </row>
    <row r="420" spans="1:4" x14ac:dyDescent="0.2">
      <c r="A420" s="38">
        <f t="shared" si="7"/>
        <v>406</v>
      </c>
      <c r="B420" s="38">
        <v>11647.579804651323</v>
      </c>
      <c r="C420" s="38">
        <f t="shared" si="7"/>
        <v>406</v>
      </c>
      <c r="D420" s="38">
        <v>402.63334912973545</v>
      </c>
    </row>
    <row r="421" spans="1:4" x14ac:dyDescent="0.2">
      <c r="A421" s="38">
        <f t="shared" si="7"/>
        <v>407</v>
      </c>
      <c r="B421" s="38">
        <v>4107.9476779153865</v>
      </c>
      <c r="C421" s="38">
        <f t="shared" si="7"/>
        <v>407</v>
      </c>
      <c r="D421" s="38">
        <v>355.50924134694606</v>
      </c>
    </row>
    <row r="422" spans="1:4" x14ac:dyDescent="0.2">
      <c r="A422" s="38">
        <f t="shared" si="7"/>
        <v>408</v>
      </c>
      <c r="B422" s="38">
        <v>8477.1888702976521</v>
      </c>
      <c r="C422" s="38">
        <f t="shared" si="7"/>
        <v>408</v>
      </c>
      <c r="D422" s="38">
        <v>351.59404208475559</v>
      </c>
    </row>
    <row r="423" spans="1:4" x14ac:dyDescent="0.2">
      <c r="A423" s="38">
        <f t="shared" si="7"/>
        <v>409</v>
      </c>
      <c r="B423" s="38">
        <v>4337.3588361623852</v>
      </c>
      <c r="C423" s="38">
        <f t="shared" si="7"/>
        <v>409</v>
      </c>
      <c r="D423" s="38">
        <v>346.10329720239781</v>
      </c>
    </row>
    <row r="424" spans="1:4" x14ac:dyDescent="0.2">
      <c r="A424" s="38">
        <f t="shared" si="7"/>
        <v>410</v>
      </c>
      <c r="B424" s="38">
        <v>5336.9555519899313</v>
      </c>
      <c r="C424" s="38">
        <f t="shared" si="7"/>
        <v>410</v>
      </c>
      <c r="D424" s="38">
        <v>414.56384781857105</v>
      </c>
    </row>
    <row r="425" spans="1:4" x14ac:dyDescent="0.2">
      <c r="A425" s="38">
        <f t="shared" si="7"/>
        <v>411</v>
      </c>
      <c r="B425" s="38">
        <v>6869.538444707573</v>
      </c>
      <c r="C425" s="38">
        <f t="shared" si="7"/>
        <v>411</v>
      </c>
      <c r="D425" s="38">
        <v>427.5906798807884</v>
      </c>
    </row>
    <row r="426" spans="1:4" x14ac:dyDescent="0.2">
      <c r="A426" s="38">
        <f t="shared" si="7"/>
        <v>412</v>
      </c>
      <c r="B426" s="38">
        <v>12875.38952054923</v>
      </c>
      <c r="C426" s="38">
        <f t="shared" si="7"/>
        <v>412</v>
      </c>
      <c r="D426" s="38">
        <v>385.49958900741973</v>
      </c>
    </row>
    <row r="427" spans="1:4" x14ac:dyDescent="0.2">
      <c r="A427" s="38">
        <f t="shared" si="7"/>
        <v>413</v>
      </c>
      <c r="B427" s="38">
        <v>5349.4611328431911</v>
      </c>
      <c r="C427" s="38">
        <f t="shared" si="7"/>
        <v>413</v>
      </c>
      <c r="D427" s="38">
        <v>474.06242381710769</v>
      </c>
    </row>
    <row r="428" spans="1:4" x14ac:dyDescent="0.2">
      <c r="A428" s="38">
        <f t="shared" si="7"/>
        <v>414</v>
      </c>
      <c r="B428" s="38">
        <v>6656.3169812124188</v>
      </c>
      <c r="C428" s="38">
        <f t="shared" si="7"/>
        <v>414</v>
      </c>
      <c r="D428" s="38">
        <v>322.89629878362689</v>
      </c>
    </row>
    <row r="429" spans="1:4" x14ac:dyDescent="0.2">
      <c r="A429" s="38">
        <f t="shared" si="7"/>
        <v>415</v>
      </c>
      <c r="B429" s="38">
        <v>9593.1685618379306</v>
      </c>
      <c r="C429" s="38">
        <f t="shared" si="7"/>
        <v>415</v>
      </c>
      <c r="D429" s="38">
        <v>300.16109932235452</v>
      </c>
    </row>
    <row r="430" spans="1:4" x14ac:dyDescent="0.2">
      <c r="A430" s="38">
        <f t="shared" si="7"/>
        <v>416</v>
      </c>
      <c r="B430" s="38">
        <v>5217.9592854879638</v>
      </c>
      <c r="C430" s="38">
        <f t="shared" si="7"/>
        <v>416</v>
      </c>
      <c r="D430" s="38">
        <v>284.25110145649359</v>
      </c>
    </row>
    <row r="431" spans="1:4" x14ac:dyDescent="0.2">
      <c r="A431" s="38">
        <f t="shared" si="7"/>
        <v>417</v>
      </c>
      <c r="B431" s="38">
        <v>4537.2333983092294</v>
      </c>
      <c r="C431" s="38">
        <f t="shared" si="7"/>
        <v>417</v>
      </c>
      <c r="D431" s="38">
        <v>294.49976749656702</v>
      </c>
    </row>
    <row r="432" spans="1:4" x14ac:dyDescent="0.2">
      <c r="A432" s="38">
        <f t="shared" si="7"/>
        <v>418</v>
      </c>
      <c r="B432" s="38">
        <v>5218.5747291613934</v>
      </c>
      <c r="C432" s="38">
        <f t="shared" si="7"/>
        <v>418</v>
      </c>
      <c r="D432" s="38">
        <v>375.08184948876635</v>
      </c>
    </row>
    <row r="433" spans="1:4" x14ac:dyDescent="0.2">
      <c r="A433" s="38">
        <f t="shared" si="7"/>
        <v>419</v>
      </c>
      <c r="B433" s="38">
        <v>8400.9666013939441</v>
      </c>
      <c r="C433" s="38">
        <f t="shared" si="7"/>
        <v>419</v>
      </c>
      <c r="D433" s="38">
        <v>441.20880348387624</v>
      </c>
    </row>
    <row r="434" spans="1:4" x14ac:dyDescent="0.2">
      <c r="A434" s="38">
        <f t="shared" si="7"/>
        <v>420</v>
      </c>
      <c r="B434" s="38">
        <v>6145.0404327763335</v>
      </c>
      <c r="C434" s="38">
        <f t="shared" si="7"/>
        <v>420</v>
      </c>
      <c r="D434" s="38">
        <v>346.95666824654836</v>
      </c>
    </row>
    <row r="435" spans="1:4" x14ac:dyDescent="0.2">
      <c r="A435" s="38">
        <f t="shared" si="7"/>
        <v>421</v>
      </c>
      <c r="B435" s="38">
        <v>7862.8891891872363</v>
      </c>
      <c r="C435" s="38">
        <f t="shared" si="7"/>
        <v>421</v>
      </c>
      <c r="D435" s="38">
        <v>368.26728444711068</v>
      </c>
    </row>
    <row r="436" spans="1:4" x14ac:dyDescent="0.2">
      <c r="A436" s="38">
        <f t="shared" si="7"/>
        <v>422</v>
      </c>
      <c r="B436" s="38">
        <v>6405.1611952298663</v>
      </c>
      <c r="C436" s="38">
        <f t="shared" si="7"/>
        <v>422</v>
      </c>
      <c r="D436" s="38">
        <v>340.20137915058001</v>
      </c>
    </row>
    <row r="437" spans="1:4" x14ac:dyDescent="0.2">
      <c r="A437" s="38">
        <f t="shared" si="7"/>
        <v>423</v>
      </c>
      <c r="B437" s="38">
        <v>10879.819524085528</v>
      </c>
      <c r="C437" s="38">
        <f t="shared" si="7"/>
        <v>423</v>
      </c>
      <c r="D437" s="38">
        <v>292.1686236436251</v>
      </c>
    </row>
    <row r="438" spans="1:4" x14ac:dyDescent="0.2">
      <c r="A438" s="38">
        <f t="shared" si="7"/>
        <v>424</v>
      </c>
      <c r="B438" s="38">
        <v>5970.8619026187889</v>
      </c>
      <c r="C438" s="38">
        <f t="shared" si="7"/>
        <v>424</v>
      </c>
      <c r="D438" s="38">
        <v>340.78100166110983</v>
      </c>
    </row>
    <row r="439" spans="1:4" x14ac:dyDescent="0.2">
      <c r="A439" s="38">
        <f t="shared" si="7"/>
        <v>425</v>
      </c>
      <c r="B439" s="38">
        <v>11271.039283057387</v>
      </c>
      <c r="C439" s="38">
        <f t="shared" si="7"/>
        <v>425</v>
      </c>
      <c r="D439" s="38">
        <v>329.46736791735123</v>
      </c>
    </row>
    <row r="440" spans="1:4" x14ac:dyDescent="0.2">
      <c r="A440" s="38">
        <f t="shared" si="7"/>
        <v>426</v>
      </c>
      <c r="B440" s="38">
        <v>6941.1721419816949</v>
      </c>
      <c r="C440" s="38">
        <f t="shared" si="7"/>
        <v>426</v>
      </c>
      <c r="D440" s="38">
        <v>335.99657521510022</v>
      </c>
    </row>
    <row r="441" spans="1:4" x14ac:dyDescent="0.2">
      <c r="A441" s="38">
        <f t="shared" si="7"/>
        <v>427</v>
      </c>
      <c r="B441" s="38">
        <v>7290.0246082447411</v>
      </c>
      <c r="C441" s="38">
        <f t="shared" si="7"/>
        <v>427</v>
      </c>
      <c r="D441" s="38">
        <v>401.58263734659891</v>
      </c>
    </row>
    <row r="442" spans="1:4" x14ac:dyDescent="0.2">
      <c r="A442" s="38">
        <f t="shared" si="7"/>
        <v>428</v>
      </c>
      <c r="B442" s="38">
        <v>9258.5704430168207</v>
      </c>
      <c r="C442" s="38">
        <f t="shared" si="7"/>
        <v>428</v>
      </c>
      <c r="D442" s="38">
        <v>396.15696453258852</v>
      </c>
    </row>
    <row r="443" spans="1:4" x14ac:dyDescent="0.2">
      <c r="A443" s="38">
        <f t="shared" si="7"/>
        <v>429</v>
      </c>
      <c r="B443" s="38">
        <v>5930.3290864253859</v>
      </c>
      <c r="C443" s="38">
        <f t="shared" si="7"/>
        <v>429</v>
      </c>
      <c r="D443" s="38">
        <v>362.02516412706944</v>
      </c>
    </row>
    <row r="444" spans="1:4" x14ac:dyDescent="0.2">
      <c r="A444" s="38">
        <f t="shared" si="7"/>
        <v>430</v>
      </c>
      <c r="B444" s="38">
        <v>5681.2608354037384</v>
      </c>
      <c r="C444" s="38">
        <f t="shared" si="7"/>
        <v>430</v>
      </c>
      <c r="D444" s="38">
        <v>303.43131345960069</v>
      </c>
    </row>
    <row r="445" spans="1:4" x14ac:dyDescent="0.2">
      <c r="A445" s="38">
        <f t="shared" si="7"/>
        <v>431</v>
      </c>
      <c r="B445" s="38">
        <v>9729.2583236157698</v>
      </c>
      <c r="C445" s="38">
        <f t="shared" si="7"/>
        <v>431</v>
      </c>
      <c r="D445" s="38">
        <v>355.22427537766077</v>
      </c>
    </row>
    <row r="446" spans="1:4" x14ac:dyDescent="0.2">
      <c r="A446" s="38">
        <f t="shared" si="7"/>
        <v>432</v>
      </c>
      <c r="B446" s="38">
        <v>12062.972397935107</v>
      </c>
      <c r="C446" s="38">
        <f t="shared" si="7"/>
        <v>432</v>
      </c>
      <c r="D446" s="38">
        <v>353.57203703319544</v>
      </c>
    </row>
    <row r="447" spans="1:4" x14ac:dyDescent="0.2">
      <c r="A447" s="38">
        <f t="shared" si="7"/>
        <v>433</v>
      </c>
      <c r="B447" s="38">
        <v>11530.539078942778</v>
      </c>
      <c r="C447" s="38">
        <f t="shared" si="7"/>
        <v>433</v>
      </c>
      <c r="D447" s="38">
        <v>410.58826525088051</v>
      </c>
    </row>
    <row r="448" spans="1:4" x14ac:dyDescent="0.2">
      <c r="A448" s="38">
        <f t="shared" si="7"/>
        <v>434</v>
      </c>
      <c r="B448" s="38">
        <v>1579.2824505208375</v>
      </c>
      <c r="C448" s="38">
        <f t="shared" si="7"/>
        <v>434</v>
      </c>
      <c r="D448" s="38">
        <v>353.38267114324714</v>
      </c>
    </row>
    <row r="449" spans="1:4" x14ac:dyDescent="0.2">
      <c r="A449" s="38">
        <f t="shared" si="7"/>
        <v>435</v>
      </c>
      <c r="B449" s="38">
        <v>5476.6738358407729</v>
      </c>
      <c r="C449" s="38">
        <f t="shared" si="7"/>
        <v>435</v>
      </c>
      <c r="D449" s="38">
        <v>383.908892520623</v>
      </c>
    </row>
    <row r="450" spans="1:4" x14ac:dyDescent="0.2">
      <c r="A450" s="38">
        <f t="shared" si="7"/>
        <v>436</v>
      </c>
      <c r="B450" s="38">
        <v>8548.9640655459552</v>
      </c>
      <c r="C450" s="38">
        <f t="shared" si="7"/>
        <v>436</v>
      </c>
      <c r="D450" s="38">
        <v>389.15187729522438</v>
      </c>
    </row>
    <row r="451" spans="1:4" x14ac:dyDescent="0.2">
      <c r="A451" s="38">
        <f t="shared" si="7"/>
        <v>437</v>
      </c>
      <c r="B451" s="38">
        <v>9948.2430460868145</v>
      </c>
      <c r="C451" s="38">
        <f t="shared" si="7"/>
        <v>437</v>
      </c>
      <c r="D451" s="38">
        <v>362.28196138976114</v>
      </c>
    </row>
    <row r="452" spans="1:4" x14ac:dyDescent="0.2">
      <c r="A452" s="38">
        <f t="shared" si="7"/>
        <v>438</v>
      </c>
      <c r="B452" s="38">
        <v>2314.2690686524529</v>
      </c>
      <c r="C452" s="38">
        <f t="shared" si="7"/>
        <v>438</v>
      </c>
      <c r="D452" s="38">
        <v>314.82080798407725</v>
      </c>
    </row>
    <row r="453" spans="1:4" x14ac:dyDescent="0.2">
      <c r="A453" s="38">
        <f t="shared" si="7"/>
        <v>439</v>
      </c>
      <c r="B453" s="38">
        <v>13792.17096896779</v>
      </c>
      <c r="C453" s="38">
        <f t="shared" si="7"/>
        <v>439</v>
      </c>
      <c r="D453" s="38">
        <v>302.55858179801697</v>
      </c>
    </row>
    <row r="454" spans="1:4" x14ac:dyDescent="0.2">
      <c r="A454" s="38">
        <f t="shared" si="7"/>
        <v>440</v>
      </c>
      <c r="B454" s="38">
        <v>2778.986321819873</v>
      </c>
      <c r="C454" s="38">
        <f t="shared" si="7"/>
        <v>440</v>
      </c>
      <c r="D454" s="38">
        <v>360.41897061339171</v>
      </c>
    </row>
    <row r="455" spans="1:4" x14ac:dyDescent="0.2">
      <c r="A455" s="38">
        <f t="shared" si="7"/>
        <v>441</v>
      </c>
      <c r="B455" s="38">
        <v>7321.0242425620081</v>
      </c>
      <c r="C455" s="38">
        <f t="shared" si="7"/>
        <v>441</v>
      </c>
      <c r="D455" s="38">
        <v>383.83691656692366</v>
      </c>
    </row>
    <row r="456" spans="1:4" x14ac:dyDescent="0.2">
      <c r="A456" s="38">
        <f t="shared" si="7"/>
        <v>442</v>
      </c>
      <c r="B456" s="38">
        <v>8346.6850936377268</v>
      </c>
      <c r="C456" s="38">
        <f t="shared" si="7"/>
        <v>442</v>
      </c>
      <c r="D456" s="38">
        <v>317.10230677226741</v>
      </c>
    </row>
    <row r="457" spans="1:4" x14ac:dyDescent="0.2">
      <c r="A457" s="38">
        <f t="shared" si="7"/>
        <v>443</v>
      </c>
      <c r="B457" s="38">
        <v>13660.22991712043</v>
      </c>
      <c r="C457" s="38">
        <f t="shared" si="7"/>
        <v>443</v>
      </c>
      <c r="D457" s="38">
        <v>390.98931682388286</v>
      </c>
    </row>
    <row r="458" spans="1:4" x14ac:dyDescent="0.2">
      <c r="A458" s="38">
        <f t="shared" si="7"/>
        <v>444</v>
      </c>
      <c r="B458" s="38">
        <v>6961.087412256009</v>
      </c>
      <c r="C458" s="38">
        <f t="shared" si="7"/>
        <v>444</v>
      </c>
      <c r="D458" s="38">
        <v>329.84656140498157</v>
      </c>
    </row>
    <row r="459" spans="1:4" x14ac:dyDescent="0.2">
      <c r="A459" s="38">
        <f t="shared" si="7"/>
        <v>445</v>
      </c>
      <c r="B459" s="38">
        <v>6804.2928226615477</v>
      </c>
      <c r="C459" s="38">
        <f t="shared" si="7"/>
        <v>445</v>
      </c>
      <c r="D459" s="38">
        <v>430.271267459635</v>
      </c>
    </row>
    <row r="460" spans="1:4" x14ac:dyDescent="0.2">
      <c r="A460" s="38">
        <f t="shared" si="7"/>
        <v>446</v>
      </c>
      <c r="B460" s="38">
        <v>3561.5103478461497</v>
      </c>
      <c r="C460" s="38">
        <f t="shared" si="7"/>
        <v>446</v>
      </c>
      <c r="D460" s="38">
        <v>379.44778973673294</v>
      </c>
    </row>
    <row r="461" spans="1:4" x14ac:dyDescent="0.2">
      <c r="A461" s="38">
        <f t="shared" si="7"/>
        <v>447</v>
      </c>
      <c r="B461" s="38">
        <v>9424.0676613342639</v>
      </c>
      <c r="C461" s="38">
        <f t="shared" si="7"/>
        <v>447</v>
      </c>
      <c r="D461" s="38">
        <v>414.94791522990147</v>
      </c>
    </row>
    <row r="462" spans="1:4" x14ac:dyDescent="0.2">
      <c r="A462" s="38">
        <f t="shared" si="7"/>
        <v>448</v>
      </c>
      <c r="B462" s="38">
        <v>7756.4908052553819</v>
      </c>
      <c r="C462" s="38">
        <f t="shared" si="7"/>
        <v>448</v>
      </c>
      <c r="D462" s="38">
        <v>432.86155259445951</v>
      </c>
    </row>
    <row r="463" spans="1:4" x14ac:dyDescent="0.2">
      <c r="A463" s="38">
        <f t="shared" si="7"/>
        <v>449</v>
      </c>
      <c r="B463" s="38">
        <v>6272.9118281820365</v>
      </c>
      <c r="C463" s="38">
        <f t="shared" si="7"/>
        <v>449</v>
      </c>
      <c r="D463" s="38">
        <v>321.17057568884275</v>
      </c>
    </row>
    <row r="464" spans="1:4" x14ac:dyDescent="0.2">
      <c r="A464" s="38">
        <f t="shared" si="7"/>
        <v>450</v>
      </c>
      <c r="B464" s="38">
        <v>5101.0309262691544</v>
      </c>
      <c r="C464" s="38">
        <f t="shared" si="7"/>
        <v>450</v>
      </c>
      <c r="D464" s="38">
        <v>342.92077109512701</v>
      </c>
    </row>
    <row r="465" spans="1:4" x14ac:dyDescent="0.2">
      <c r="A465" s="38">
        <f t="shared" si="7"/>
        <v>451</v>
      </c>
      <c r="B465" s="38">
        <v>8578.6971976573186</v>
      </c>
      <c r="C465" s="38">
        <f t="shared" si="7"/>
        <v>451</v>
      </c>
      <c r="D465" s="38">
        <v>344.77955371114797</v>
      </c>
    </row>
    <row r="466" spans="1:4" x14ac:dyDescent="0.2">
      <c r="A466" s="38">
        <f t="shared" si="7"/>
        <v>452</v>
      </c>
      <c r="B466" s="38">
        <v>7014.5195571235499</v>
      </c>
      <c r="C466" s="38">
        <f t="shared" si="7"/>
        <v>452</v>
      </c>
      <c r="D466" s="38">
        <v>355.34221496661957</v>
      </c>
    </row>
    <row r="467" spans="1:4" x14ac:dyDescent="0.2">
      <c r="A467" s="38">
        <f t="shared" si="7"/>
        <v>453</v>
      </c>
      <c r="B467" s="38">
        <v>12127.736184147892</v>
      </c>
      <c r="C467" s="38">
        <f t="shared" si="7"/>
        <v>453</v>
      </c>
      <c r="D467" s="38">
        <v>361.6110695555372</v>
      </c>
    </row>
    <row r="468" spans="1:4" x14ac:dyDescent="0.2">
      <c r="A468" s="38">
        <f t="shared" si="7"/>
        <v>454</v>
      </c>
      <c r="B468" s="38">
        <v>6170.1599976679063</v>
      </c>
      <c r="C468" s="38">
        <f t="shared" si="7"/>
        <v>454</v>
      </c>
      <c r="D468" s="38">
        <v>343.73960496855864</v>
      </c>
    </row>
    <row r="469" spans="1:4" x14ac:dyDescent="0.2">
      <c r="A469" s="38">
        <f t="shared" si="7"/>
        <v>455</v>
      </c>
      <c r="B469" s="38">
        <v>11664.504975700864</v>
      </c>
      <c r="C469" s="38">
        <f t="shared" si="7"/>
        <v>455</v>
      </c>
      <c r="D469" s="38">
        <v>288.74218686883728</v>
      </c>
    </row>
    <row r="470" spans="1:4" x14ac:dyDescent="0.2">
      <c r="A470" s="38">
        <f t="shared" si="7"/>
        <v>456</v>
      </c>
      <c r="B470" s="38">
        <v>2113.276598665354</v>
      </c>
      <c r="C470" s="38">
        <f t="shared" si="7"/>
        <v>456</v>
      </c>
      <c r="D470" s="38">
        <v>319.66107213923107</v>
      </c>
    </row>
    <row r="471" spans="1:4" x14ac:dyDescent="0.2">
      <c r="A471" s="38">
        <f t="shared" si="7"/>
        <v>457</v>
      </c>
      <c r="B471" s="38">
        <v>5441.3010970346368</v>
      </c>
      <c r="C471" s="38">
        <f t="shared" si="7"/>
        <v>457</v>
      </c>
      <c r="D471" s="38">
        <v>358.7653280997103</v>
      </c>
    </row>
    <row r="472" spans="1:4" x14ac:dyDescent="0.2">
      <c r="A472" s="38">
        <f t="shared" ref="A472:C535" si="8">A471+1</f>
        <v>458</v>
      </c>
      <c r="B472" s="38">
        <v>8627.194097949674</v>
      </c>
      <c r="C472" s="38">
        <f t="shared" si="8"/>
        <v>458</v>
      </c>
      <c r="D472" s="38">
        <v>340.22359103223573</v>
      </c>
    </row>
    <row r="473" spans="1:4" x14ac:dyDescent="0.2">
      <c r="A473" s="38">
        <f t="shared" si="8"/>
        <v>459</v>
      </c>
      <c r="B473" s="38">
        <v>9666.1286459080475</v>
      </c>
      <c r="C473" s="38">
        <f t="shared" si="8"/>
        <v>459</v>
      </c>
      <c r="D473" s="38">
        <v>403.00094029211454</v>
      </c>
    </row>
    <row r="474" spans="1:4" x14ac:dyDescent="0.2">
      <c r="A474" s="38">
        <f t="shared" si="8"/>
        <v>460</v>
      </c>
      <c r="B474" s="38">
        <v>8772.0643889009916</v>
      </c>
      <c r="C474" s="38">
        <f t="shared" si="8"/>
        <v>460</v>
      </c>
      <c r="D474" s="38">
        <v>332.15053426779633</v>
      </c>
    </row>
    <row r="475" spans="1:4" x14ac:dyDescent="0.2">
      <c r="A475" s="38">
        <f t="shared" si="8"/>
        <v>461</v>
      </c>
      <c r="B475" s="38">
        <v>5985.1357852851806</v>
      </c>
      <c r="C475" s="38">
        <f t="shared" si="8"/>
        <v>461</v>
      </c>
      <c r="D475" s="38">
        <v>319.63013895421949</v>
      </c>
    </row>
    <row r="476" spans="1:4" x14ac:dyDescent="0.2">
      <c r="A476" s="38">
        <f t="shared" si="8"/>
        <v>462</v>
      </c>
      <c r="B476" s="38">
        <v>11083.321065592776</v>
      </c>
      <c r="C476" s="38">
        <f t="shared" si="8"/>
        <v>462</v>
      </c>
      <c r="D476" s="38">
        <v>402.48615885529904</v>
      </c>
    </row>
    <row r="477" spans="1:4" x14ac:dyDescent="0.2">
      <c r="A477" s="38">
        <f t="shared" si="8"/>
        <v>463</v>
      </c>
      <c r="B477" s="38">
        <v>6970.4417780199929</v>
      </c>
      <c r="C477" s="38">
        <f t="shared" si="8"/>
        <v>463</v>
      </c>
      <c r="D477" s="38">
        <v>301.52999859455343</v>
      </c>
    </row>
    <row r="478" spans="1:4" x14ac:dyDescent="0.2">
      <c r="A478" s="38">
        <f t="shared" si="8"/>
        <v>464</v>
      </c>
      <c r="B478" s="38">
        <v>3521.5477504833871</v>
      </c>
      <c r="C478" s="38">
        <f t="shared" si="8"/>
        <v>464</v>
      </c>
      <c r="D478" s="38">
        <v>361.98979079303592</v>
      </c>
    </row>
    <row r="479" spans="1:4" x14ac:dyDescent="0.2">
      <c r="A479" s="38">
        <f t="shared" si="8"/>
        <v>465</v>
      </c>
      <c r="B479" s="38">
        <v>6879.205583740415</v>
      </c>
      <c r="C479" s="38">
        <f t="shared" si="8"/>
        <v>465</v>
      </c>
      <c r="D479" s="38">
        <v>355.28711161660578</v>
      </c>
    </row>
    <row r="480" spans="1:4" x14ac:dyDescent="0.2">
      <c r="A480" s="38">
        <f t="shared" si="8"/>
        <v>466</v>
      </c>
      <c r="B480" s="38">
        <v>7199.1536286467217</v>
      </c>
      <c r="C480" s="38">
        <f t="shared" si="8"/>
        <v>466</v>
      </c>
      <c r="D480" s="38">
        <v>345.35706772700047</v>
      </c>
    </row>
    <row r="481" spans="1:4" x14ac:dyDescent="0.2">
      <c r="A481" s="38">
        <f t="shared" si="8"/>
        <v>467</v>
      </c>
      <c r="B481" s="38">
        <v>7562.1053330989662</v>
      </c>
      <c r="C481" s="38">
        <f t="shared" si="8"/>
        <v>467</v>
      </c>
      <c r="D481" s="38">
        <v>377.20244250279046</v>
      </c>
    </row>
    <row r="482" spans="1:4" x14ac:dyDescent="0.2">
      <c r="A482" s="38">
        <f t="shared" si="8"/>
        <v>468</v>
      </c>
      <c r="B482" s="38">
        <v>6703.6188862058225</v>
      </c>
      <c r="C482" s="38">
        <f t="shared" si="8"/>
        <v>468</v>
      </c>
      <c r="D482" s="38">
        <v>365.27636593851366</v>
      </c>
    </row>
    <row r="483" spans="1:4" x14ac:dyDescent="0.2">
      <c r="A483" s="38">
        <f t="shared" si="8"/>
        <v>469</v>
      </c>
      <c r="B483" s="38">
        <v>4965.8629617252109</v>
      </c>
      <c r="C483" s="38">
        <f t="shared" si="8"/>
        <v>469</v>
      </c>
      <c r="D483" s="38">
        <v>384.1878078694586</v>
      </c>
    </row>
    <row r="484" spans="1:4" x14ac:dyDescent="0.2">
      <c r="A484" s="38">
        <f t="shared" si="8"/>
        <v>470</v>
      </c>
      <c r="B484" s="38">
        <v>2848.3197950175313</v>
      </c>
      <c r="C484" s="38">
        <f t="shared" si="8"/>
        <v>470</v>
      </c>
      <c r="D484" s="38">
        <v>420.97498962058586</v>
      </c>
    </row>
    <row r="485" spans="1:4" x14ac:dyDescent="0.2">
      <c r="A485" s="38">
        <f t="shared" si="8"/>
        <v>471</v>
      </c>
      <c r="B485" s="38">
        <v>5474.150825894736</v>
      </c>
      <c r="C485" s="38">
        <f t="shared" si="8"/>
        <v>471</v>
      </c>
      <c r="D485" s="38">
        <v>371.02231711038911</v>
      </c>
    </row>
    <row r="486" spans="1:4" x14ac:dyDescent="0.2">
      <c r="A486" s="38">
        <f t="shared" si="8"/>
        <v>472</v>
      </c>
      <c r="B486" s="38">
        <v>6428.9041317541805</v>
      </c>
      <c r="C486" s="38">
        <f t="shared" si="8"/>
        <v>472</v>
      </c>
      <c r="D486" s="38">
        <v>399.94195913481019</v>
      </c>
    </row>
    <row r="487" spans="1:4" x14ac:dyDescent="0.2">
      <c r="A487" s="38">
        <f t="shared" si="8"/>
        <v>473</v>
      </c>
      <c r="B487" s="38">
        <v>3484.1547832798074</v>
      </c>
      <c r="C487" s="38">
        <f t="shared" si="8"/>
        <v>473</v>
      </c>
      <c r="D487" s="38">
        <v>374.14630900104333</v>
      </c>
    </row>
    <row r="488" spans="1:4" x14ac:dyDescent="0.2">
      <c r="A488" s="38">
        <f t="shared" si="8"/>
        <v>474</v>
      </c>
      <c r="B488" s="38">
        <v>5983.5850844110337</v>
      </c>
      <c r="C488" s="38">
        <f t="shared" si="8"/>
        <v>474</v>
      </c>
      <c r="D488" s="38">
        <v>332.84865527992537</v>
      </c>
    </row>
    <row r="489" spans="1:4" x14ac:dyDescent="0.2">
      <c r="A489" s="38">
        <f t="shared" si="8"/>
        <v>475</v>
      </c>
      <c r="B489" s="38">
        <v>9908.9292452079171</v>
      </c>
      <c r="C489" s="38">
        <f t="shared" si="8"/>
        <v>475</v>
      </c>
      <c r="D489" s="38">
        <v>335.38913022190985</v>
      </c>
    </row>
    <row r="490" spans="1:4" x14ac:dyDescent="0.2">
      <c r="A490" s="38">
        <f t="shared" si="8"/>
        <v>476</v>
      </c>
      <c r="B490" s="38">
        <v>5885.7984271554742</v>
      </c>
      <c r="C490" s="38">
        <f t="shared" si="8"/>
        <v>476</v>
      </c>
      <c r="D490" s="38">
        <v>394.72593687262292</v>
      </c>
    </row>
    <row r="491" spans="1:4" x14ac:dyDescent="0.2">
      <c r="A491" s="38">
        <f t="shared" si="8"/>
        <v>477</v>
      </c>
      <c r="B491" s="38">
        <v>5794.9768411829664</v>
      </c>
      <c r="C491" s="38">
        <f t="shared" si="8"/>
        <v>477</v>
      </c>
      <c r="D491" s="38">
        <v>388.08253912799245</v>
      </c>
    </row>
    <row r="492" spans="1:4" x14ac:dyDescent="0.2">
      <c r="A492" s="38">
        <f t="shared" si="8"/>
        <v>478</v>
      </c>
      <c r="B492" s="38">
        <v>3737.2636719828106</v>
      </c>
      <c r="C492" s="38">
        <f t="shared" si="8"/>
        <v>478</v>
      </c>
      <c r="D492" s="38">
        <v>326.03903663616802</v>
      </c>
    </row>
    <row r="493" spans="1:4" x14ac:dyDescent="0.2">
      <c r="A493" s="38">
        <f t="shared" si="8"/>
        <v>479</v>
      </c>
      <c r="B493" s="38">
        <v>6082.0006380673731</v>
      </c>
      <c r="C493" s="38">
        <f t="shared" si="8"/>
        <v>479</v>
      </c>
      <c r="D493" s="38">
        <v>398.43726834486893</v>
      </c>
    </row>
    <row r="494" spans="1:4" x14ac:dyDescent="0.2">
      <c r="A494" s="38">
        <f t="shared" si="8"/>
        <v>480</v>
      </c>
      <c r="B494" s="38">
        <v>10808.103498931505</v>
      </c>
      <c r="C494" s="38">
        <f t="shared" si="8"/>
        <v>480</v>
      </c>
      <c r="D494" s="38">
        <v>368.45926079719823</v>
      </c>
    </row>
    <row r="495" spans="1:4" x14ac:dyDescent="0.2">
      <c r="A495" s="38">
        <f t="shared" si="8"/>
        <v>481</v>
      </c>
      <c r="B495" s="38">
        <v>11264.929508886456</v>
      </c>
      <c r="C495" s="38">
        <f t="shared" si="8"/>
        <v>481</v>
      </c>
      <c r="D495" s="38">
        <v>310.92758751335998</v>
      </c>
    </row>
    <row r="496" spans="1:4" x14ac:dyDescent="0.2">
      <c r="A496" s="38">
        <f t="shared" si="8"/>
        <v>482</v>
      </c>
      <c r="B496" s="38">
        <v>3615.5396947787203</v>
      </c>
      <c r="C496" s="38">
        <f t="shared" si="8"/>
        <v>482</v>
      </c>
      <c r="D496" s="38">
        <v>360.60412241802658</v>
      </c>
    </row>
    <row r="497" spans="1:4" x14ac:dyDescent="0.2">
      <c r="A497" s="38">
        <f t="shared" si="8"/>
        <v>483</v>
      </c>
      <c r="B497" s="38">
        <v>8110.2369960954802</v>
      </c>
      <c r="C497" s="38">
        <f t="shared" si="8"/>
        <v>483</v>
      </c>
      <c r="D497" s="38">
        <v>307.02519288867506</v>
      </c>
    </row>
    <row r="498" spans="1:4" x14ac:dyDescent="0.2">
      <c r="A498" s="38">
        <f t="shared" si="8"/>
        <v>484</v>
      </c>
      <c r="B498" s="38">
        <v>10673.736097116103</v>
      </c>
      <c r="C498" s="38">
        <f t="shared" si="8"/>
        <v>484</v>
      </c>
      <c r="D498" s="38">
        <v>369.57746113587564</v>
      </c>
    </row>
    <row r="499" spans="1:4" x14ac:dyDescent="0.2">
      <c r="A499" s="38">
        <f t="shared" si="8"/>
        <v>485</v>
      </c>
      <c r="B499" s="38">
        <v>10316.897340577849</v>
      </c>
      <c r="C499" s="38">
        <f t="shared" si="8"/>
        <v>485</v>
      </c>
      <c r="D499" s="38">
        <v>326.34267107546992</v>
      </c>
    </row>
    <row r="500" spans="1:4" x14ac:dyDescent="0.2">
      <c r="A500" s="38">
        <f t="shared" si="8"/>
        <v>486</v>
      </c>
      <c r="B500" s="38">
        <v>11410.460157871184</v>
      </c>
      <c r="C500" s="38">
        <f t="shared" si="8"/>
        <v>486</v>
      </c>
      <c r="D500" s="38">
        <v>318.66496503900777</v>
      </c>
    </row>
    <row r="501" spans="1:4" x14ac:dyDescent="0.2">
      <c r="A501" s="38">
        <f t="shared" si="8"/>
        <v>487</v>
      </c>
      <c r="B501" s="38">
        <v>5796.1260868177951</v>
      </c>
      <c r="C501" s="38">
        <f t="shared" si="8"/>
        <v>487</v>
      </c>
      <c r="D501" s="38">
        <v>388.13768329088464</v>
      </c>
    </row>
    <row r="502" spans="1:4" x14ac:dyDescent="0.2">
      <c r="A502" s="38">
        <f t="shared" si="8"/>
        <v>488</v>
      </c>
      <c r="B502" s="38">
        <v>4843.648209236203</v>
      </c>
      <c r="C502" s="38">
        <f t="shared" si="8"/>
        <v>488</v>
      </c>
      <c r="D502" s="38">
        <v>362.7239439506593</v>
      </c>
    </row>
    <row r="503" spans="1:4" x14ac:dyDescent="0.2">
      <c r="A503" s="38">
        <f t="shared" si="8"/>
        <v>489</v>
      </c>
      <c r="B503" s="38">
        <v>12852.746304080025</v>
      </c>
      <c r="C503" s="38">
        <f t="shared" si="8"/>
        <v>489</v>
      </c>
      <c r="D503" s="38">
        <v>293.01577737752115</v>
      </c>
    </row>
    <row r="504" spans="1:4" x14ac:dyDescent="0.2">
      <c r="A504" s="38">
        <f t="shared" si="8"/>
        <v>490</v>
      </c>
      <c r="B504" s="38">
        <v>3811.3380069956288</v>
      </c>
      <c r="C504" s="38">
        <f t="shared" si="8"/>
        <v>490</v>
      </c>
      <c r="D504" s="38">
        <v>343.56889295888891</v>
      </c>
    </row>
    <row r="505" spans="1:4" x14ac:dyDescent="0.2">
      <c r="A505" s="38">
        <f t="shared" si="8"/>
        <v>491</v>
      </c>
      <c r="B505" s="38">
        <v>10916.840394702975</v>
      </c>
      <c r="C505" s="38">
        <f t="shared" si="8"/>
        <v>491</v>
      </c>
      <c r="D505" s="38">
        <v>398.33234758672376</v>
      </c>
    </row>
    <row r="506" spans="1:4" x14ac:dyDescent="0.2">
      <c r="A506" s="38">
        <f t="shared" si="8"/>
        <v>492</v>
      </c>
      <c r="B506" s="38">
        <v>3546.4864548977403</v>
      </c>
      <c r="C506" s="38">
        <f t="shared" si="8"/>
        <v>492</v>
      </c>
      <c r="D506" s="38">
        <v>374.79473103996344</v>
      </c>
    </row>
    <row r="507" spans="1:4" x14ac:dyDescent="0.2">
      <c r="A507" s="38">
        <f t="shared" si="8"/>
        <v>493</v>
      </c>
      <c r="B507" s="38">
        <v>10899.510996078016</v>
      </c>
      <c r="C507" s="38">
        <f t="shared" si="8"/>
        <v>493</v>
      </c>
      <c r="D507" s="38">
        <v>391.92539454835668</v>
      </c>
    </row>
    <row r="508" spans="1:4" x14ac:dyDescent="0.2">
      <c r="A508" s="38">
        <f t="shared" si="8"/>
        <v>494</v>
      </c>
      <c r="B508" s="38">
        <v>7928.4203210829937</v>
      </c>
      <c r="C508" s="38">
        <f t="shared" si="8"/>
        <v>494</v>
      </c>
      <c r="D508" s="38">
        <v>298.19057001451398</v>
      </c>
    </row>
    <row r="509" spans="1:4" x14ac:dyDescent="0.2">
      <c r="A509" s="38">
        <f t="shared" si="8"/>
        <v>495</v>
      </c>
      <c r="B509" s="38">
        <v>4353.643303315991</v>
      </c>
      <c r="C509" s="38">
        <f t="shared" si="8"/>
        <v>495</v>
      </c>
      <c r="D509" s="38">
        <v>360.13981717944557</v>
      </c>
    </row>
    <row r="510" spans="1:4" x14ac:dyDescent="0.2">
      <c r="A510" s="38">
        <f t="shared" si="8"/>
        <v>496</v>
      </c>
      <c r="B510" s="38">
        <v>7403.8026138660589</v>
      </c>
      <c r="C510" s="38">
        <f t="shared" si="8"/>
        <v>496</v>
      </c>
      <c r="D510" s="38">
        <v>366.17133315153797</v>
      </c>
    </row>
    <row r="511" spans="1:4" x14ac:dyDescent="0.2">
      <c r="A511" s="38">
        <f t="shared" si="8"/>
        <v>497</v>
      </c>
      <c r="B511" s="38">
        <v>8831.0083864073204</v>
      </c>
      <c r="C511" s="38">
        <f t="shared" si="8"/>
        <v>497</v>
      </c>
      <c r="D511" s="38">
        <v>349.79030173486541</v>
      </c>
    </row>
    <row r="512" spans="1:4" x14ac:dyDescent="0.2">
      <c r="A512" s="38">
        <f t="shared" si="8"/>
        <v>498</v>
      </c>
      <c r="B512" s="38">
        <v>6963.6486914182406</v>
      </c>
      <c r="C512" s="38">
        <f t="shared" si="8"/>
        <v>498</v>
      </c>
      <c r="D512" s="38">
        <v>341.60890508426348</v>
      </c>
    </row>
    <row r="513" spans="1:4" x14ac:dyDescent="0.2">
      <c r="A513" s="38">
        <f t="shared" si="8"/>
        <v>499</v>
      </c>
      <c r="B513" s="38">
        <v>885.00170242655417</v>
      </c>
      <c r="C513" s="38">
        <f t="shared" si="8"/>
        <v>499</v>
      </c>
      <c r="D513" s="38">
        <v>366.2182221548079</v>
      </c>
    </row>
    <row r="514" spans="1:4" x14ac:dyDescent="0.2">
      <c r="A514" s="38">
        <f t="shared" si="8"/>
        <v>500</v>
      </c>
      <c r="B514" s="38">
        <v>11352.317498943466</v>
      </c>
      <c r="C514" s="38">
        <f t="shared" si="8"/>
        <v>500</v>
      </c>
      <c r="D514" s="38">
        <v>432.64257186497082</v>
      </c>
    </row>
    <row r="515" spans="1:4" x14ac:dyDescent="0.2">
      <c r="A515" s="38">
        <f t="shared" si="8"/>
        <v>501</v>
      </c>
      <c r="B515" s="38">
        <v>10414.757051106399</v>
      </c>
      <c r="C515" s="38">
        <f t="shared" si="8"/>
        <v>501</v>
      </c>
      <c r="D515" s="38">
        <v>431.87355512936006</v>
      </c>
    </row>
    <row r="516" spans="1:4" x14ac:dyDescent="0.2">
      <c r="A516" s="38">
        <f t="shared" si="8"/>
        <v>502</v>
      </c>
      <c r="B516" s="38">
        <v>6500.387688223158</v>
      </c>
      <c r="C516" s="38">
        <f t="shared" si="8"/>
        <v>502</v>
      </c>
      <c r="D516" s="38">
        <v>383.26578000387877</v>
      </c>
    </row>
    <row r="517" spans="1:4" x14ac:dyDescent="0.2">
      <c r="A517" s="38">
        <f t="shared" si="8"/>
        <v>503</v>
      </c>
      <c r="B517" s="38">
        <v>7537.5202173313301</v>
      </c>
      <c r="C517" s="38">
        <f t="shared" si="8"/>
        <v>503</v>
      </c>
      <c r="D517" s="38">
        <v>367.00959016903801</v>
      </c>
    </row>
    <row r="518" spans="1:4" x14ac:dyDescent="0.2">
      <c r="A518" s="38">
        <f t="shared" si="8"/>
        <v>504</v>
      </c>
      <c r="B518" s="38">
        <v>17647.309844778178</v>
      </c>
      <c r="C518" s="38">
        <f t="shared" si="8"/>
        <v>504</v>
      </c>
      <c r="D518" s="38">
        <v>369.47666773527345</v>
      </c>
    </row>
    <row r="519" spans="1:4" x14ac:dyDescent="0.2">
      <c r="A519" s="38">
        <f t="shared" si="8"/>
        <v>505</v>
      </c>
      <c r="B519" s="38">
        <v>7629.6296879615875</v>
      </c>
      <c r="C519" s="38">
        <f t="shared" si="8"/>
        <v>505</v>
      </c>
      <c r="D519" s="38">
        <v>359.60380846445673</v>
      </c>
    </row>
    <row r="520" spans="1:4" x14ac:dyDescent="0.2">
      <c r="A520" s="38">
        <f t="shared" si="8"/>
        <v>506</v>
      </c>
      <c r="B520" s="38">
        <v>6461.1776980067589</v>
      </c>
      <c r="C520" s="38">
        <f t="shared" si="8"/>
        <v>506</v>
      </c>
      <c r="D520" s="38">
        <v>335.6977245775455</v>
      </c>
    </row>
    <row r="521" spans="1:4" x14ac:dyDescent="0.2">
      <c r="A521" s="38">
        <f t="shared" si="8"/>
        <v>507</v>
      </c>
      <c r="B521" s="38">
        <v>7580.3759526759859</v>
      </c>
      <c r="C521" s="38">
        <f t="shared" si="8"/>
        <v>507</v>
      </c>
      <c r="D521" s="38">
        <v>319.2076345213224</v>
      </c>
    </row>
    <row r="522" spans="1:4" x14ac:dyDescent="0.2">
      <c r="A522" s="38">
        <f t="shared" si="8"/>
        <v>508</v>
      </c>
      <c r="B522" s="38">
        <v>8828.0770973189829</v>
      </c>
      <c r="C522" s="38">
        <f t="shared" si="8"/>
        <v>508</v>
      </c>
      <c r="D522" s="38">
        <v>367.96348057155433</v>
      </c>
    </row>
    <row r="523" spans="1:4" x14ac:dyDescent="0.2">
      <c r="A523" s="38">
        <f t="shared" si="8"/>
        <v>509</v>
      </c>
      <c r="B523" s="38">
        <v>11101.503479201607</v>
      </c>
      <c r="C523" s="38">
        <f t="shared" si="8"/>
        <v>509</v>
      </c>
      <c r="D523" s="38">
        <v>336.43638518659958</v>
      </c>
    </row>
    <row r="524" spans="1:4" x14ac:dyDescent="0.2">
      <c r="A524" s="38">
        <f t="shared" si="8"/>
        <v>510</v>
      </c>
      <c r="B524" s="38">
        <v>5091.3097232377204</v>
      </c>
      <c r="C524" s="38">
        <f t="shared" si="8"/>
        <v>510</v>
      </c>
      <c r="D524" s="38">
        <v>370.43811671326102</v>
      </c>
    </row>
    <row r="525" spans="1:4" x14ac:dyDescent="0.2">
      <c r="A525" s="38">
        <f t="shared" si="8"/>
        <v>511</v>
      </c>
      <c r="B525" s="38">
        <v>4574.7570304028377</v>
      </c>
      <c r="C525" s="38">
        <f t="shared" si="8"/>
        <v>511</v>
      </c>
      <c r="D525" s="38">
        <v>443.58405736941023</v>
      </c>
    </row>
    <row r="526" spans="1:4" x14ac:dyDescent="0.2">
      <c r="A526" s="38">
        <f t="shared" si="8"/>
        <v>512</v>
      </c>
      <c r="B526" s="38">
        <v>8030.7521129527686</v>
      </c>
      <c r="C526" s="38">
        <f t="shared" si="8"/>
        <v>512</v>
      </c>
      <c r="D526" s="38">
        <v>384.3689058102193</v>
      </c>
    </row>
    <row r="527" spans="1:4" x14ac:dyDescent="0.2">
      <c r="A527" s="38">
        <f t="shared" si="8"/>
        <v>513</v>
      </c>
      <c r="B527" s="38">
        <v>13634.408235619705</v>
      </c>
      <c r="C527" s="38">
        <f t="shared" si="8"/>
        <v>513</v>
      </c>
      <c r="D527" s="38">
        <v>366.96153005078315</v>
      </c>
    </row>
    <row r="528" spans="1:4" x14ac:dyDescent="0.2">
      <c r="A528" s="38">
        <f t="shared" si="8"/>
        <v>514</v>
      </c>
      <c r="B528" s="38">
        <v>14088.300202557195</v>
      </c>
      <c r="C528" s="38">
        <f t="shared" si="8"/>
        <v>514</v>
      </c>
      <c r="D528" s="38">
        <v>312.54530089353796</v>
      </c>
    </row>
    <row r="529" spans="1:4" x14ac:dyDescent="0.2">
      <c r="A529" s="38">
        <f t="shared" si="8"/>
        <v>515</v>
      </c>
      <c r="B529" s="38">
        <v>4627.7429314536103</v>
      </c>
      <c r="C529" s="38">
        <f t="shared" si="8"/>
        <v>515</v>
      </c>
      <c r="D529" s="38">
        <v>352.11273098930008</v>
      </c>
    </row>
    <row r="530" spans="1:4" x14ac:dyDescent="0.2">
      <c r="A530" s="38">
        <f t="shared" si="8"/>
        <v>516</v>
      </c>
      <c r="B530" s="38">
        <v>7768.74702994975</v>
      </c>
      <c r="C530" s="38">
        <f t="shared" si="8"/>
        <v>516</v>
      </c>
      <c r="D530" s="38">
        <v>414.7690010529617</v>
      </c>
    </row>
    <row r="531" spans="1:4" x14ac:dyDescent="0.2">
      <c r="A531" s="38">
        <f t="shared" si="8"/>
        <v>517</v>
      </c>
      <c r="B531" s="38">
        <v>9302.9830096684855</v>
      </c>
      <c r="C531" s="38">
        <f t="shared" si="8"/>
        <v>517</v>
      </c>
      <c r="D531" s="38">
        <v>398.00203144792272</v>
      </c>
    </row>
    <row r="532" spans="1:4" x14ac:dyDescent="0.2">
      <c r="A532" s="38">
        <f t="shared" si="8"/>
        <v>518</v>
      </c>
      <c r="B532" s="38">
        <v>13132.406327319579</v>
      </c>
      <c r="C532" s="38">
        <f t="shared" si="8"/>
        <v>518</v>
      </c>
      <c r="D532" s="38">
        <v>327.57037964574999</v>
      </c>
    </row>
    <row r="533" spans="1:4" x14ac:dyDescent="0.2">
      <c r="A533" s="38">
        <f t="shared" si="8"/>
        <v>519</v>
      </c>
      <c r="B533" s="38">
        <v>10610.902375140333</v>
      </c>
      <c r="C533" s="38">
        <f t="shared" si="8"/>
        <v>519</v>
      </c>
      <c r="D533" s="38">
        <v>319.17102107082775</v>
      </c>
    </row>
    <row r="534" spans="1:4" x14ac:dyDescent="0.2">
      <c r="A534" s="38">
        <f t="shared" si="8"/>
        <v>520</v>
      </c>
      <c r="B534" s="38">
        <v>7358.6657910828126</v>
      </c>
      <c r="C534" s="38">
        <f t="shared" si="8"/>
        <v>520</v>
      </c>
      <c r="D534" s="38">
        <v>360.71233995356994</v>
      </c>
    </row>
    <row r="535" spans="1:4" x14ac:dyDescent="0.2">
      <c r="A535" s="38">
        <f t="shared" si="8"/>
        <v>521</v>
      </c>
      <c r="B535" s="38">
        <v>4923.528168855436</v>
      </c>
      <c r="C535" s="38">
        <f t="shared" si="8"/>
        <v>521</v>
      </c>
      <c r="D535" s="38">
        <v>345.03756116419845</v>
      </c>
    </row>
    <row r="536" spans="1:4" x14ac:dyDescent="0.2">
      <c r="A536" s="38">
        <f t="shared" ref="A536:C599" si="9">A535+1</f>
        <v>522</v>
      </c>
      <c r="B536" s="38">
        <v>3675.0355714546063</v>
      </c>
      <c r="C536" s="38">
        <f t="shared" si="9"/>
        <v>522</v>
      </c>
      <c r="D536" s="38">
        <v>395.4886963965838</v>
      </c>
    </row>
    <row r="537" spans="1:4" x14ac:dyDescent="0.2">
      <c r="A537" s="38">
        <f t="shared" si="9"/>
        <v>523</v>
      </c>
      <c r="B537" s="38">
        <v>5575.011548906693</v>
      </c>
      <c r="C537" s="38">
        <f t="shared" si="9"/>
        <v>523</v>
      </c>
      <c r="D537" s="38">
        <v>309.09883405062556</v>
      </c>
    </row>
    <row r="538" spans="1:4" x14ac:dyDescent="0.2">
      <c r="A538" s="38">
        <f t="shared" si="9"/>
        <v>524</v>
      </c>
      <c r="B538" s="38">
        <v>11355.296728167319</v>
      </c>
      <c r="C538" s="38">
        <f t="shared" si="9"/>
        <v>524</v>
      </c>
      <c r="D538" s="38">
        <v>359.66913489541264</v>
      </c>
    </row>
    <row r="539" spans="1:4" x14ac:dyDescent="0.2">
      <c r="A539" s="38">
        <f t="shared" si="9"/>
        <v>525</v>
      </c>
      <c r="B539" s="38">
        <v>7913.8537912680868</v>
      </c>
      <c r="C539" s="38">
        <f t="shared" si="9"/>
        <v>525</v>
      </c>
      <c r="D539" s="38">
        <v>352.60854201238618</v>
      </c>
    </row>
    <row r="540" spans="1:4" x14ac:dyDescent="0.2">
      <c r="A540" s="38">
        <f t="shared" si="9"/>
        <v>526</v>
      </c>
      <c r="B540" s="38">
        <v>9409.1189153420582</v>
      </c>
      <c r="C540" s="38">
        <f t="shared" si="9"/>
        <v>526</v>
      </c>
      <c r="D540" s="38">
        <v>298.92232221116836</v>
      </c>
    </row>
    <row r="541" spans="1:4" x14ac:dyDescent="0.2">
      <c r="A541" s="38">
        <f t="shared" si="9"/>
        <v>527</v>
      </c>
      <c r="B541" s="38">
        <v>5553.0555817806526</v>
      </c>
      <c r="C541" s="38">
        <f t="shared" si="9"/>
        <v>527</v>
      </c>
      <c r="D541" s="38">
        <v>439.76381927024801</v>
      </c>
    </row>
    <row r="542" spans="1:4" x14ac:dyDescent="0.2">
      <c r="A542" s="38">
        <f t="shared" si="9"/>
        <v>528</v>
      </c>
      <c r="B542" s="38">
        <v>6288.0718344377665</v>
      </c>
      <c r="C542" s="38">
        <f t="shared" si="9"/>
        <v>528</v>
      </c>
      <c r="D542" s="38">
        <v>295.04821546957419</v>
      </c>
    </row>
    <row r="543" spans="1:4" x14ac:dyDescent="0.2">
      <c r="A543" s="38">
        <f t="shared" si="9"/>
        <v>529</v>
      </c>
      <c r="B543" s="38">
        <v>10590.026542390498</v>
      </c>
      <c r="C543" s="38">
        <f t="shared" si="9"/>
        <v>529</v>
      </c>
      <c r="D543" s="38">
        <v>347.83064824847565</v>
      </c>
    </row>
    <row r="544" spans="1:4" x14ac:dyDescent="0.2">
      <c r="A544" s="38">
        <f t="shared" si="9"/>
        <v>530</v>
      </c>
      <c r="B544" s="38">
        <v>4652.3456885615205</v>
      </c>
      <c r="C544" s="38">
        <f t="shared" si="9"/>
        <v>530</v>
      </c>
      <c r="D544" s="38">
        <v>416.32915195598719</v>
      </c>
    </row>
    <row r="545" spans="1:4" x14ac:dyDescent="0.2">
      <c r="A545" s="38">
        <f t="shared" si="9"/>
        <v>531</v>
      </c>
      <c r="B545" s="38">
        <v>4562.8720723665156</v>
      </c>
      <c r="C545" s="38">
        <f t="shared" si="9"/>
        <v>531</v>
      </c>
      <c r="D545" s="38">
        <v>326.02470329340389</v>
      </c>
    </row>
    <row r="546" spans="1:4" x14ac:dyDescent="0.2">
      <c r="A546" s="38">
        <f t="shared" si="9"/>
        <v>532</v>
      </c>
      <c r="B546" s="38">
        <v>5305.1971155969777</v>
      </c>
      <c r="C546" s="38">
        <f t="shared" si="9"/>
        <v>532</v>
      </c>
      <c r="D546" s="38">
        <v>336.94250040786727</v>
      </c>
    </row>
    <row r="547" spans="1:4" x14ac:dyDescent="0.2">
      <c r="A547" s="38">
        <f t="shared" si="9"/>
        <v>533</v>
      </c>
      <c r="B547" s="38">
        <v>8406.1125988289459</v>
      </c>
      <c r="C547" s="38">
        <f t="shared" si="9"/>
        <v>533</v>
      </c>
      <c r="D547" s="38">
        <v>374.25549971318833</v>
      </c>
    </row>
    <row r="548" spans="1:4" x14ac:dyDescent="0.2">
      <c r="A548" s="38">
        <f t="shared" si="9"/>
        <v>534</v>
      </c>
      <c r="B548" s="38">
        <v>9198.0304000911674</v>
      </c>
      <c r="C548" s="38">
        <f t="shared" si="9"/>
        <v>534</v>
      </c>
      <c r="D548" s="38">
        <v>341.42190704335974</v>
      </c>
    </row>
    <row r="549" spans="1:4" x14ac:dyDescent="0.2">
      <c r="A549" s="38">
        <f t="shared" si="9"/>
        <v>535</v>
      </c>
      <c r="B549" s="38">
        <v>5021.3574657438985</v>
      </c>
      <c r="C549" s="38">
        <f t="shared" si="9"/>
        <v>535</v>
      </c>
      <c r="D549" s="38">
        <v>396.6992497760674</v>
      </c>
    </row>
    <row r="550" spans="1:4" x14ac:dyDescent="0.2">
      <c r="A550" s="38">
        <f t="shared" si="9"/>
        <v>536</v>
      </c>
      <c r="B550" s="38">
        <v>9750.6382607760261</v>
      </c>
      <c r="C550" s="38">
        <f t="shared" si="9"/>
        <v>536</v>
      </c>
      <c r="D550" s="38">
        <v>372.13425388772112</v>
      </c>
    </row>
    <row r="551" spans="1:4" x14ac:dyDescent="0.2">
      <c r="A551" s="38">
        <f t="shared" si="9"/>
        <v>537</v>
      </c>
      <c r="B551" s="38">
        <v>15692.079272488727</v>
      </c>
      <c r="C551" s="38">
        <f t="shared" si="9"/>
        <v>537</v>
      </c>
      <c r="D551" s="38">
        <v>362.42766584869338</v>
      </c>
    </row>
    <row r="552" spans="1:4" x14ac:dyDescent="0.2">
      <c r="A552" s="38">
        <f t="shared" si="9"/>
        <v>538</v>
      </c>
      <c r="B552" s="38">
        <v>7498.7657914247557</v>
      </c>
      <c r="C552" s="38">
        <f t="shared" si="9"/>
        <v>538</v>
      </c>
      <c r="D552" s="38">
        <v>396.50321192600427</v>
      </c>
    </row>
    <row r="553" spans="1:4" x14ac:dyDescent="0.2">
      <c r="A553" s="38">
        <f t="shared" si="9"/>
        <v>539</v>
      </c>
      <c r="B553" s="38">
        <v>12166.746727881064</v>
      </c>
      <c r="C553" s="38">
        <f t="shared" si="9"/>
        <v>539</v>
      </c>
      <c r="D553" s="38">
        <v>396.13317430664517</v>
      </c>
    </row>
    <row r="554" spans="1:4" x14ac:dyDescent="0.2">
      <c r="A554" s="38">
        <f t="shared" si="9"/>
        <v>540</v>
      </c>
      <c r="B554" s="38">
        <v>5533.5801618359346</v>
      </c>
      <c r="C554" s="38">
        <f t="shared" si="9"/>
        <v>540</v>
      </c>
      <c r="D554" s="38">
        <v>335.44646220754777</v>
      </c>
    </row>
    <row r="555" spans="1:4" x14ac:dyDescent="0.2">
      <c r="A555" s="38">
        <f t="shared" si="9"/>
        <v>541</v>
      </c>
      <c r="B555" s="38">
        <v>4003.287021201782</v>
      </c>
      <c r="C555" s="38">
        <f t="shared" si="9"/>
        <v>541</v>
      </c>
      <c r="D555" s="38">
        <v>383.07712902414744</v>
      </c>
    </row>
    <row r="556" spans="1:4" x14ac:dyDescent="0.2">
      <c r="A556" s="38">
        <f t="shared" si="9"/>
        <v>542</v>
      </c>
      <c r="B556" s="38">
        <v>6889.6690622951101</v>
      </c>
      <c r="C556" s="38">
        <f t="shared" si="9"/>
        <v>542</v>
      </c>
      <c r="D556" s="38">
        <v>340.86010200193942</v>
      </c>
    </row>
    <row r="557" spans="1:4" x14ac:dyDescent="0.2">
      <c r="A557" s="38">
        <f t="shared" si="9"/>
        <v>543</v>
      </c>
      <c r="B557" s="38">
        <v>2972.617425265953</v>
      </c>
      <c r="C557" s="38">
        <f t="shared" si="9"/>
        <v>543</v>
      </c>
      <c r="D557" s="38">
        <v>312.52244446498065</v>
      </c>
    </row>
    <row r="558" spans="1:4" x14ac:dyDescent="0.2">
      <c r="A558" s="38">
        <f t="shared" si="9"/>
        <v>544</v>
      </c>
      <c r="B558" s="38">
        <v>7971.3724939899475</v>
      </c>
      <c r="C558" s="38">
        <f t="shared" si="9"/>
        <v>544</v>
      </c>
      <c r="D558" s="38">
        <v>353.19822037667132</v>
      </c>
    </row>
    <row r="559" spans="1:4" x14ac:dyDescent="0.2">
      <c r="A559" s="38">
        <f t="shared" si="9"/>
        <v>545</v>
      </c>
      <c r="B559" s="38">
        <v>14557.448972242526</v>
      </c>
      <c r="C559" s="38">
        <f t="shared" si="9"/>
        <v>545</v>
      </c>
      <c r="D559" s="38">
        <v>374.84492171999329</v>
      </c>
    </row>
    <row r="560" spans="1:4" x14ac:dyDescent="0.2">
      <c r="A560" s="38">
        <f t="shared" si="9"/>
        <v>546</v>
      </c>
      <c r="B560" s="38">
        <v>4455.3949361222267</v>
      </c>
      <c r="C560" s="38">
        <f t="shared" si="9"/>
        <v>546</v>
      </c>
      <c r="D560" s="38">
        <v>368.04167619409748</v>
      </c>
    </row>
    <row r="561" spans="1:4" x14ac:dyDescent="0.2">
      <c r="A561" s="38">
        <f t="shared" si="9"/>
        <v>547</v>
      </c>
      <c r="B561" s="38">
        <v>4111.1649495832571</v>
      </c>
      <c r="C561" s="38">
        <f t="shared" si="9"/>
        <v>547</v>
      </c>
      <c r="D561" s="38">
        <v>295.45512408162762</v>
      </c>
    </row>
    <row r="562" spans="1:4" x14ac:dyDescent="0.2">
      <c r="A562" s="38">
        <f t="shared" si="9"/>
        <v>548</v>
      </c>
      <c r="B562" s="38">
        <v>3590.898176554027</v>
      </c>
      <c r="C562" s="38">
        <f t="shared" si="9"/>
        <v>548</v>
      </c>
      <c r="D562" s="38">
        <v>330.78402149002869</v>
      </c>
    </row>
    <row r="563" spans="1:4" x14ac:dyDescent="0.2">
      <c r="A563" s="38">
        <f t="shared" si="9"/>
        <v>549</v>
      </c>
      <c r="B563" s="38">
        <v>6431.0464160026877</v>
      </c>
      <c r="C563" s="38">
        <f t="shared" si="9"/>
        <v>549</v>
      </c>
      <c r="D563" s="38">
        <v>312.66233541746891</v>
      </c>
    </row>
    <row r="564" spans="1:4" x14ac:dyDescent="0.2">
      <c r="A564" s="38">
        <f t="shared" si="9"/>
        <v>550</v>
      </c>
      <c r="B564" s="38">
        <v>8234.2725114207224</v>
      </c>
      <c r="C564" s="38">
        <f t="shared" si="9"/>
        <v>550</v>
      </c>
      <c r="D564" s="38">
        <v>346.47680711471389</v>
      </c>
    </row>
    <row r="565" spans="1:4" x14ac:dyDescent="0.2">
      <c r="A565" s="38">
        <f t="shared" si="9"/>
        <v>551</v>
      </c>
      <c r="B565" s="38">
        <v>19900.527710623715</v>
      </c>
      <c r="C565" s="38">
        <f t="shared" si="9"/>
        <v>551</v>
      </c>
      <c r="D565" s="38">
        <v>335.22564838571407</v>
      </c>
    </row>
    <row r="566" spans="1:4" x14ac:dyDescent="0.2">
      <c r="A566" s="38">
        <f t="shared" si="9"/>
        <v>552</v>
      </c>
      <c r="B566" s="38">
        <v>12825.983704209541</v>
      </c>
      <c r="C566" s="38">
        <f t="shared" si="9"/>
        <v>552</v>
      </c>
      <c r="D566" s="38">
        <v>346.75287542655781</v>
      </c>
    </row>
    <row r="567" spans="1:4" x14ac:dyDescent="0.2">
      <c r="A567" s="38">
        <f t="shared" si="9"/>
        <v>553</v>
      </c>
      <c r="B567" s="38">
        <v>4819.0672090029193</v>
      </c>
      <c r="C567" s="38">
        <f t="shared" si="9"/>
        <v>553</v>
      </c>
      <c r="D567" s="38">
        <v>346.63663104351212</v>
      </c>
    </row>
    <row r="568" spans="1:4" x14ac:dyDescent="0.2">
      <c r="A568" s="38">
        <f t="shared" si="9"/>
        <v>554</v>
      </c>
      <c r="B568" s="38">
        <v>7886.5945089878887</v>
      </c>
      <c r="C568" s="38">
        <f t="shared" si="9"/>
        <v>554</v>
      </c>
      <c r="D568" s="38">
        <v>362.44780093605436</v>
      </c>
    </row>
    <row r="569" spans="1:4" x14ac:dyDescent="0.2">
      <c r="A569" s="38">
        <f t="shared" si="9"/>
        <v>555</v>
      </c>
      <c r="B569" s="38">
        <v>3576.6420627826815</v>
      </c>
      <c r="C569" s="38">
        <f t="shared" si="9"/>
        <v>555</v>
      </c>
      <c r="D569" s="38">
        <v>318.7075459757616</v>
      </c>
    </row>
    <row r="570" spans="1:4" x14ac:dyDescent="0.2">
      <c r="A570" s="38">
        <f t="shared" si="9"/>
        <v>556</v>
      </c>
      <c r="B570" s="38">
        <v>7919.2329743647224</v>
      </c>
      <c r="C570" s="38">
        <f t="shared" si="9"/>
        <v>556</v>
      </c>
      <c r="D570" s="38">
        <v>395.81144677130544</v>
      </c>
    </row>
    <row r="571" spans="1:4" x14ac:dyDescent="0.2">
      <c r="A571" s="38">
        <f t="shared" si="9"/>
        <v>557</v>
      </c>
      <c r="B571" s="38">
        <v>6079.4908656646439</v>
      </c>
      <c r="C571" s="38">
        <f t="shared" si="9"/>
        <v>557</v>
      </c>
      <c r="D571" s="38">
        <v>283.53214626790981</v>
      </c>
    </row>
    <row r="572" spans="1:4" x14ac:dyDescent="0.2">
      <c r="A572" s="38">
        <f t="shared" si="9"/>
        <v>558</v>
      </c>
      <c r="B572" s="38">
        <v>5842.4508851716901</v>
      </c>
      <c r="C572" s="38">
        <f t="shared" si="9"/>
        <v>558</v>
      </c>
      <c r="D572" s="38">
        <v>351.61993844208149</v>
      </c>
    </row>
    <row r="573" spans="1:4" x14ac:dyDescent="0.2">
      <c r="A573" s="38">
        <f t="shared" si="9"/>
        <v>559</v>
      </c>
      <c r="B573" s="38">
        <v>3610.5776826299948</v>
      </c>
      <c r="C573" s="38">
        <f t="shared" si="9"/>
        <v>559</v>
      </c>
      <c r="D573" s="38">
        <v>418.28831556134691</v>
      </c>
    </row>
    <row r="574" spans="1:4" x14ac:dyDescent="0.2">
      <c r="A574" s="38">
        <f t="shared" si="9"/>
        <v>560</v>
      </c>
      <c r="B574" s="38">
        <v>5673.9818303297707</v>
      </c>
      <c r="C574" s="38">
        <f t="shared" si="9"/>
        <v>560</v>
      </c>
      <c r="D574" s="38">
        <v>417.06734785716725</v>
      </c>
    </row>
    <row r="575" spans="1:4" x14ac:dyDescent="0.2">
      <c r="A575" s="38">
        <f t="shared" si="9"/>
        <v>561</v>
      </c>
      <c r="B575" s="38">
        <v>6175.7431328550301</v>
      </c>
      <c r="C575" s="38">
        <f t="shared" si="9"/>
        <v>561</v>
      </c>
      <c r="D575" s="38">
        <v>309.55029828137918</v>
      </c>
    </row>
    <row r="576" spans="1:4" x14ac:dyDescent="0.2">
      <c r="A576" s="38">
        <f t="shared" si="9"/>
        <v>562</v>
      </c>
      <c r="B576" s="38">
        <v>10024.37973936215</v>
      </c>
      <c r="C576" s="38">
        <f t="shared" si="9"/>
        <v>562</v>
      </c>
      <c r="D576" s="38">
        <v>370.1001869392702</v>
      </c>
    </row>
    <row r="577" spans="1:4" x14ac:dyDescent="0.2">
      <c r="A577" s="38">
        <f t="shared" si="9"/>
        <v>563</v>
      </c>
      <c r="B577" s="38">
        <v>8751.3271955436194</v>
      </c>
      <c r="C577" s="38">
        <f t="shared" si="9"/>
        <v>563</v>
      </c>
      <c r="D577" s="38">
        <v>347.66434436152849</v>
      </c>
    </row>
    <row r="578" spans="1:4" x14ac:dyDescent="0.2">
      <c r="A578" s="38">
        <f t="shared" si="9"/>
        <v>564</v>
      </c>
      <c r="B578" s="38">
        <v>11068.557514353668</v>
      </c>
      <c r="C578" s="38">
        <f t="shared" si="9"/>
        <v>564</v>
      </c>
      <c r="D578" s="38">
        <v>423.09073576864586</v>
      </c>
    </row>
    <row r="579" spans="1:4" x14ac:dyDescent="0.2">
      <c r="A579" s="38">
        <f t="shared" si="9"/>
        <v>565</v>
      </c>
      <c r="B579" s="38">
        <v>6493.636544574967</v>
      </c>
      <c r="C579" s="38">
        <f t="shared" si="9"/>
        <v>565</v>
      </c>
      <c r="D579" s="38">
        <v>324.57100182947988</v>
      </c>
    </row>
    <row r="580" spans="1:4" x14ac:dyDescent="0.2">
      <c r="A580" s="38">
        <f t="shared" si="9"/>
        <v>566</v>
      </c>
      <c r="B580" s="38">
        <v>5464.4418881237352</v>
      </c>
      <c r="C580" s="38">
        <f t="shared" si="9"/>
        <v>566</v>
      </c>
      <c r="D580" s="38">
        <v>336.34174595259435</v>
      </c>
    </row>
    <row r="581" spans="1:4" x14ac:dyDescent="0.2">
      <c r="A581" s="38">
        <f t="shared" si="9"/>
        <v>567</v>
      </c>
      <c r="B581" s="38">
        <v>10968.240718349505</v>
      </c>
      <c r="C581" s="38">
        <f t="shared" si="9"/>
        <v>567</v>
      </c>
      <c r="D581" s="38">
        <v>367.45974795118383</v>
      </c>
    </row>
    <row r="582" spans="1:4" x14ac:dyDescent="0.2">
      <c r="A582" s="38">
        <f t="shared" si="9"/>
        <v>568</v>
      </c>
      <c r="B582" s="38">
        <v>3932.3701281409553</v>
      </c>
      <c r="C582" s="38">
        <f t="shared" si="9"/>
        <v>568</v>
      </c>
      <c r="D582" s="38">
        <v>435.56554482225118</v>
      </c>
    </row>
    <row r="583" spans="1:4" x14ac:dyDescent="0.2">
      <c r="A583" s="38">
        <f t="shared" si="9"/>
        <v>569</v>
      </c>
      <c r="B583" s="38">
        <v>8721.5902360238051</v>
      </c>
      <c r="C583" s="38">
        <f t="shared" si="9"/>
        <v>569</v>
      </c>
      <c r="D583" s="38">
        <v>312.09808658216605</v>
      </c>
    </row>
    <row r="584" spans="1:4" x14ac:dyDescent="0.2">
      <c r="A584" s="38">
        <f t="shared" si="9"/>
        <v>570</v>
      </c>
      <c r="B584" s="38">
        <v>4303.4317951653957</v>
      </c>
      <c r="C584" s="38">
        <f t="shared" si="9"/>
        <v>570</v>
      </c>
      <c r="D584" s="38">
        <v>374.51585371620507</v>
      </c>
    </row>
    <row r="585" spans="1:4" x14ac:dyDescent="0.2">
      <c r="A585" s="38">
        <f t="shared" si="9"/>
        <v>571</v>
      </c>
      <c r="B585" s="38">
        <v>13537.148300859872</v>
      </c>
      <c r="C585" s="38">
        <f t="shared" si="9"/>
        <v>571</v>
      </c>
      <c r="D585" s="38">
        <v>331.52373701445765</v>
      </c>
    </row>
    <row r="586" spans="1:4" x14ac:dyDescent="0.2">
      <c r="A586" s="38">
        <f t="shared" si="9"/>
        <v>572</v>
      </c>
      <c r="B586" s="38">
        <v>6612.7976601930832</v>
      </c>
      <c r="C586" s="38">
        <f t="shared" si="9"/>
        <v>572</v>
      </c>
      <c r="D586" s="38">
        <v>353.28221565319069</v>
      </c>
    </row>
    <row r="587" spans="1:4" x14ac:dyDescent="0.2">
      <c r="A587" s="38">
        <f t="shared" si="9"/>
        <v>573</v>
      </c>
      <c r="B587" s="38">
        <v>6602.9840921156811</v>
      </c>
      <c r="C587" s="38">
        <f t="shared" si="9"/>
        <v>573</v>
      </c>
      <c r="D587" s="38">
        <v>377.92673670416042</v>
      </c>
    </row>
    <row r="588" spans="1:4" x14ac:dyDescent="0.2">
      <c r="A588" s="38">
        <f t="shared" si="9"/>
        <v>574</v>
      </c>
      <c r="B588" s="38">
        <v>7977.6482815873669</v>
      </c>
      <c r="C588" s="38">
        <f t="shared" si="9"/>
        <v>574</v>
      </c>
      <c r="D588" s="38">
        <v>282.90425894766014</v>
      </c>
    </row>
    <row r="589" spans="1:4" x14ac:dyDescent="0.2">
      <c r="A589" s="38">
        <f t="shared" si="9"/>
        <v>575</v>
      </c>
      <c r="B589" s="38">
        <v>9028.7930748677372</v>
      </c>
      <c r="C589" s="38">
        <f t="shared" si="9"/>
        <v>575</v>
      </c>
      <c r="D589" s="38">
        <v>369.21864748018612</v>
      </c>
    </row>
    <row r="590" spans="1:4" x14ac:dyDescent="0.2">
      <c r="A590" s="38">
        <f t="shared" si="9"/>
        <v>576</v>
      </c>
      <c r="B590" s="38">
        <v>17713.828332065004</v>
      </c>
      <c r="C590" s="38">
        <f t="shared" si="9"/>
        <v>576</v>
      </c>
      <c r="D590" s="38">
        <v>283.04734344196453</v>
      </c>
    </row>
    <row r="591" spans="1:4" x14ac:dyDescent="0.2">
      <c r="A591" s="38">
        <f t="shared" si="9"/>
        <v>577</v>
      </c>
      <c r="B591" s="38">
        <v>5053.3945368340137</v>
      </c>
      <c r="C591" s="38">
        <f t="shared" si="9"/>
        <v>577</v>
      </c>
      <c r="D591" s="38">
        <v>348.65385566275137</v>
      </c>
    </row>
    <row r="592" spans="1:4" x14ac:dyDescent="0.2">
      <c r="A592" s="38">
        <f t="shared" si="9"/>
        <v>578</v>
      </c>
      <c r="B592" s="38">
        <v>2747.1840399152602</v>
      </c>
      <c r="C592" s="38">
        <f t="shared" si="9"/>
        <v>578</v>
      </c>
      <c r="D592" s="38">
        <v>399.59520834921557</v>
      </c>
    </row>
    <row r="593" spans="1:4" x14ac:dyDescent="0.2">
      <c r="A593" s="38">
        <f t="shared" si="9"/>
        <v>579</v>
      </c>
      <c r="B593" s="38">
        <v>6503.8731983656589</v>
      </c>
      <c r="C593" s="38">
        <f t="shared" si="9"/>
        <v>579</v>
      </c>
      <c r="D593" s="38">
        <v>346.94947927103732</v>
      </c>
    </row>
    <row r="594" spans="1:4" x14ac:dyDescent="0.2">
      <c r="A594" s="38">
        <f t="shared" si="9"/>
        <v>580</v>
      </c>
      <c r="B594" s="38">
        <v>6441.9206271505573</v>
      </c>
      <c r="C594" s="38">
        <f t="shared" si="9"/>
        <v>580</v>
      </c>
      <c r="D594" s="38">
        <v>384.095598608118</v>
      </c>
    </row>
    <row r="595" spans="1:4" x14ac:dyDescent="0.2">
      <c r="A595" s="38">
        <f t="shared" si="9"/>
        <v>581</v>
      </c>
      <c r="B595" s="38">
        <v>3592.5551466326888</v>
      </c>
      <c r="C595" s="38">
        <f t="shared" si="9"/>
        <v>581</v>
      </c>
      <c r="D595" s="38">
        <v>371.27661123752972</v>
      </c>
    </row>
    <row r="596" spans="1:4" x14ac:dyDescent="0.2">
      <c r="A596" s="38">
        <f t="shared" si="9"/>
        <v>582</v>
      </c>
      <c r="B596" s="38">
        <v>4157.6927913224072</v>
      </c>
      <c r="C596" s="38">
        <f t="shared" si="9"/>
        <v>582</v>
      </c>
      <c r="D596" s="38">
        <v>365.49169778643699</v>
      </c>
    </row>
    <row r="597" spans="1:4" x14ac:dyDescent="0.2">
      <c r="A597" s="38">
        <f t="shared" si="9"/>
        <v>583</v>
      </c>
      <c r="B597" s="38">
        <v>5314.2810315782936</v>
      </c>
      <c r="C597" s="38">
        <f t="shared" si="9"/>
        <v>583</v>
      </c>
      <c r="D597" s="38">
        <v>329.39227948034949</v>
      </c>
    </row>
    <row r="598" spans="1:4" x14ac:dyDescent="0.2">
      <c r="A598" s="38">
        <f t="shared" si="9"/>
        <v>584</v>
      </c>
      <c r="B598" s="38">
        <v>9014.8091660053833</v>
      </c>
      <c r="C598" s="38">
        <f t="shared" si="9"/>
        <v>584</v>
      </c>
      <c r="D598" s="38">
        <v>394.49849919960246</v>
      </c>
    </row>
    <row r="599" spans="1:4" x14ac:dyDescent="0.2">
      <c r="A599" s="38">
        <f t="shared" si="9"/>
        <v>585</v>
      </c>
      <c r="B599" s="38">
        <v>6286.4884125768376</v>
      </c>
      <c r="C599" s="38">
        <f t="shared" si="9"/>
        <v>585</v>
      </c>
      <c r="D599" s="38">
        <v>326.6352284933314</v>
      </c>
    </row>
    <row r="600" spans="1:4" x14ac:dyDescent="0.2">
      <c r="A600" s="38">
        <f t="shared" ref="A600:C663" si="10">A599+1</f>
        <v>586</v>
      </c>
      <c r="B600" s="38">
        <v>1185.1651592386033</v>
      </c>
      <c r="C600" s="38">
        <f t="shared" si="10"/>
        <v>586</v>
      </c>
      <c r="D600" s="38">
        <v>354.61733067975837</v>
      </c>
    </row>
    <row r="601" spans="1:4" x14ac:dyDescent="0.2">
      <c r="A601" s="38">
        <f t="shared" si="10"/>
        <v>587</v>
      </c>
      <c r="B601" s="38">
        <v>7113.1003807453617</v>
      </c>
      <c r="C601" s="38">
        <f t="shared" si="10"/>
        <v>587</v>
      </c>
      <c r="D601" s="38">
        <v>346.86216039099941</v>
      </c>
    </row>
    <row r="602" spans="1:4" x14ac:dyDescent="0.2">
      <c r="A602" s="38">
        <f t="shared" si="10"/>
        <v>588</v>
      </c>
      <c r="B602" s="38">
        <v>9165.5371353918526</v>
      </c>
      <c r="C602" s="38">
        <f t="shared" si="10"/>
        <v>588</v>
      </c>
      <c r="D602" s="38">
        <v>410.74870858380763</v>
      </c>
    </row>
    <row r="603" spans="1:4" x14ac:dyDescent="0.2">
      <c r="A603" s="38">
        <f t="shared" si="10"/>
        <v>589</v>
      </c>
      <c r="B603" s="38">
        <v>9603.4553389237735</v>
      </c>
      <c r="C603" s="38">
        <f t="shared" si="10"/>
        <v>589</v>
      </c>
      <c r="D603" s="38">
        <v>312.85480233901603</v>
      </c>
    </row>
    <row r="604" spans="1:4" x14ac:dyDescent="0.2">
      <c r="A604" s="38">
        <f t="shared" si="10"/>
        <v>590</v>
      </c>
      <c r="B604" s="38">
        <v>6138.7190563404165</v>
      </c>
      <c r="C604" s="38">
        <f t="shared" si="10"/>
        <v>590</v>
      </c>
      <c r="D604" s="38">
        <v>362.55955294225731</v>
      </c>
    </row>
    <row r="605" spans="1:4" x14ac:dyDescent="0.2">
      <c r="A605" s="38">
        <f t="shared" si="10"/>
        <v>591</v>
      </c>
      <c r="B605" s="38">
        <v>4571.195996054621</v>
      </c>
      <c r="C605" s="38">
        <f t="shared" si="10"/>
        <v>591</v>
      </c>
      <c r="D605" s="38">
        <v>373.15673931088043</v>
      </c>
    </row>
    <row r="606" spans="1:4" x14ac:dyDescent="0.2">
      <c r="A606" s="38">
        <f t="shared" si="10"/>
        <v>592</v>
      </c>
      <c r="B606" s="38">
        <v>4213.5923943609114</v>
      </c>
      <c r="C606" s="38">
        <f t="shared" si="10"/>
        <v>592</v>
      </c>
      <c r="D606" s="38">
        <v>330.47440875359473</v>
      </c>
    </row>
    <row r="607" spans="1:4" x14ac:dyDescent="0.2">
      <c r="A607" s="38">
        <f t="shared" si="10"/>
        <v>593</v>
      </c>
      <c r="B607" s="38">
        <v>4956.4381297421824</v>
      </c>
      <c r="C607" s="38">
        <f t="shared" si="10"/>
        <v>593</v>
      </c>
      <c r="D607" s="38">
        <v>320.75337359459672</v>
      </c>
    </row>
    <row r="608" spans="1:4" x14ac:dyDescent="0.2">
      <c r="A608" s="38">
        <f t="shared" si="10"/>
        <v>594</v>
      </c>
      <c r="B608" s="38">
        <v>7823.1592134543107</v>
      </c>
      <c r="C608" s="38">
        <f t="shared" si="10"/>
        <v>594</v>
      </c>
      <c r="D608" s="38">
        <v>353.19816638773881</v>
      </c>
    </row>
    <row r="609" spans="1:4" x14ac:dyDescent="0.2">
      <c r="A609" s="38">
        <f t="shared" si="10"/>
        <v>595</v>
      </c>
      <c r="B609" s="38">
        <v>4822.117479571144</v>
      </c>
      <c r="C609" s="38">
        <f t="shared" si="10"/>
        <v>595</v>
      </c>
      <c r="D609" s="38">
        <v>413.87801461825478</v>
      </c>
    </row>
    <row r="610" spans="1:4" x14ac:dyDescent="0.2">
      <c r="A610" s="38">
        <f t="shared" si="10"/>
        <v>596</v>
      </c>
      <c r="B610" s="38">
        <v>4773.6582943728745</v>
      </c>
      <c r="C610" s="38">
        <f t="shared" si="10"/>
        <v>596</v>
      </c>
      <c r="D610" s="38">
        <v>347.7027487984135</v>
      </c>
    </row>
    <row r="611" spans="1:4" x14ac:dyDescent="0.2">
      <c r="A611" s="38">
        <f t="shared" si="10"/>
        <v>597</v>
      </c>
      <c r="B611" s="38">
        <v>4311.5115784612426</v>
      </c>
      <c r="C611" s="38">
        <f t="shared" si="10"/>
        <v>597</v>
      </c>
      <c r="D611" s="38">
        <v>362.51651543320747</v>
      </c>
    </row>
    <row r="612" spans="1:4" x14ac:dyDescent="0.2">
      <c r="A612" s="38">
        <f t="shared" si="10"/>
        <v>598</v>
      </c>
      <c r="B612" s="38">
        <v>8605.4308407652206</v>
      </c>
      <c r="C612" s="38">
        <f t="shared" si="10"/>
        <v>598</v>
      </c>
      <c r="D612" s="38">
        <v>354.03205754576749</v>
      </c>
    </row>
    <row r="613" spans="1:4" x14ac:dyDescent="0.2">
      <c r="A613" s="38">
        <f t="shared" si="10"/>
        <v>599</v>
      </c>
      <c r="B613" s="38">
        <v>8257.4138875680474</v>
      </c>
      <c r="C613" s="38">
        <f t="shared" si="10"/>
        <v>599</v>
      </c>
      <c r="D613" s="38">
        <v>402.26982222671739</v>
      </c>
    </row>
    <row r="614" spans="1:4" x14ac:dyDescent="0.2">
      <c r="A614" s="38">
        <f t="shared" si="10"/>
        <v>600</v>
      </c>
      <c r="B614" s="38">
        <v>4931.1566819435584</v>
      </c>
      <c r="C614" s="38">
        <f t="shared" si="10"/>
        <v>600</v>
      </c>
      <c r="D614" s="38">
        <v>348.72670831849337</v>
      </c>
    </row>
    <row r="615" spans="1:4" x14ac:dyDescent="0.2">
      <c r="A615" s="38">
        <f t="shared" si="10"/>
        <v>601</v>
      </c>
      <c r="B615" s="38">
        <v>7073.5331277696632</v>
      </c>
      <c r="C615" s="38">
        <f t="shared" si="10"/>
        <v>601</v>
      </c>
      <c r="D615" s="38">
        <v>318.19357965975382</v>
      </c>
    </row>
    <row r="616" spans="1:4" x14ac:dyDescent="0.2">
      <c r="A616" s="38">
        <f t="shared" si="10"/>
        <v>602</v>
      </c>
      <c r="B616" s="38">
        <v>13109.789096210912</v>
      </c>
      <c r="C616" s="38">
        <f t="shared" si="10"/>
        <v>602</v>
      </c>
      <c r="D616" s="38">
        <v>354.95660240978361</v>
      </c>
    </row>
    <row r="617" spans="1:4" x14ac:dyDescent="0.2">
      <c r="A617" s="38">
        <f t="shared" si="10"/>
        <v>603</v>
      </c>
      <c r="B617" s="38">
        <v>9733.5612522714036</v>
      </c>
      <c r="C617" s="38">
        <f t="shared" si="10"/>
        <v>603</v>
      </c>
      <c r="D617" s="38">
        <v>369.00660965479722</v>
      </c>
    </row>
    <row r="618" spans="1:4" x14ac:dyDescent="0.2">
      <c r="A618" s="38">
        <f t="shared" si="10"/>
        <v>604</v>
      </c>
      <c r="B618" s="38">
        <v>5439.3221259368729</v>
      </c>
      <c r="C618" s="38">
        <f t="shared" si="10"/>
        <v>604</v>
      </c>
      <c r="D618" s="38">
        <v>324.29512431853624</v>
      </c>
    </row>
    <row r="619" spans="1:4" x14ac:dyDescent="0.2">
      <c r="A619" s="38">
        <f t="shared" si="10"/>
        <v>605</v>
      </c>
      <c r="B619" s="38">
        <v>9599.0240772771085</v>
      </c>
      <c r="C619" s="38">
        <f t="shared" si="10"/>
        <v>605</v>
      </c>
      <c r="D619" s="38">
        <v>426.70426574730396</v>
      </c>
    </row>
    <row r="620" spans="1:4" x14ac:dyDescent="0.2">
      <c r="A620" s="38">
        <f t="shared" si="10"/>
        <v>606</v>
      </c>
      <c r="B620" s="38">
        <v>8530.3518298626641</v>
      </c>
      <c r="C620" s="38">
        <f t="shared" si="10"/>
        <v>606</v>
      </c>
      <c r="D620" s="38">
        <v>311.42394421477036</v>
      </c>
    </row>
    <row r="621" spans="1:4" x14ac:dyDescent="0.2">
      <c r="A621" s="38">
        <f t="shared" si="10"/>
        <v>607</v>
      </c>
      <c r="B621" s="38">
        <v>12075.109602916204</v>
      </c>
      <c r="C621" s="38">
        <f t="shared" si="10"/>
        <v>607</v>
      </c>
      <c r="D621" s="38">
        <v>368.70552089913087</v>
      </c>
    </row>
    <row r="622" spans="1:4" x14ac:dyDescent="0.2">
      <c r="A622" s="38">
        <f t="shared" si="10"/>
        <v>608</v>
      </c>
      <c r="B622" s="38">
        <v>9235.1591284347251</v>
      </c>
      <c r="C622" s="38">
        <f t="shared" si="10"/>
        <v>608</v>
      </c>
      <c r="D622" s="38">
        <v>390.45304356547331</v>
      </c>
    </row>
    <row r="623" spans="1:4" x14ac:dyDescent="0.2">
      <c r="A623" s="38">
        <f t="shared" si="10"/>
        <v>609</v>
      </c>
      <c r="B623" s="38">
        <v>4677.9615233504301</v>
      </c>
      <c r="C623" s="38">
        <f t="shared" si="10"/>
        <v>609</v>
      </c>
      <c r="D623" s="38">
        <v>307.38112020052807</v>
      </c>
    </row>
    <row r="624" spans="1:4" x14ac:dyDescent="0.2">
      <c r="A624" s="38">
        <f t="shared" si="10"/>
        <v>610</v>
      </c>
      <c r="B624" s="38">
        <v>13648.932811117664</v>
      </c>
      <c r="C624" s="38">
        <f t="shared" si="10"/>
        <v>610</v>
      </c>
      <c r="D624" s="38">
        <v>439.67813448542699</v>
      </c>
    </row>
    <row r="625" spans="1:4" x14ac:dyDescent="0.2">
      <c r="A625" s="38">
        <f t="shared" si="10"/>
        <v>611</v>
      </c>
      <c r="B625" s="38">
        <v>8075.6241855931612</v>
      </c>
      <c r="C625" s="38">
        <f t="shared" si="10"/>
        <v>611</v>
      </c>
      <c r="D625" s="38">
        <v>349.13402863099407</v>
      </c>
    </row>
    <row r="626" spans="1:4" x14ac:dyDescent="0.2">
      <c r="A626" s="38">
        <f t="shared" si="10"/>
        <v>612</v>
      </c>
      <c r="B626" s="38">
        <v>14242.324642789768</v>
      </c>
      <c r="C626" s="38">
        <f t="shared" si="10"/>
        <v>612</v>
      </c>
      <c r="D626" s="38">
        <v>333.63025545080779</v>
      </c>
    </row>
    <row r="627" spans="1:4" x14ac:dyDescent="0.2">
      <c r="A627" s="38">
        <f t="shared" si="10"/>
        <v>613</v>
      </c>
      <c r="B627" s="38">
        <v>5228.1329076048951</v>
      </c>
      <c r="C627" s="38">
        <f t="shared" si="10"/>
        <v>613</v>
      </c>
      <c r="D627" s="38">
        <v>293.87072367741598</v>
      </c>
    </row>
    <row r="628" spans="1:4" x14ac:dyDescent="0.2">
      <c r="A628" s="38">
        <f t="shared" si="10"/>
        <v>614</v>
      </c>
      <c r="B628" s="38">
        <v>6393.4276475703764</v>
      </c>
      <c r="C628" s="38">
        <f t="shared" si="10"/>
        <v>614</v>
      </c>
      <c r="D628" s="38">
        <v>367.49971170348294</v>
      </c>
    </row>
    <row r="629" spans="1:4" x14ac:dyDescent="0.2">
      <c r="A629" s="38">
        <f t="shared" si="10"/>
        <v>615</v>
      </c>
      <c r="B629" s="38">
        <v>14508.028724043377</v>
      </c>
      <c r="C629" s="38">
        <f t="shared" si="10"/>
        <v>615</v>
      </c>
      <c r="D629" s="38">
        <v>381.64013267452333</v>
      </c>
    </row>
    <row r="630" spans="1:4" x14ac:dyDescent="0.2">
      <c r="A630" s="38">
        <f t="shared" si="10"/>
        <v>616</v>
      </c>
      <c r="B630" s="38">
        <v>7995.269726939322</v>
      </c>
      <c r="C630" s="38">
        <f t="shared" si="10"/>
        <v>616</v>
      </c>
      <c r="D630" s="38">
        <v>416.16960436815822</v>
      </c>
    </row>
    <row r="631" spans="1:4" x14ac:dyDescent="0.2">
      <c r="A631" s="38">
        <f t="shared" si="10"/>
        <v>617</v>
      </c>
      <c r="B631" s="38">
        <v>8164.6484668578332</v>
      </c>
      <c r="C631" s="38">
        <f t="shared" si="10"/>
        <v>617</v>
      </c>
      <c r="D631" s="38">
        <v>315.22529904625225</v>
      </c>
    </row>
    <row r="632" spans="1:4" x14ac:dyDescent="0.2">
      <c r="A632" s="38">
        <f t="shared" si="10"/>
        <v>618</v>
      </c>
      <c r="B632" s="38">
        <v>12991.685565918475</v>
      </c>
      <c r="C632" s="38">
        <f t="shared" si="10"/>
        <v>618</v>
      </c>
      <c r="D632" s="38">
        <v>400.03919520170723</v>
      </c>
    </row>
    <row r="633" spans="1:4" x14ac:dyDescent="0.2">
      <c r="A633" s="38">
        <f t="shared" si="10"/>
        <v>619</v>
      </c>
      <c r="B633" s="38">
        <v>6293.1844899964281</v>
      </c>
      <c r="C633" s="38">
        <f t="shared" si="10"/>
        <v>619</v>
      </c>
      <c r="D633" s="38">
        <v>351.93117733922014</v>
      </c>
    </row>
    <row r="634" spans="1:4" x14ac:dyDescent="0.2">
      <c r="A634" s="38">
        <f t="shared" si="10"/>
        <v>620</v>
      </c>
      <c r="B634" s="38">
        <v>7255.0706385747799</v>
      </c>
      <c r="C634" s="38">
        <f t="shared" si="10"/>
        <v>620</v>
      </c>
      <c r="D634" s="38">
        <v>385.92039186378224</v>
      </c>
    </row>
    <row r="635" spans="1:4" x14ac:dyDescent="0.2">
      <c r="A635" s="38">
        <f t="shared" si="10"/>
        <v>621</v>
      </c>
      <c r="B635" s="38">
        <v>9443.6938529563795</v>
      </c>
      <c r="C635" s="38">
        <f t="shared" si="10"/>
        <v>621</v>
      </c>
      <c r="D635" s="38">
        <v>336.53323574425684</v>
      </c>
    </row>
    <row r="636" spans="1:4" x14ac:dyDescent="0.2">
      <c r="A636" s="38">
        <f t="shared" si="10"/>
        <v>622</v>
      </c>
      <c r="B636" s="38">
        <v>4839.6090790314111</v>
      </c>
      <c r="C636" s="38">
        <f t="shared" si="10"/>
        <v>622</v>
      </c>
      <c r="D636" s="38">
        <v>314.1554231291629</v>
      </c>
    </row>
    <row r="637" spans="1:4" x14ac:dyDescent="0.2">
      <c r="A637" s="38">
        <f t="shared" si="10"/>
        <v>623</v>
      </c>
      <c r="B637" s="38">
        <v>9203.9782174506872</v>
      </c>
      <c r="C637" s="38">
        <f t="shared" si="10"/>
        <v>623</v>
      </c>
      <c r="D637" s="38">
        <v>310.29172248146466</v>
      </c>
    </row>
    <row r="638" spans="1:4" x14ac:dyDescent="0.2">
      <c r="A638" s="38">
        <f t="shared" si="10"/>
        <v>624</v>
      </c>
      <c r="B638" s="38">
        <v>12795.780426442228</v>
      </c>
      <c r="C638" s="38">
        <f t="shared" si="10"/>
        <v>624</v>
      </c>
      <c r="D638" s="38">
        <v>296.48082241564538</v>
      </c>
    </row>
    <row r="639" spans="1:4" x14ac:dyDescent="0.2">
      <c r="A639" s="38">
        <f t="shared" si="10"/>
        <v>625</v>
      </c>
      <c r="B639" s="38">
        <v>10524.12135102162</v>
      </c>
      <c r="C639" s="38">
        <f t="shared" si="10"/>
        <v>625</v>
      </c>
      <c r="D639" s="38">
        <v>345.36669836474834</v>
      </c>
    </row>
    <row r="640" spans="1:4" x14ac:dyDescent="0.2">
      <c r="A640" s="38">
        <f t="shared" si="10"/>
        <v>626</v>
      </c>
      <c r="B640" s="38">
        <v>10593.253879306907</v>
      </c>
      <c r="C640" s="38">
        <f t="shared" si="10"/>
        <v>626</v>
      </c>
      <c r="D640" s="38">
        <v>362.40146447826584</v>
      </c>
    </row>
    <row r="641" spans="1:4" x14ac:dyDescent="0.2">
      <c r="A641" s="38">
        <f t="shared" si="10"/>
        <v>627</v>
      </c>
      <c r="B641" s="38">
        <v>2055.849143096581</v>
      </c>
      <c r="C641" s="38">
        <f t="shared" si="10"/>
        <v>627</v>
      </c>
      <c r="D641" s="38">
        <v>370.81241362950755</v>
      </c>
    </row>
    <row r="642" spans="1:4" x14ac:dyDescent="0.2">
      <c r="A642" s="38">
        <f t="shared" si="10"/>
        <v>628</v>
      </c>
      <c r="B642" s="38">
        <v>6861.3364066365848</v>
      </c>
      <c r="C642" s="38">
        <f t="shared" si="10"/>
        <v>628</v>
      </c>
      <c r="D642" s="38">
        <v>332.99310335963918</v>
      </c>
    </row>
    <row r="643" spans="1:4" x14ac:dyDescent="0.2">
      <c r="A643" s="38">
        <f t="shared" si="10"/>
        <v>629</v>
      </c>
      <c r="B643" s="38">
        <v>10813.669982620819</v>
      </c>
      <c r="C643" s="38">
        <f t="shared" si="10"/>
        <v>629</v>
      </c>
      <c r="D643" s="38">
        <v>434.30789140973741</v>
      </c>
    </row>
    <row r="644" spans="1:4" x14ac:dyDescent="0.2">
      <c r="A644" s="38">
        <f t="shared" si="10"/>
        <v>630</v>
      </c>
      <c r="B644" s="38">
        <v>5064.5236799060995</v>
      </c>
      <c r="C644" s="38">
        <f t="shared" si="10"/>
        <v>630</v>
      </c>
      <c r="D644" s="38">
        <v>440.02311704811706</v>
      </c>
    </row>
    <row r="645" spans="1:4" x14ac:dyDescent="0.2">
      <c r="A645" s="38">
        <f t="shared" si="10"/>
        <v>631</v>
      </c>
      <c r="B645" s="38">
        <v>14084.231327558118</v>
      </c>
      <c r="C645" s="38">
        <f t="shared" si="10"/>
        <v>631</v>
      </c>
      <c r="D645" s="38">
        <v>375.53074063578583</v>
      </c>
    </row>
    <row r="646" spans="1:4" x14ac:dyDescent="0.2">
      <c r="A646" s="38">
        <f t="shared" si="10"/>
        <v>632</v>
      </c>
      <c r="B646" s="38">
        <v>13695.651471108991</v>
      </c>
      <c r="C646" s="38">
        <f t="shared" si="10"/>
        <v>632</v>
      </c>
      <c r="D646" s="38">
        <v>359.12466046587684</v>
      </c>
    </row>
    <row r="647" spans="1:4" x14ac:dyDescent="0.2">
      <c r="A647" s="38">
        <f t="shared" si="10"/>
        <v>633</v>
      </c>
      <c r="B647" s="38">
        <v>3851.9253050522962</v>
      </c>
      <c r="C647" s="38">
        <f t="shared" si="10"/>
        <v>633</v>
      </c>
      <c r="D647" s="38">
        <v>298.5978304776213</v>
      </c>
    </row>
    <row r="648" spans="1:4" x14ac:dyDescent="0.2">
      <c r="A648" s="38">
        <f t="shared" si="10"/>
        <v>634</v>
      </c>
      <c r="B648" s="38">
        <v>12430.981684763035</v>
      </c>
      <c r="C648" s="38">
        <f t="shared" si="10"/>
        <v>634</v>
      </c>
      <c r="D648" s="38">
        <v>292.51113786949196</v>
      </c>
    </row>
    <row r="649" spans="1:4" x14ac:dyDescent="0.2">
      <c r="A649" s="38">
        <f t="shared" si="10"/>
        <v>635</v>
      </c>
      <c r="B649" s="38">
        <v>7433.6285558053332</v>
      </c>
      <c r="C649" s="38">
        <f t="shared" si="10"/>
        <v>635</v>
      </c>
      <c r="D649" s="38">
        <v>320.42595910184997</v>
      </c>
    </row>
    <row r="650" spans="1:4" x14ac:dyDescent="0.2">
      <c r="A650" s="38">
        <f t="shared" si="10"/>
        <v>636</v>
      </c>
      <c r="B650" s="38">
        <v>6103.0092706689838</v>
      </c>
      <c r="C650" s="38">
        <f t="shared" si="10"/>
        <v>636</v>
      </c>
      <c r="D650" s="38">
        <v>361.02023660579931</v>
      </c>
    </row>
    <row r="651" spans="1:4" x14ac:dyDescent="0.2">
      <c r="A651" s="38">
        <f t="shared" si="10"/>
        <v>637</v>
      </c>
      <c r="B651" s="38">
        <v>7392.3446620890336</v>
      </c>
      <c r="C651" s="38">
        <f t="shared" si="10"/>
        <v>637</v>
      </c>
      <c r="D651" s="38">
        <v>357.2790175456343</v>
      </c>
    </row>
    <row r="652" spans="1:4" x14ac:dyDescent="0.2">
      <c r="A652" s="38">
        <f t="shared" si="10"/>
        <v>638</v>
      </c>
      <c r="B652" s="38">
        <v>8525.5734907999922</v>
      </c>
      <c r="C652" s="38">
        <f t="shared" si="10"/>
        <v>638</v>
      </c>
      <c r="D652" s="38">
        <v>443.18980743395537</v>
      </c>
    </row>
    <row r="653" spans="1:4" x14ac:dyDescent="0.2">
      <c r="A653" s="38">
        <f t="shared" si="10"/>
        <v>639</v>
      </c>
      <c r="B653" s="38">
        <v>8832.4738522026801</v>
      </c>
      <c r="C653" s="38">
        <f t="shared" si="10"/>
        <v>639</v>
      </c>
      <c r="D653" s="38">
        <v>339.38141764025164</v>
      </c>
    </row>
    <row r="654" spans="1:4" x14ac:dyDescent="0.2">
      <c r="A654" s="38">
        <f t="shared" si="10"/>
        <v>640</v>
      </c>
      <c r="B654" s="38">
        <v>7461.1085645614576</v>
      </c>
      <c r="C654" s="38">
        <f t="shared" si="10"/>
        <v>640</v>
      </c>
      <c r="D654" s="38">
        <v>398.79395117438787</v>
      </c>
    </row>
    <row r="655" spans="1:4" x14ac:dyDescent="0.2">
      <c r="A655" s="38">
        <f t="shared" si="10"/>
        <v>641</v>
      </c>
      <c r="B655" s="38">
        <v>8780.0356571130778</v>
      </c>
      <c r="C655" s="38">
        <f t="shared" si="10"/>
        <v>641</v>
      </c>
      <c r="D655" s="38">
        <v>368.89481017576423</v>
      </c>
    </row>
    <row r="656" spans="1:4" x14ac:dyDescent="0.2">
      <c r="A656" s="38">
        <f t="shared" si="10"/>
        <v>642</v>
      </c>
      <c r="B656" s="38">
        <v>13399.86584913273</v>
      </c>
      <c r="C656" s="38">
        <f t="shared" si="10"/>
        <v>642</v>
      </c>
      <c r="D656" s="38">
        <v>390.91609475930363</v>
      </c>
    </row>
    <row r="657" spans="1:4" x14ac:dyDescent="0.2">
      <c r="A657" s="38">
        <f t="shared" si="10"/>
        <v>643</v>
      </c>
      <c r="B657" s="38">
        <v>7616.9816015641873</v>
      </c>
      <c r="C657" s="38">
        <f t="shared" si="10"/>
        <v>643</v>
      </c>
      <c r="D657" s="38">
        <v>336.05182136533733</v>
      </c>
    </row>
    <row r="658" spans="1:4" x14ac:dyDescent="0.2">
      <c r="A658" s="38">
        <f t="shared" si="10"/>
        <v>644</v>
      </c>
      <c r="B658" s="38">
        <v>6847.0101121958578</v>
      </c>
      <c r="C658" s="38">
        <f t="shared" si="10"/>
        <v>644</v>
      </c>
      <c r="D658" s="38">
        <v>360.56864557839049</v>
      </c>
    </row>
    <row r="659" spans="1:4" x14ac:dyDescent="0.2">
      <c r="A659" s="38">
        <f t="shared" si="10"/>
        <v>645</v>
      </c>
      <c r="B659" s="38">
        <v>8702.6147522332412</v>
      </c>
      <c r="C659" s="38">
        <f t="shared" si="10"/>
        <v>645</v>
      </c>
      <c r="D659" s="38">
        <v>408.72032277944749</v>
      </c>
    </row>
    <row r="660" spans="1:4" x14ac:dyDescent="0.2">
      <c r="A660" s="38">
        <f t="shared" si="10"/>
        <v>646</v>
      </c>
      <c r="B660" s="38">
        <v>9500.7848842190106</v>
      </c>
      <c r="C660" s="38">
        <f t="shared" si="10"/>
        <v>646</v>
      </c>
      <c r="D660" s="38">
        <v>383.37894631724436</v>
      </c>
    </row>
    <row r="661" spans="1:4" x14ac:dyDescent="0.2">
      <c r="A661" s="38">
        <f t="shared" si="10"/>
        <v>647</v>
      </c>
      <c r="B661" s="38">
        <v>6249.4630017955278</v>
      </c>
      <c r="C661" s="38">
        <f t="shared" si="10"/>
        <v>647</v>
      </c>
      <c r="D661" s="38">
        <v>379.68379341276983</v>
      </c>
    </row>
    <row r="662" spans="1:4" x14ac:dyDescent="0.2">
      <c r="A662" s="38">
        <f t="shared" si="10"/>
        <v>648</v>
      </c>
      <c r="B662" s="38">
        <v>12449.670414753609</v>
      </c>
      <c r="C662" s="38">
        <f t="shared" si="10"/>
        <v>648</v>
      </c>
      <c r="D662" s="38">
        <v>313.2015279041089</v>
      </c>
    </row>
    <row r="663" spans="1:4" x14ac:dyDescent="0.2">
      <c r="A663" s="38">
        <f t="shared" si="10"/>
        <v>649</v>
      </c>
      <c r="B663" s="38">
        <v>7241.8653623117116</v>
      </c>
      <c r="C663" s="38">
        <f t="shared" si="10"/>
        <v>649</v>
      </c>
      <c r="D663" s="38">
        <v>378.70430930691867</v>
      </c>
    </row>
    <row r="664" spans="1:4" x14ac:dyDescent="0.2">
      <c r="A664" s="38">
        <f t="shared" ref="A664:C727" si="11">A663+1</f>
        <v>650</v>
      </c>
      <c r="B664" s="38">
        <v>7911.6482494633528</v>
      </c>
      <c r="C664" s="38">
        <f t="shared" si="11"/>
        <v>650</v>
      </c>
      <c r="D664" s="38">
        <v>357.15144783115704</v>
      </c>
    </row>
    <row r="665" spans="1:4" x14ac:dyDescent="0.2">
      <c r="A665" s="38">
        <f t="shared" si="11"/>
        <v>651</v>
      </c>
      <c r="B665" s="38">
        <v>9239.9398877921594</v>
      </c>
      <c r="C665" s="38">
        <f t="shared" si="11"/>
        <v>651</v>
      </c>
      <c r="D665" s="38">
        <v>355.58648741050968</v>
      </c>
    </row>
    <row r="666" spans="1:4" x14ac:dyDescent="0.2">
      <c r="A666" s="38">
        <f t="shared" si="11"/>
        <v>652</v>
      </c>
      <c r="B666" s="38">
        <v>1399.7283382427529</v>
      </c>
      <c r="C666" s="38">
        <f t="shared" si="11"/>
        <v>652</v>
      </c>
      <c r="D666" s="38">
        <v>342.64133245256966</v>
      </c>
    </row>
    <row r="667" spans="1:4" x14ac:dyDescent="0.2">
      <c r="A667" s="38">
        <f t="shared" si="11"/>
        <v>653</v>
      </c>
      <c r="B667" s="38">
        <v>11968.386965611395</v>
      </c>
      <c r="C667" s="38">
        <f t="shared" si="11"/>
        <v>653</v>
      </c>
      <c r="D667" s="38">
        <v>363.33724649869004</v>
      </c>
    </row>
    <row r="668" spans="1:4" x14ac:dyDescent="0.2">
      <c r="A668" s="38">
        <f t="shared" si="11"/>
        <v>654</v>
      </c>
      <c r="B668" s="38">
        <v>4260.9026039875371</v>
      </c>
      <c r="C668" s="38">
        <f t="shared" si="11"/>
        <v>654</v>
      </c>
      <c r="D668" s="38">
        <v>291.33052983000357</v>
      </c>
    </row>
    <row r="669" spans="1:4" x14ac:dyDescent="0.2">
      <c r="A669" s="38">
        <f t="shared" si="11"/>
        <v>655</v>
      </c>
      <c r="B669" s="38">
        <v>8151.7045173559482</v>
      </c>
      <c r="C669" s="38">
        <f t="shared" si="11"/>
        <v>655</v>
      </c>
      <c r="D669" s="38">
        <v>438.75719213950634</v>
      </c>
    </row>
    <row r="670" spans="1:4" x14ac:dyDescent="0.2">
      <c r="A670" s="38">
        <f t="shared" si="11"/>
        <v>656</v>
      </c>
      <c r="B670" s="38">
        <v>8242.1047952187455</v>
      </c>
      <c r="C670" s="38">
        <f t="shared" si="11"/>
        <v>656</v>
      </c>
      <c r="D670" s="38">
        <v>354.91629510778591</v>
      </c>
    </row>
    <row r="671" spans="1:4" x14ac:dyDescent="0.2">
      <c r="A671" s="38">
        <f t="shared" si="11"/>
        <v>657</v>
      </c>
      <c r="B671" s="38">
        <v>12340.007568841063</v>
      </c>
      <c r="C671" s="38">
        <f t="shared" si="11"/>
        <v>657</v>
      </c>
      <c r="D671" s="38">
        <v>376.05834993858929</v>
      </c>
    </row>
    <row r="672" spans="1:4" x14ac:dyDescent="0.2">
      <c r="A672" s="38">
        <f t="shared" si="11"/>
        <v>658</v>
      </c>
      <c r="B672" s="38">
        <v>5528.6244278695531</v>
      </c>
      <c r="C672" s="38">
        <f t="shared" si="11"/>
        <v>658</v>
      </c>
      <c r="D672" s="38">
        <v>379.2048008303675</v>
      </c>
    </row>
    <row r="673" spans="1:4" x14ac:dyDescent="0.2">
      <c r="A673" s="38">
        <f t="shared" si="11"/>
        <v>659</v>
      </c>
      <c r="B673" s="38">
        <v>4080.4037563267543</v>
      </c>
      <c r="C673" s="38">
        <f t="shared" si="11"/>
        <v>659</v>
      </c>
      <c r="D673" s="38">
        <v>356.81529517343887</v>
      </c>
    </row>
    <row r="674" spans="1:4" x14ac:dyDescent="0.2">
      <c r="A674" s="38">
        <f t="shared" si="11"/>
        <v>660</v>
      </c>
      <c r="B674" s="38">
        <v>15526.434507419261</v>
      </c>
      <c r="C674" s="38">
        <f t="shared" si="11"/>
        <v>660</v>
      </c>
      <c r="D674" s="38">
        <v>381.20552610847983</v>
      </c>
    </row>
    <row r="675" spans="1:4" x14ac:dyDescent="0.2">
      <c r="A675" s="38">
        <f t="shared" si="11"/>
        <v>661</v>
      </c>
      <c r="B675" s="38">
        <v>10523.381455690389</v>
      </c>
      <c r="C675" s="38">
        <f t="shared" si="11"/>
        <v>661</v>
      </c>
      <c r="D675" s="38">
        <v>377.54030825476411</v>
      </c>
    </row>
    <row r="676" spans="1:4" x14ac:dyDescent="0.2">
      <c r="A676" s="38">
        <f t="shared" si="11"/>
        <v>662</v>
      </c>
      <c r="B676" s="38">
        <v>5955.1919504155194</v>
      </c>
      <c r="C676" s="38">
        <f t="shared" si="11"/>
        <v>662</v>
      </c>
      <c r="D676" s="38">
        <v>317.18413104241415</v>
      </c>
    </row>
    <row r="677" spans="1:4" x14ac:dyDescent="0.2">
      <c r="A677" s="38">
        <f t="shared" si="11"/>
        <v>663</v>
      </c>
      <c r="B677" s="38">
        <v>3806.349520913288</v>
      </c>
      <c r="C677" s="38">
        <f t="shared" si="11"/>
        <v>663</v>
      </c>
      <c r="D677" s="38">
        <v>351.64606893578195</v>
      </c>
    </row>
    <row r="678" spans="1:4" x14ac:dyDescent="0.2">
      <c r="A678" s="38">
        <f t="shared" si="11"/>
        <v>664</v>
      </c>
      <c r="B678" s="38">
        <v>7982.3649960768043</v>
      </c>
      <c r="C678" s="38">
        <f t="shared" si="11"/>
        <v>664</v>
      </c>
      <c r="D678" s="38">
        <v>312.99513795878033</v>
      </c>
    </row>
    <row r="679" spans="1:4" x14ac:dyDescent="0.2">
      <c r="A679" s="38">
        <f t="shared" si="11"/>
        <v>665</v>
      </c>
      <c r="B679" s="38">
        <v>9427.4392447082555</v>
      </c>
      <c r="C679" s="38">
        <f t="shared" si="11"/>
        <v>665</v>
      </c>
      <c r="D679" s="38">
        <v>314.24691484466024</v>
      </c>
    </row>
    <row r="680" spans="1:4" x14ac:dyDescent="0.2">
      <c r="A680" s="38">
        <f t="shared" si="11"/>
        <v>666</v>
      </c>
      <c r="B680" s="38">
        <v>3372.5210126939905</v>
      </c>
      <c r="C680" s="38">
        <f t="shared" si="11"/>
        <v>666</v>
      </c>
      <c r="D680" s="38">
        <v>420.80203925167564</v>
      </c>
    </row>
    <row r="681" spans="1:4" x14ac:dyDescent="0.2">
      <c r="A681" s="38">
        <f t="shared" si="11"/>
        <v>667</v>
      </c>
      <c r="B681" s="38">
        <v>11496.387568969736</v>
      </c>
      <c r="C681" s="38">
        <f t="shared" si="11"/>
        <v>667</v>
      </c>
      <c r="D681" s="38">
        <v>306.86810829198458</v>
      </c>
    </row>
    <row r="682" spans="1:4" x14ac:dyDescent="0.2">
      <c r="A682" s="38">
        <f t="shared" si="11"/>
        <v>668</v>
      </c>
      <c r="B682" s="38">
        <v>14799.693012227503</v>
      </c>
      <c r="C682" s="38">
        <f t="shared" si="11"/>
        <v>668</v>
      </c>
      <c r="D682" s="38">
        <v>414.41632278412038</v>
      </c>
    </row>
    <row r="683" spans="1:4" x14ac:dyDescent="0.2">
      <c r="A683" s="38">
        <f t="shared" si="11"/>
        <v>669</v>
      </c>
      <c r="B683" s="38">
        <v>3340.2357324658051</v>
      </c>
      <c r="C683" s="38">
        <f t="shared" si="11"/>
        <v>669</v>
      </c>
      <c r="D683" s="38">
        <v>354.8028084048787</v>
      </c>
    </row>
    <row r="684" spans="1:4" x14ac:dyDescent="0.2">
      <c r="A684" s="38">
        <f t="shared" si="11"/>
        <v>670</v>
      </c>
      <c r="B684" s="38">
        <v>5442.3536760389043</v>
      </c>
      <c r="C684" s="38">
        <f t="shared" si="11"/>
        <v>670</v>
      </c>
      <c r="D684" s="38">
        <v>370.3739027999863</v>
      </c>
    </row>
    <row r="685" spans="1:4" x14ac:dyDescent="0.2">
      <c r="A685" s="38">
        <f t="shared" si="11"/>
        <v>671</v>
      </c>
      <c r="B685" s="38">
        <v>14817.806062595479</v>
      </c>
      <c r="C685" s="38">
        <f t="shared" si="11"/>
        <v>671</v>
      </c>
      <c r="D685" s="38">
        <v>321.6917180388744</v>
      </c>
    </row>
    <row r="686" spans="1:4" x14ac:dyDescent="0.2">
      <c r="A686" s="38">
        <f t="shared" si="11"/>
        <v>672</v>
      </c>
      <c r="B686" s="38">
        <v>8241.6055405738953</v>
      </c>
      <c r="C686" s="38">
        <f t="shared" si="11"/>
        <v>672</v>
      </c>
      <c r="D686" s="38">
        <v>328.85473300095151</v>
      </c>
    </row>
    <row r="687" spans="1:4" x14ac:dyDescent="0.2">
      <c r="A687" s="38">
        <f t="shared" si="11"/>
        <v>673</v>
      </c>
      <c r="B687" s="38">
        <v>7685.9609700143747</v>
      </c>
      <c r="C687" s="38">
        <f t="shared" si="11"/>
        <v>673</v>
      </c>
      <c r="D687" s="38">
        <v>336.08559586981352</v>
      </c>
    </row>
    <row r="688" spans="1:4" x14ac:dyDescent="0.2">
      <c r="A688" s="38">
        <f t="shared" si="11"/>
        <v>674</v>
      </c>
      <c r="B688" s="38">
        <v>2666.0746095925579</v>
      </c>
      <c r="C688" s="38">
        <f t="shared" si="11"/>
        <v>674</v>
      </c>
      <c r="D688" s="38">
        <v>371.84584082623809</v>
      </c>
    </row>
    <row r="689" spans="1:4" x14ac:dyDescent="0.2">
      <c r="A689" s="38">
        <f t="shared" si="11"/>
        <v>675</v>
      </c>
      <c r="B689" s="38">
        <v>6608.6682761118154</v>
      </c>
      <c r="C689" s="38">
        <f t="shared" si="11"/>
        <v>675</v>
      </c>
      <c r="D689" s="38">
        <v>405.43356948268456</v>
      </c>
    </row>
    <row r="690" spans="1:4" x14ac:dyDescent="0.2">
      <c r="A690" s="38">
        <f t="shared" si="11"/>
        <v>676</v>
      </c>
      <c r="B690" s="38">
        <v>6841.7454179625811</v>
      </c>
      <c r="C690" s="38">
        <f t="shared" si="11"/>
        <v>676</v>
      </c>
      <c r="D690" s="38">
        <v>391.76039454770103</v>
      </c>
    </row>
    <row r="691" spans="1:4" x14ac:dyDescent="0.2">
      <c r="A691" s="38">
        <f t="shared" si="11"/>
        <v>677</v>
      </c>
      <c r="B691" s="38">
        <v>11234.227665349172</v>
      </c>
      <c r="C691" s="38">
        <f t="shared" si="11"/>
        <v>677</v>
      </c>
      <c r="D691" s="38">
        <v>394.13521296037766</v>
      </c>
    </row>
    <row r="692" spans="1:4" x14ac:dyDescent="0.2">
      <c r="A692" s="38">
        <f t="shared" si="11"/>
        <v>678</v>
      </c>
      <c r="B692" s="38">
        <v>9774.3986552088609</v>
      </c>
      <c r="C692" s="38">
        <f t="shared" si="11"/>
        <v>678</v>
      </c>
      <c r="D692" s="38">
        <v>339.99203649511173</v>
      </c>
    </row>
    <row r="693" spans="1:4" x14ac:dyDescent="0.2">
      <c r="A693" s="38">
        <f t="shared" si="11"/>
        <v>679</v>
      </c>
      <c r="B693" s="38">
        <v>3728.7737863285943</v>
      </c>
      <c r="C693" s="38">
        <f t="shared" si="11"/>
        <v>679</v>
      </c>
      <c r="D693" s="38">
        <v>385.94143369839128</v>
      </c>
    </row>
    <row r="694" spans="1:4" x14ac:dyDescent="0.2">
      <c r="A694" s="38">
        <f t="shared" si="11"/>
        <v>680</v>
      </c>
      <c r="B694" s="38">
        <v>5058.2386051855146</v>
      </c>
      <c r="C694" s="38">
        <f t="shared" si="11"/>
        <v>680</v>
      </c>
      <c r="D694" s="38">
        <v>370.12928733984103</v>
      </c>
    </row>
    <row r="695" spans="1:4" x14ac:dyDescent="0.2">
      <c r="A695" s="38">
        <f t="shared" si="11"/>
        <v>681</v>
      </c>
      <c r="B695" s="38">
        <v>4539.4278340806131</v>
      </c>
      <c r="C695" s="38">
        <f t="shared" si="11"/>
        <v>681</v>
      </c>
      <c r="D695" s="38">
        <v>356.36306418302979</v>
      </c>
    </row>
    <row r="696" spans="1:4" x14ac:dyDescent="0.2">
      <c r="A696" s="38">
        <f t="shared" si="11"/>
        <v>682</v>
      </c>
      <c r="B696" s="38">
        <v>9213.8342206854231</v>
      </c>
      <c r="C696" s="38">
        <f t="shared" si="11"/>
        <v>682</v>
      </c>
      <c r="D696" s="38">
        <v>370.70227244317419</v>
      </c>
    </row>
    <row r="697" spans="1:4" x14ac:dyDescent="0.2">
      <c r="A697" s="38">
        <f t="shared" si="11"/>
        <v>683</v>
      </c>
      <c r="B697" s="38">
        <v>5897.1447459252759</v>
      </c>
      <c r="C697" s="38">
        <f t="shared" si="11"/>
        <v>683</v>
      </c>
      <c r="D697" s="38">
        <v>317.68427513248076</v>
      </c>
    </row>
    <row r="698" spans="1:4" x14ac:dyDescent="0.2">
      <c r="A698" s="38">
        <f t="shared" si="11"/>
        <v>684</v>
      </c>
      <c r="B698" s="38">
        <v>13459.268034431989</v>
      </c>
      <c r="C698" s="38">
        <f t="shared" si="11"/>
        <v>684</v>
      </c>
      <c r="D698" s="38">
        <v>335.0165653216626</v>
      </c>
    </row>
    <row r="699" spans="1:4" x14ac:dyDescent="0.2">
      <c r="A699" s="38">
        <f t="shared" si="11"/>
        <v>685</v>
      </c>
      <c r="B699" s="38">
        <v>2017.4130315876812</v>
      </c>
      <c r="C699" s="38">
        <f t="shared" si="11"/>
        <v>685</v>
      </c>
      <c r="D699" s="38">
        <v>457.4759064087138</v>
      </c>
    </row>
    <row r="700" spans="1:4" x14ac:dyDescent="0.2">
      <c r="A700" s="38">
        <f t="shared" si="11"/>
        <v>686</v>
      </c>
      <c r="B700" s="38">
        <v>8594.2477991837313</v>
      </c>
      <c r="C700" s="38">
        <f t="shared" si="11"/>
        <v>686</v>
      </c>
      <c r="D700" s="38">
        <v>317.81689643181124</v>
      </c>
    </row>
    <row r="701" spans="1:4" x14ac:dyDescent="0.2">
      <c r="A701" s="38">
        <f t="shared" si="11"/>
        <v>687</v>
      </c>
      <c r="B701" s="38">
        <v>6413.9225371199236</v>
      </c>
      <c r="C701" s="38">
        <f t="shared" si="11"/>
        <v>687</v>
      </c>
      <c r="D701" s="38">
        <v>304.15075712133694</v>
      </c>
    </row>
    <row r="702" spans="1:4" x14ac:dyDescent="0.2">
      <c r="A702" s="38">
        <f t="shared" si="11"/>
        <v>688</v>
      </c>
      <c r="B702" s="38">
        <v>4042.5366846506904</v>
      </c>
      <c r="C702" s="38">
        <f t="shared" si="11"/>
        <v>688</v>
      </c>
      <c r="D702" s="38">
        <v>331.37033719818129</v>
      </c>
    </row>
    <row r="703" spans="1:4" x14ac:dyDescent="0.2">
      <c r="A703" s="38">
        <f t="shared" si="11"/>
        <v>689</v>
      </c>
      <c r="B703" s="38">
        <v>3165.782005727177</v>
      </c>
      <c r="C703" s="38">
        <f t="shared" si="11"/>
        <v>689</v>
      </c>
      <c r="D703" s="38">
        <v>334.67482753382131</v>
      </c>
    </row>
    <row r="704" spans="1:4" x14ac:dyDescent="0.2">
      <c r="A704" s="38">
        <f t="shared" si="11"/>
        <v>690</v>
      </c>
      <c r="B704" s="38">
        <v>7089.5713728962046</v>
      </c>
      <c r="C704" s="38">
        <f t="shared" si="11"/>
        <v>690</v>
      </c>
      <c r="D704" s="38">
        <v>284.91706369096664</v>
      </c>
    </row>
    <row r="705" spans="1:4" x14ac:dyDescent="0.2">
      <c r="A705" s="38">
        <f t="shared" si="11"/>
        <v>691</v>
      </c>
      <c r="B705" s="38">
        <v>4070.9529713038387</v>
      </c>
      <c r="C705" s="38">
        <f t="shared" si="11"/>
        <v>691</v>
      </c>
      <c r="D705" s="38">
        <v>311.40090940189475</v>
      </c>
    </row>
    <row r="706" spans="1:4" x14ac:dyDescent="0.2">
      <c r="A706" s="38">
        <f t="shared" si="11"/>
        <v>692</v>
      </c>
      <c r="B706" s="38">
        <v>4812.0916354842902</v>
      </c>
      <c r="C706" s="38">
        <f t="shared" si="11"/>
        <v>692</v>
      </c>
      <c r="D706" s="38">
        <v>357.26704301397928</v>
      </c>
    </row>
    <row r="707" spans="1:4" x14ac:dyDescent="0.2">
      <c r="A707" s="38">
        <f t="shared" si="11"/>
        <v>693</v>
      </c>
      <c r="B707" s="38">
        <v>12810.383622163976</v>
      </c>
      <c r="C707" s="38">
        <f t="shared" si="11"/>
        <v>693</v>
      </c>
      <c r="D707" s="38">
        <v>370.66555831728624</v>
      </c>
    </row>
    <row r="708" spans="1:4" x14ac:dyDescent="0.2">
      <c r="A708" s="38">
        <f t="shared" si="11"/>
        <v>694</v>
      </c>
      <c r="B708" s="38">
        <v>10626.001366129085</v>
      </c>
      <c r="C708" s="38">
        <f t="shared" si="11"/>
        <v>694</v>
      </c>
      <c r="D708" s="38">
        <v>312.06329605142469</v>
      </c>
    </row>
    <row r="709" spans="1:4" x14ac:dyDescent="0.2">
      <c r="A709" s="38">
        <f t="shared" si="11"/>
        <v>695</v>
      </c>
      <c r="B709" s="38">
        <v>10840.965188799408</v>
      </c>
      <c r="C709" s="38">
        <f t="shared" si="11"/>
        <v>695</v>
      </c>
      <c r="D709" s="38">
        <v>441.83391843025208</v>
      </c>
    </row>
    <row r="710" spans="1:4" x14ac:dyDescent="0.2">
      <c r="A710" s="38">
        <f t="shared" si="11"/>
        <v>696</v>
      </c>
      <c r="B710" s="38">
        <v>7630.9474228472709</v>
      </c>
      <c r="C710" s="38">
        <f t="shared" si="11"/>
        <v>696</v>
      </c>
      <c r="D710" s="38">
        <v>300.52481486520827</v>
      </c>
    </row>
    <row r="711" spans="1:4" x14ac:dyDescent="0.2">
      <c r="A711" s="38">
        <f t="shared" si="11"/>
        <v>697</v>
      </c>
      <c r="B711" s="38">
        <v>8839.1862427462784</v>
      </c>
      <c r="C711" s="38">
        <f t="shared" si="11"/>
        <v>697</v>
      </c>
      <c r="D711" s="38">
        <v>410.90471507427651</v>
      </c>
    </row>
    <row r="712" spans="1:4" x14ac:dyDescent="0.2">
      <c r="A712" s="38">
        <f t="shared" si="11"/>
        <v>698</v>
      </c>
      <c r="B712" s="38">
        <v>1745.7584670005185</v>
      </c>
      <c r="C712" s="38">
        <f t="shared" si="11"/>
        <v>698</v>
      </c>
      <c r="D712" s="38">
        <v>335.0070784069581</v>
      </c>
    </row>
    <row r="713" spans="1:4" x14ac:dyDescent="0.2">
      <c r="A713" s="38">
        <f t="shared" si="11"/>
        <v>699</v>
      </c>
      <c r="B713" s="38">
        <v>6880.4336662106334</v>
      </c>
      <c r="C713" s="38">
        <f t="shared" si="11"/>
        <v>699</v>
      </c>
      <c r="D713" s="38">
        <v>336.86551446127578</v>
      </c>
    </row>
    <row r="714" spans="1:4" x14ac:dyDescent="0.2">
      <c r="A714" s="38">
        <f t="shared" si="11"/>
        <v>700</v>
      </c>
      <c r="B714" s="38">
        <v>5568.0658091448258</v>
      </c>
      <c r="C714" s="38">
        <f t="shared" si="11"/>
        <v>700</v>
      </c>
      <c r="D714" s="38">
        <v>375.44559098998099</v>
      </c>
    </row>
    <row r="715" spans="1:4" x14ac:dyDescent="0.2">
      <c r="A715" s="38">
        <f t="shared" si="11"/>
        <v>701</v>
      </c>
      <c r="B715" s="38">
        <v>7100.9852216092595</v>
      </c>
      <c r="C715" s="38">
        <f t="shared" si="11"/>
        <v>701</v>
      </c>
      <c r="D715" s="38">
        <v>369.68368342264006</v>
      </c>
    </row>
    <row r="716" spans="1:4" x14ac:dyDescent="0.2">
      <c r="A716" s="38">
        <f t="shared" si="11"/>
        <v>702</v>
      </c>
      <c r="B716" s="38">
        <v>4120.458857862659</v>
      </c>
      <c r="C716" s="38">
        <f t="shared" si="11"/>
        <v>702</v>
      </c>
      <c r="D716" s="38">
        <v>347.68629914667594</v>
      </c>
    </row>
    <row r="717" spans="1:4" x14ac:dyDescent="0.2">
      <c r="A717" s="38">
        <f t="shared" si="11"/>
        <v>703</v>
      </c>
      <c r="B717" s="38">
        <v>1995.1684747042332</v>
      </c>
      <c r="C717" s="38">
        <f t="shared" si="11"/>
        <v>703</v>
      </c>
      <c r="D717" s="38">
        <v>321.32525184785715</v>
      </c>
    </row>
    <row r="718" spans="1:4" x14ac:dyDescent="0.2">
      <c r="A718" s="38">
        <f t="shared" si="11"/>
        <v>704</v>
      </c>
      <c r="B718" s="38">
        <v>3182.5147353930906</v>
      </c>
      <c r="C718" s="38">
        <f t="shared" si="11"/>
        <v>704</v>
      </c>
      <c r="D718" s="38">
        <v>330.21385287456997</v>
      </c>
    </row>
    <row r="719" spans="1:4" x14ac:dyDescent="0.2">
      <c r="A719" s="38">
        <f t="shared" si="11"/>
        <v>705</v>
      </c>
      <c r="B719" s="38">
        <v>3548.8293868151918</v>
      </c>
      <c r="C719" s="38">
        <f t="shared" si="11"/>
        <v>705</v>
      </c>
      <c r="D719" s="38">
        <v>360.87924978525575</v>
      </c>
    </row>
    <row r="720" spans="1:4" x14ac:dyDescent="0.2">
      <c r="A720" s="38">
        <f t="shared" si="11"/>
        <v>706</v>
      </c>
      <c r="B720" s="38">
        <v>10388.333686043366</v>
      </c>
      <c r="C720" s="38">
        <f t="shared" si="11"/>
        <v>706</v>
      </c>
      <c r="D720" s="38">
        <v>313.29197510201874</v>
      </c>
    </row>
    <row r="721" spans="1:4" x14ac:dyDescent="0.2">
      <c r="A721" s="38">
        <f t="shared" si="11"/>
        <v>707</v>
      </c>
      <c r="B721" s="38">
        <v>9719.4549749912258</v>
      </c>
      <c r="C721" s="38">
        <f t="shared" si="11"/>
        <v>707</v>
      </c>
      <c r="D721" s="38">
        <v>335.02942517558802</v>
      </c>
    </row>
    <row r="722" spans="1:4" x14ac:dyDescent="0.2">
      <c r="A722" s="38">
        <f t="shared" si="11"/>
        <v>708</v>
      </c>
      <c r="B722" s="38">
        <v>10470.43780113321</v>
      </c>
      <c r="C722" s="38">
        <f t="shared" si="11"/>
        <v>708</v>
      </c>
      <c r="D722" s="38">
        <v>410.30017396374632</v>
      </c>
    </row>
    <row r="723" spans="1:4" x14ac:dyDescent="0.2">
      <c r="A723" s="38">
        <f t="shared" si="11"/>
        <v>709</v>
      </c>
      <c r="B723" s="38">
        <v>11036.127630820272</v>
      </c>
      <c r="C723" s="38">
        <f t="shared" si="11"/>
        <v>709</v>
      </c>
      <c r="D723" s="38">
        <v>350.5491193943555</v>
      </c>
    </row>
    <row r="724" spans="1:4" x14ac:dyDescent="0.2">
      <c r="A724" s="38">
        <f t="shared" si="11"/>
        <v>710</v>
      </c>
      <c r="B724" s="38">
        <v>4769.9688208142525</v>
      </c>
      <c r="C724" s="38">
        <f t="shared" si="11"/>
        <v>710</v>
      </c>
      <c r="D724" s="38">
        <v>334.3918629836441</v>
      </c>
    </row>
    <row r="725" spans="1:4" x14ac:dyDescent="0.2">
      <c r="A725" s="38">
        <f t="shared" si="11"/>
        <v>711</v>
      </c>
      <c r="B725" s="38">
        <v>1810.8626265534986</v>
      </c>
      <c r="C725" s="38">
        <f t="shared" si="11"/>
        <v>711</v>
      </c>
      <c r="D725" s="38">
        <v>319.4595166968291</v>
      </c>
    </row>
    <row r="726" spans="1:4" x14ac:dyDescent="0.2">
      <c r="A726" s="38">
        <f t="shared" si="11"/>
        <v>712</v>
      </c>
      <c r="B726" s="38">
        <v>1761.0655124696596</v>
      </c>
      <c r="C726" s="38">
        <f t="shared" si="11"/>
        <v>712</v>
      </c>
      <c r="D726" s="38">
        <v>339.36310718112645</v>
      </c>
    </row>
    <row r="727" spans="1:4" x14ac:dyDescent="0.2">
      <c r="A727" s="38">
        <f t="shared" si="11"/>
        <v>713</v>
      </c>
      <c r="B727" s="38">
        <v>3895.7499471668875</v>
      </c>
      <c r="C727" s="38">
        <f t="shared" si="11"/>
        <v>713</v>
      </c>
      <c r="D727" s="38">
        <v>365.87612715320819</v>
      </c>
    </row>
    <row r="728" spans="1:4" x14ac:dyDescent="0.2">
      <c r="A728" s="38">
        <f t="shared" ref="A728:C791" si="12">A727+1</f>
        <v>714</v>
      </c>
      <c r="B728" s="38">
        <v>6845.6300603183545</v>
      </c>
      <c r="C728" s="38">
        <f t="shared" si="12"/>
        <v>714</v>
      </c>
      <c r="D728" s="38">
        <v>400.84306605382886</v>
      </c>
    </row>
    <row r="729" spans="1:4" x14ac:dyDescent="0.2">
      <c r="A729" s="38">
        <f t="shared" si="12"/>
        <v>715</v>
      </c>
      <c r="B729" s="38">
        <v>4730.6060506624108</v>
      </c>
      <c r="C729" s="38">
        <f t="shared" si="12"/>
        <v>715</v>
      </c>
      <c r="D729" s="38">
        <v>426.80511932618185</v>
      </c>
    </row>
    <row r="730" spans="1:4" x14ac:dyDescent="0.2">
      <c r="A730" s="38">
        <f t="shared" si="12"/>
        <v>716</v>
      </c>
      <c r="B730" s="38">
        <v>5889.7365732774051</v>
      </c>
      <c r="C730" s="38">
        <f t="shared" si="12"/>
        <v>716</v>
      </c>
      <c r="D730" s="38">
        <v>352.49365159158651</v>
      </c>
    </row>
    <row r="731" spans="1:4" x14ac:dyDescent="0.2">
      <c r="A731" s="38">
        <f t="shared" si="12"/>
        <v>717</v>
      </c>
      <c r="B731" s="38">
        <v>4548.9070967146981</v>
      </c>
      <c r="C731" s="38">
        <f t="shared" si="12"/>
        <v>717</v>
      </c>
      <c r="D731" s="38">
        <v>291.5836712230996</v>
      </c>
    </row>
    <row r="732" spans="1:4" x14ac:dyDescent="0.2">
      <c r="A732" s="38">
        <f t="shared" si="12"/>
        <v>718</v>
      </c>
      <c r="B732" s="38">
        <v>6662.2520573041329</v>
      </c>
      <c r="C732" s="38">
        <f t="shared" si="12"/>
        <v>718</v>
      </c>
      <c r="D732" s="38">
        <v>355.31602860405548</v>
      </c>
    </row>
    <row r="733" spans="1:4" x14ac:dyDescent="0.2">
      <c r="A733" s="38">
        <f t="shared" si="12"/>
        <v>719</v>
      </c>
      <c r="B733" s="38">
        <v>7808.2533751375413</v>
      </c>
      <c r="C733" s="38">
        <f t="shared" si="12"/>
        <v>719</v>
      </c>
      <c r="D733" s="38">
        <v>357.8115023470333</v>
      </c>
    </row>
    <row r="734" spans="1:4" x14ac:dyDescent="0.2">
      <c r="A734" s="38">
        <f t="shared" si="12"/>
        <v>720</v>
      </c>
      <c r="B734" s="38">
        <v>10413.788505087176</v>
      </c>
      <c r="C734" s="38">
        <f t="shared" si="12"/>
        <v>720</v>
      </c>
      <c r="D734" s="38">
        <v>314.60615793709741</v>
      </c>
    </row>
    <row r="735" spans="1:4" x14ac:dyDescent="0.2">
      <c r="A735" s="38">
        <f t="shared" si="12"/>
        <v>721</v>
      </c>
      <c r="B735" s="38">
        <v>11786.419040235622</v>
      </c>
      <c r="C735" s="38">
        <f t="shared" si="12"/>
        <v>721</v>
      </c>
      <c r="D735" s="38">
        <v>322.32156753978546</v>
      </c>
    </row>
    <row r="736" spans="1:4" x14ac:dyDescent="0.2">
      <c r="A736" s="38">
        <f t="shared" si="12"/>
        <v>722</v>
      </c>
      <c r="B736" s="38">
        <v>6259.6748081031483</v>
      </c>
      <c r="C736" s="38">
        <f t="shared" si="12"/>
        <v>722</v>
      </c>
      <c r="D736" s="38">
        <v>352.5568602559099</v>
      </c>
    </row>
    <row r="737" spans="1:4" x14ac:dyDescent="0.2">
      <c r="A737" s="38">
        <f t="shared" si="12"/>
        <v>723</v>
      </c>
      <c r="B737" s="38">
        <v>4419.7819507752192</v>
      </c>
      <c r="C737" s="38">
        <f t="shared" si="12"/>
        <v>723</v>
      </c>
      <c r="D737" s="38">
        <v>342.27699060969366</v>
      </c>
    </row>
    <row r="738" spans="1:4" x14ac:dyDescent="0.2">
      <c r="A738" s="38">
        <f t="shared" si="12"/>
        <v>724</v>
      </c>
      <c r="B738" s="38">
        <v>4784.7778202169993</v>
      </c>
      <c r="C738" s="38">
        <f t="shared" si="12"/>
        <v>724</v>
      </c>
      <c r="D738" s="38">
        <v>343.59206201846581</v>
      </c>
    </row>
    <row r="739" spans="1:4" x14ac:dyDescent="0.2">
      <c r="A739" s="38">
        <f t="shared" si="12"/>
        <v>725</v>
      </c>
      <c r="B739" s="38">
        <v>9467.4820719014679</v>
      </c>
      <c r="C739" s="38">
        <f t="shared" si="12"/>
        <v>725</v>
      </c>
      <c r="D739" s="38">
        <v>420.48538458937435</v>
      </c>
    </row>
    <row r="740" spans="1:4" x14ac:dyDescent="0.2">
      <c r="A740" s="38">
        <f t="shared" si="12"/>
        <v>726</v>
      </c>
      <c r="B740" s="38">
        <v>5313.4361536449242</v>
      </c>
      <c r="C740" s="38">
        <f t="shared" si="12"/>
        <v>726</v>
      </c>
      <c r="D740" s="38">
        <v>384.34237132936602</v>
      </c>
    </row>
    <row r="741" spans="1:4" x14ac:dyDescent="0.2">
      <c r="A741" s="38">
        <f t="shared" si="12"/>
        <v>727</v>
      </c>
      <c r="B741" s="38">
        <v>8339.7399545579392</v>
      </c>
      <c r="C741" s="38">
        <f t="shared" si="12"/>
        <v>727</v>
      </c>
      <c r="D741" s="38">
        <v>335.54770942136054</v>
      </c>
    </row>
    <row r="742" spans="1:4" x14ac:dyDescent="0.2">
      <c r="A742" s="38">
        <f t="shared" si="12"/>
        <v>728</v>
      </c>
      <c r="B742" s="38">
        <v>10224.990162193208</v>
      </c>
      <c r="C742" s="38">
        <f t="shared" si="12"/>
        <v>728</v>
      </c>
      <c r="D742" s="38">
        <v>370.73756557594146</v>
      </c>
    </row>
    <row r="743" spans="1:4" x14ac:dyDescent="0.2">
      <c r="A743" s="38">
        <f t="shared" si="12"/>
        <v>729</v>
      </c>
      <c r="B743" s="38">
        <v>735.82498462811122</v>
      </c>
      <c r="C743" s="38">
        <f t="shared" si="12"/>
        <v>729</v>
      </c>
      <c r="D743" s="38">
        <v>298.0331238129163</v>
      </c>
    </row>
    <row r="744" spans="1:4" x14ac:dyDescent="0.2">
      <c r="A744" s="38">
        <f t="shared" si="12"/>
        <v>730</v>
      </c>
      <c r="B744" s="38">
        <v>5258.332554476041</v>
      </c>
      <c r="C744" s="38">
        <f t="shared" si="12"/>
        <v>730</v>
      </c>
      <c r="D744" s="38">
        <v>335.25396623767853</v>
      </c>
    </row>
    <row r="745" spans="1:4" x14ac:dyDescent="0.2">
      <c r="A745" s="38">
        <f t="shared" si="12"/>
        <v>731</v>
      </c>
      <c r="B745" s="38">
        <v>5299.0290493777338</v>
      </c>
      <c r="C745" s="38">
        <f t="shared" si="12"/>
        <v>731</v>
      </c>
      <c r="D745" s="38">
        <v>375.49604274622578</v>
      </c>
    </row>
    <row r="746" spans="1:4" x14ac:dyDescent="0.2">
      <c r="A746" s="38">
        <f t="shared" si="12"/>
        <v>732</v>
      </c>
      <c r="B746" s="38">
        <v>8960.5528049038403</v>
      </c>
      <c r="C746" s="38">
        <f t="shared" si="12"/>
        <v>732</v>
      </c>
      <c r="D746" s="38">
        <v>357.70821485696814</v>
      </c>
    </row>
    <row r="747" spans="1:4" x14ac:dyDescent="0.2">
      <c r="A747" s="38">
        <f t="shared" si="12"/>
        <v>733</v>
      </c>
      <c r="B747" s="38">
        <v>9207.9334872200452</v>
      </c>
      <c r="C747" s="38">
        <f t="shared" si="12"/>
        <v>733</v>
      </c>
      <c r="D747" s="38">
        <v>335.82630726335407</v>
      </c>
    </row>
    <row r="748" spans="1:4" x14ac:dyDescent="0.2">
      <c r="A748" s="38">
        <f t="shared" si="12"/>
        <v>734</v>
      </c>
      <c r="B748" s="38">
        <v>5371.1572739089015</v>
      </c>
      <c r="C748" s="38">
        <f t="shared" si="12"/>
        <v>734</v>
      </c>
      <c r="D748" s="38">
        <v>351.47398849771196</v>
      </c>
    </row>
    <row r="749" spans="1:4" x14ac:dyDescent="0.2">
      <c r="A749" s="38">
        <f t="shared" si="12"/>
        <v>735</v>
      </c>
      <c r="B749" s="38">
        <v>3524.3904438541595</v>
      </c>
      <c r="C749" s="38">
        <f t="shared" si="12"/>
        <v>735</v>
      </c>
      <c r="D749" s="38">
        <v>337.05291360215944</v>
      </c>
    </row>
    <row r="750" spans="1:4" x14ac:dyDescent="0.2">
      <c r="A750" s="38">
        <f t="shared" si="12"/>
        <v>736</v>
      </c>
      <c r="B750" s="38">
        <v>16186.996988312614</v>
      </c>
      <c r="C750" s="38">
        <f t="shared" si="12"/>
        <v>736</v>
      </c>
      <c r="D750" s="38">
        <v>329.46022365899893</v>
      </c>
    </row>
    <row r="751" spans="1:4" x14ac:dyDescent="0.2">
      <c r="A751" s="38">
        <f t="shared" si="12"/>
        <v>737</v>
      </c>
      <c r="B751" s="38">
        <v>7249.2965476015806</v>
      </c>
      <c r="C751" s="38">
        <f t="shared" si="12"/>
        <v>737</v>
      </c>
      <c r="D751" s="38">
        <v>367.33551417008118</v>
      </c>
    </row>
    <row r="752" spans="1:4" x14ac:dyDescent="0.2">
      <c r="A752" s="38">
        <f t="shared" si="12"/>
        <v>738</v>
      </c>
      <c r="B752" s="38">
        <v>9359.605839366408</v>
      </c>
      <c r="C752" s="38">
        <f t="shared" si="12"/>
        <v>738</v>
      </c>
      <c r="D752" s="38">
        <v>326.46478986610066</v>
      </c>
    </row>
    <row r="753" spans="1:4" x14ac:dyDescent="0.2">
      <c r="A753" s="38">
        <f t="shared" si="12"/>
        <v>739</v>
      </c>
      <c r="B753" s="38">
        <v>6881.5954167874424</v>
      </c>
      <c r="C753" s="38">
        <f t="shared" si="12"/>
        <v>739</v>
      </c>
      <c r="D753" s="38">
        <v>330.59155967855008</v>
      </c>
    </row>
    <row r="754" spans="1:4" x14ac:dyDescent="0.2">
      <c r="A754" s="38">
        <f t="shared" si="12"/>
        <v>740</v>
      </c>
      <c r="B754" s="38">
        <v>8887.6081075169623</v>
      </c>
      <c r="C754" s="38">
        <f t="shared" si="12"/>
        <v>740</v>
      </c>
      <c r="D754" s="38">
        <v>291.8627452112035</v>
      </c>
    </row>
    <row r="755" spans="1:4" x14ac:dyDescent="0.2">
      <c r="A755" s="38">
        <f t="shared" si="12"/>
        <v>741</v>
      </c>
      <c r="B755" s="38">
        <v>3836.6368892594091</v>
      </c>
      <c r="C755" s="38">
        <f t="shared" si="12"/>
        <v>741</v>
      </c>
      <c r="D755" s="38">
        <v>384.93151956546615</v>
      </c>
    </row>
    <row r="756" spans="1:4" x14ac:dyDescent="0.2">
      <c r="A756" s="38">
        <f t="shared" si="12"/>
        <v>742</v>
      </c>
      <c r="B756" s="38">
        <v>12511.57895335942</v>
      </c>
      <c r="C756" s="38">
        <f t="shared" si="12"/>
        <v>742</v>
      </c>
      <c r="D756" s="38">
        <v>364.86449340482534</v>
      </c>
    </row>
    <row r="757" spans="1:4" x14ac:dyDescent="0.2">
      <c r="A757" s="38">
        <f t="shared" si="12"/>
        <v>743</v>
      </c>
      <c r="B757" s="38">
        <v>9812.7068518706819</v>
      </c>
      <c r="C757" s="38">
        <f t="shared" si="12"/>
        <v>743</v>
      </c>
      <c r="D757" s="38">
        <v>327.72256372084468</v>
      </c>
    </row>
    <row r="758" spans="1:4" x14ac:dyDescent="0.2">
      <c r="A758" s="38">
        <f t="shared" si="12"/>
        <v>744</v>
      </c>
      <c r="B758" s="38">
        <v>2884.7976324545571</v>
      </c>
      <c r="C758" s="38">
        <f t="shared" si="12"/>
        <v>744</v>
      </c>
      <c r="D758" s="38">
        <v>385.75553928221899</v>
      </c>
    </row>
    <row r="759" spans="1:4" x14ac:dyDescent="0.2">
      <c r="A759" s="38">
        <f t="shared" si="12"/>
        <v>745</v>
      </c>
      <c r="B759" s="38">
        <v>9441.6176982854649</v>
      </c>
      <c r="C759" s="38">
        <f t="shared" si="12"/>
        <v>745</v>
      </c>
      <c r="D759" s="38">
        <v>474.7584047061564</v>
      </c>
    </row>
    <row r="760" spans="1:4" x14ac:dyDescent="0.2">
      <c r="A760" s="38">
        <f t="shared" si="12"/>
        <v>746</v>
      </c>
      <c r="B760" s="38">
        <v>7183.8306685150656</v>
      </c>
      <c r="C760" s="38">
        <f t="shared" si="12"/>
        <v>746</v>
      </c>
      <c r="D760" s="38">
        <v>298.05309938279265</v>
      </c>
    </row>
    <row r="761" spans="1:4" x14ac:dyDescent="0.2">
      <c r="A761" s="38">
        <f t="shared" si="12"/>
        <v>747</v>
      </c>
      <c r="B761" s="38">
        <v>6013.7845713328579</v>
      </c>
      <c r="C761" s="38">
        <f t="shared" si="12"/>
        <v>747</v>
      </c>
      <c r="D761" s="38">
        <v>413.95554218720247</v>
      </c>
    </row>
    <row r="762" spans="1:4" x14ac:dyDescent="0.2">
      <c r="A762" s="38">
        <f t="shared" si="12"/>
        <v>748</v>
      </c>
      <c r="B762" s="38">
        <v>12047.804323682709</v>
      </c>
      <c r="C762" s="38">
        <f t="shared" si="12"/>
        <v>748</v>
      </c>
      <c r="D762" s="38">
        <v>419.94396221613954</v>
      </c>
    </row>
    <row r="763" spans="1:4" x14ac:dyDescent="0.2">
      <c r="A763" s="38">
        <f t="shared" si="12"/>
        <v>749</v>
      </c>
      <c r="B763" s="38">
        <v>9130.9967487565227</v>
      </c>
      <c r="C763" s="38">
        <f t="shared" si="12"/>
        <v>749</v>
      </c>
      <c r="D763" s="38">
        <v>334.91765286452437</v>
      </c>
    </row>
    <row r="764" spans="1:4" x14ac:dyDescent="0.2">
      <c r="A764" s="38">
        <f t="shared" si="12"/>
        <v>750</v>
      </c>
      <c r="B764" s="38">
        <v>9969.3792007832326</v>
      </c>
      <c r="C764" s="38">
        <f t="shared" si="12"/>
        <v>750</v>
      </c>
      <c r="D764" s="38">
        <v>398.39975687492404</v>
      </c>
    </row>
    <row r="765" spans="1:4" x14ac:dyDescent="0.2">
      <c r="A765" s="38">
        <f t="shared" si="12"/>
        <v>751</v>
      </c>
      <c r="B765" s="38">
        <v>11507.463477712177</v>
      </c>
      <c r="C765" s="38">
        <f t="shared" si="12"/>
        <v>751</v>
      </c>
      <c r="D765" s="38">
        <v>366.28530412057091</v>
      </c>
    </row>
    <row r="766" spans="1:4" x14ac:dyDescent="0.2">
      <c r="A766" s="38">
        <f t="shared" si="12"/>
        <v>752</v>
      </c>
      <c r="B766" s="38">
        <v>2224.8149944255038</v>
      </c>
      <c r="C766" s="38">
        <f t="shared" si="12"/>
        <v>752</v>
      </c>
      <c r="D766" s="38">
        <v>345.38801547605976</v>
      </c>
    </row>
    <row r="767" spans="1:4" x14ac:dyDescent="0.2">
      <c r="A767" s="38">
        <f t="shared" si="12"/>
        <v>753</v>
      </c>
      <c r="B767" s="38">
        <v>7462.1863694977128</v>
      </c>
      <c r="C767" s="38">
        <f t="shared" si="12"/>
        <v>753</v>
      </c>
      <c r="D767" s="38">
        <v>327.29218462659355</v>
      </c>
    </row>
    <row r="768" spans="1:4" x14ac:dyDescent="0.2">
      <c r="A768" s="38">
        <f t="shared" si="12"/>
        <v>754</v>
      </c>
      <c r="B768" s="38">
        <v>9139.6907933379043</v>
      </c>
      <c r="C768" s="38">
        <f t="shared" si="12"/>
        <v>754</v>
      </c>
      <c r="D768" s="38">
        <v>330.49415980918781</v>
      </c>
    </row>
    <row r="769" spans="1:4" x14ac:dyDescent="0.2">
      <c r="A769" s="38">
        <f t="shared" si="12"/>
        <v>755</v>
      </c>
      <c r="B769" s="38">
        <v>9650.9250314836881</v>
      </c>
      <c r="C769" s="38">
        <f t="shared" si="12"/>
        <v>755</v>
      </c>
      <c r="D769" s="38">
        <v>274.86283798825798</v>
      </c>
    </row>
    <row r="770" spans="1:4" x14ac:dyDescent="0.2">
      <c r="A770" s="38">
        <f t="shared" si="12"/>
        <v>756</v>
      </c>
      <c r="B770" s="38">
        <v>5330.7247186194254</v>
      </c>
      <c r="C770" s="38">
        <f t="shared" si="12"/>
        <v>756</v>
      </c>
      <c r="D770" s="38">
        <v>337.08203630148898</v>
      </c>
    </row>
    <row r="771" spans="1:4" x14ac:dyDescent="0.2">
      <c r="A771" s="38">
        <f t="shared" si="12"/>
        <v>757</v>
      </c>
      <c r="B771" s="38">
        <v>5123.9243045543753</v>
      </c>
      <c r="C771" s="38">
        <f t="shared" si="12"/>
        <v>757</v>
      </c>
      <c r="D771" s="38">
        <v>306.89057977431133</v>
      </c>
    </row>
    <row r="772" spans="1:4" x14ac:dyDescent="0.2">
      <c r="A772" s="38">
        <f t="shared" si="12"/>
        <v>758</v>
      </c>
      <c r="B772" s="38">
        <v>7611.1038677029446</v>
      </c>
      <c r="C772" s="38">
        <f t="shared" si="12"/>
        <v>758</v>
      </c>
      <c r="D772" s="38">
        <v>386.69614108895337</v>
      </c>
    </row>
    <row r="773" spans="1:4" x14ac:dyDescent="0.2">
      <c r="A773" s="38">
        <f t="shared" si="12"/>
        <v>759</v>
      </c>
      <c r="B773" s="38">
        <v>7009.3147742395768</v>
      </c>
      <c r="C773" s="38">
        <f t="shared" si="12"/>
        <v>759</v>
      </c>
      <c r="D773" s="38">
        <v>454.58776925688659</v>
      </c>
    </row>
    <row r="774" spans="1:4" x14ac:dyDescent="0.2">
      <c r="A774" s="38">
        <f t="shared" si="12"/>
        <v>760</v>
      </c>
      <c r="B774" s="38">
        <v>8646.8769970156791</v>
      </c>
      <c r="C774" s="38">
        <f t="shared" si="12"/>
        <v>760</v>
      </c>
      <c r="D774" s="38">
        <v>330.41921137571717</v>
      </c>
    </row>
    <row r="775" spans="1:4" x14ac:dyDescent="0.2">
      <c r="A775" s="38">
        <f t="shared" si="12"/>
        <v>761</v>
      </c>
      <c r="B775" s="38">
        <v>6028.0919267622194</v>
      </c>
      <c r="C775" s="38">
        <f t="shared" si="12"/>
        <v>761</v>
      </c>
      <c r="D775" s="38">
        <v>410.95308173716114</v>
      </c>
    </row>
    <row r="776" spans="1:4" x14ac:dyDescent="0.2">
      <c r="A776" s="38">
        <f t="shared" si="12"/>
        <v>762</v>
      </c>
      <c r="B776" s="38">
        <v>15912.566248194795</v>
      </c>
      <c r="C776" s="38">
        <f t="shared" si="12"/>
        <v>762</v>
      </c>
      <c r="D776" s="38">
        <v>337.82996372610256</v>
      </c>
    </row>
    <row r="777" spans="1:4" x14ac:dyDescent="0.2">
      <c r="A777" s="38">
        <f t="shared" si="12"/>
        <v>763</v>
      </c>
      <c r="B777" s="38">
        <v>11222.611520723356</v>
      </c>
      <c r="C777" s="38">
        <f t="shared" si="12"/>
        <v>763</v>
      </c>
      <c r="D777" s="38">
        <v>346.14866697865062</v>
      </c>
    </row>
    <row r="778" spans="1:4" x14ac:dyDescent="0.2">
      <c r="A778" s="38">
        <f t="shared" si="12"/>
        <v>764</v>
      </c>
      <c r="B778" s="38">
        <v>11523.764689340724</v>
      </c>
      <c r="C778" s="38">
        <f t="shared" si="12"/>
        <v>764</v>
      </c>
      <c r="D778" s="38">
        <v>343.35706266450927</v>
      </c>
    </row>
    <row r="779" spans="1:4" x14ac:dyDescent="0.2">
      <c r="A779" s="38">
        <f t="shared" si="12"/>
        <v>765</v>
      </c>
      <c r="B779" s="38">
        <v>10981.865806357268</v>
      </c>
      <c r="C779" s="38">
        <f t="shared" si="12"/>
        <v>765</v>
      </c>
      <c r="D779" s="38">
        <v>300.75740727334193</v>
      </c>
    </row>
    <row r="780" spans="1:4" x14ac:dyDescent="0.2">
      <c r="A780" s="38">
        <f t="shared" si="12"/>
        <v>766</v>
      </c>
      <c r="B780" s="38">
        <v>3749.9000789985375</v>
      </c>
      <c r="C780" s="38">
        <f t="shared" si="12"/>
        <v>766</v>
      </c>
      <c r="D780" s="38">
        <v>438.21888164034186</v>
      </c>
    </row>
    <row r="781" spans="1:4" x14ac:dyDescent="0.2">
      <c r="A781" s="38">
        <f t="shared" si="12"/>
        <v>767</v>
      </c>
      <c r="B781" s="38">
        <v>3074.0732463198206</v>
      </c>
      <c r="C781" s="38">
        <f t="shared" si="12"/>
        <v>767</v>
      </c>
      <c r="D781" s="38">
        <v>379.63193895030349</v>
      </c>
    </row>
    <row r="782" spans="1:4" x14ac:dyDescent="0.2">
      <c r="A782" s="38">
        <f t="shared" si="12"/>
        <v>768</v>
      </c>
      <c r="B782" s="38">
        <v>4298.4359489021299</v>
      </c>
      <c r="C782" s="38">
        <f t="shared" si="12"/>
        <v>768</v>
      </c>
      <c r="D782" s="38">
        <v>385.08059220598909</v>
      </c>
    </row>
    <row r="783" spans="1:4" x14ac:dyDescent="0.2">
      <c r="A783" s="38">
        <f t="shared" si="12"/>
        <v>769</v>
      </c>
      <c r="B783" s="38">
        <v>4387.8595987881299</v>
      </c>
      <c r="C783" s="38">
        <f t="shared" si="12"/>
        <v>769</v>
      </c>
      <c r="D783" s="38">
        <v>306.57946960295868</v>
      </c>
    </row>
    <row r="784" spans="1:4" x14ac:dyDescent="0.2">
      <c r="A784" s="38">
        <f t="shared" si="12"/>
        <v>770</v>
      </c>
      <c r="B784" s="38">
        <v>7367.4443143895196</v>
      </c>
      <c r="C784" s="38">
        <f t="shared" si="12"/>
        <v>770</v>
      </c>
      <c r="D784" s="38">
        <v>378.65641437178414</v>
      </c>
    </row>
    <row r="785" spans="1:4" x14ac:dyDescent="0.2">
      <c r="A785" s="38">
        <f t="shared" si="12"/>
        <v>771</v>
      </c>
      <c r="B785" s="38">
        <v>3923.9180584523324</v>
      </c>
      <c r="C785" s="38">
        <f t="shared" si="12"/>
        <v>771</v>
      </c>
      <c r="D785" s="38">
        <v>387.90646058149866</v>
      </c>
    </row>
    <row r="786" spans="1:4" x14ac:dyDescent="0.2">
      <c r="A786" s="38">
        <f t="shared" si="12"/>
        <v>772</v>
      </c>
      <c r="B786" s="38">
        <v>6622.7421119785567</v>
      </c>
      <c r="C786" s="38">
        <f t="shared" si="12"/>
        <v>772</v>
      </c>
      <c r="D786" s="38">
        <v>351.74769064414664</v>
      </c>
    </row>
    <row r="787" spans="1:4" x14ac:dyDescent="0.2">
      <c r="A787" s="38">
        <f t="shared" si="12"/>
        <v>773</v>
      </c>
      <c r="B787" s="38">
        <v>2812.7319640250507</v>
      </c>
      <c r="C787" s="38">
        <f t="shared" si="12"/>
        <v>773</v>
      </c>
      <c r="D787" s="38">
        <v>394.62355829273696</v>
      </c>
    </row>
    <row r="788" spans="1:4" x14ac:dyDescent="0.2">
      <c r="A788" s="38">
        <f t="shared" si="12"/>
        <v>774</v>
      </c>
      <c r="B788" s="38">
        <v>3454.6720173230833</v>
      </c>
      <c r="C788" s="38">
        <f t="shared" si="12"/>
        <v>774</v>
      </c>
      <c r="D788" s="38">
        <v>354.39138639584456</v>
      </c>
    </row>
    <row r="789" spans="1:4" x14ac:dyDescent="0.2">
      <c r="A789" s="38">
        <f t="shared" si="12"/>
        <v>775</v>
      </c>
      <c r="B789" s="38">
        <v>1053.7994298093718</v>
      </c>
      <c r="C789" s="38">
        <f t="shared" si="12"/>
        <v>775</v>
      </c>
      <c r="D789" s="38">
        <v>401.58462923602792</v>
      </c>
    </row>
    <row r="790" spans="1:4" x14ac:dyDescent="0.2">
      <c r="A790" s="38">
        <f t="shared" si="12"/>
        <v>776</v>
      </c>
      <c r="B790" s="38">
        <v>13165.534245708202</v>
      </c>
      <c r="C790" s="38">
        <f t="shared" si="12"/>
        <v>776</v>
      </c>
      <c r="D790" s="38">
        <v>393.51232294025044</v>
      </c>
    </row>
    <row r="791" spans="1:4" x14ac:dyDescent="0.2">
      <c r="A791" s="38">
        <f t="shared" si="12"/>
        <v>777</v>
      </c>
      <c r="B791" s="38">
        <v>13811.694801142889</v>
      </c>
      <c r="C791" s="38">
        <f t="shared" si="12"/>
        <v>777</v>
      </c>
      <c r="D791" s="38">
        <v>478.47847768490368</v>
      </c>
    </row>
    <row r="792" spans="1:4" x14ac:dyDescent="0.2">
      <c r="A792" s="38">
        <f t="shared" ref="A792:C855" si="13">A791+1</f>
        <v>778</v>
      </c>
      <c r="B792" s="38">
        <v>8482.9800568564278</v>
      </c>
      <c r="C792" s="38">
        <f t="shared" si="13"/>
        <v>778</v>
      </c>
      <c r="D792" s="38">
        <v>329.39530298232393</v>
      </c>
    </row>
    <row r="793" spans="1:4" x14ac:dyDescent="0.2">
      <c r="A793" s="38">
        <f t="shared" si="13"/>
        <v>779</v>
      </c>
      <c r="B793" s="38">
        <v>4203.2312915849216</v>
      </c>
      <c r="C793" s="38">
        <f t="shared" si="13"/>
        <v>779</v>
      </c>
      <c r="D793" s="38">
        <v>359.76243054137683</v>
      </c>
    </row>
    <row r="794" spans="1:4" x14ac:dyDescent="0.2">
      <c r="A794" s="38">
        <f t="shared" si="13"/>
        <v>780</v>
      </c>
      <c r="B794" s="38">
        <v>6886.6112155332912</v>
      </c>
      <c r="C794" s="38">
        <f t="shared" si="13"/>
        <v>780</v>
      </c>
      <c r="D794" s="38">
        <v>280.02364423559607</v>
      </c>
    </row>
    <row r="795" spans="1:4" x14ac:dyDescent="0.2">
      <c r="A795" s="38">
        <f t="shared" si="13"/>
        <v>781</v>
      </c>
      <c r="B795" s="38">
        <v>4674.7345980435011</v>
      </c>
      <c r="C795" s="38">
        <f t="shared" si="13"/>
        <v>781</v>
      </c>
      <c r="D795" s="38">
        <v>427.24590753378993</v>
      </c>
    </row>
    <row r="796" spans="1:4" x14ac:dyDescent="0.2">
      <c r="A796" s="38">
        <f t="shared" si="13"/>
        <v>782</v>
      </c>
      <c r="B796" s="38">
        <v>7871.7995243426521</v>
      </c>
      <c r="C796" s="38">
        <f t="shared" si="13"/>
        <v>782</v>
      </c>
      <c r="D796" s="38">
        <v>364.19396085685275</v>
      </c>
    </row>
    <row r="797" spans="1:4" x14ac:dyDescent="0.2">
      <c r="A797" s="38">
        <f t="shared" si="13"/>
        <v>783</v>
      </c>
      <c r="B797" s="38">
        <v>8479.6101093950183</v>
      </c>
      <c r="C797" s="38">
        <f t="shared" si="13"/>
        <v>783</v>
      </c>
      <c r="D797" s="38">
        <v>420.21226517070033</v>
      </c>
    </row>
    <row r="798" spans="1:4" x14ac:dyDescent="0.2">
      <c r="A798" s="38">
        <f t="shared" si="13"/>
        <v>784</v>
      </c>
      <c r="B798" s="38">
        <v>7197.8929220025575</v>
      </c>
      <c r="C798" s="38">
        <f t="shared" si="13"/>
        <v>784</v>
      </c>
      <c r="D798" s="38">
        <v>390.23900187871453</v>
      </c>
    </row>
    <row r="799" spans="1:4" x14ac:dyDescent="0.2">
      <c r="A799" s="38">
        <f t="shared" si="13"/>
        <v>785</v>
      </c>
      <c r="B799" s="38">
        <v>11986.45768642871</v>
      </c>
      <c r="C799" s="38">
        <f t="shared" si="13"/>
        <v>785</v>
      </c>
      <c r="D799" s="38">
        <v>332.50860809761593</v>
      </c>
    </row>
    <row r="800" spans="1:4" x14ac:dyDescent="0.2">
      <c r="A800" s="38">
        <f t="shared" si="13"/>
        <v>786</v>
      </c>
      <c r="B800" s="38">
        <v>3645.2902735727039</v>
      </c>
      <c r="C800" s="38">
        <f t="shared" si="13"/>
        <v>786</v>
      </c>
      <c r="D800" s="38">
        <v>352.75900328819802</v>
      </c>
    </row>
    <row r="801" spans="1:4" x14ac:dyDescent="0.2">
      <c r="A801" s="38">
        <f t="shared" si="13"/>
        <v>787</v>
      </c>
      <c r="B801" s="38">
        <v>6412.1886181857326</v>
      </c>
      <c r="C801" s="38">
        <f t="shared" si="13"/>
        <v>787</v>
      </c>
      <c r="D801" s="38">
        <v>291.63282705117223</v>
      </c>
    </row>
    <row r="802" spans="1:4" x14ac:dyDescent="0.2">
      <c r="A802" s="38">
        <f t="shared" si="13"/>
        <v>788</v>
      </c>
      <c r="B802" s="38">
        <v>3843.4182298602163</v>
      </c>
      <c r="C802" s="38">
        <f t="shared" si="13"/>
        <v>788</v>
      </c>
      <c r="D802" s="38">
        <v>338.40707906099618</v>
      </c>
    </row>
    <row r="803" spans="1:4" x14ac:dyDescent="0.2">
      <c r="A803" s="38">
        <f t="shared" si="13"/>
        <v>789</v>
      </c>
      <c r="B803" s="38">
        <v>5370.9327252067042</v>
      </c>
      <c r="C803" s="38">
        <f t="shared" si="13"/>
        <v>789</v>
      </c>
      <c r="D803" s="38">
        <v>339.7150810933465</v>
      </c>
    </row>
    <row r="804" spans="1:4" x14ac:dyDescent="0.2">
      <c r="A804" s="38">
        <f t="shared" si="13"/>
        <v>790</v>
      </c>
      <c r="B804" s="38">
        <v>8447.6903280831939</v>
      </c>
      <c r="C804" s="38">
        <f t="shared" si="13"/>
        <v>790</v>
      </c>
      <c r="D804" s="38">
        <v>323.67457186839601</v>
      </c>
    </row>
    <row r="805" spans="1:4" x14ac:dyDescent="0.2">
      <c r="A805" s="38">
        <f t="shared" si="13"/>
        <v>791</v>
      </c>
      <c r="B805" s="38">
        <v>4516.9121877409261</v>
      </c>
      <c r="C805" s="38">
        <f t="shared" si="13"/>
        <v>791</v>
      </c>
      <c r="D805" s="38">
        <v>359.73851075184092</v>
      </c>
    </row>
    <row r="806" spans="1:4" x14ac:dyDescent="0.2">
      <c r="A806" s="38">
        <f t="shared" si="13"/>
        <v>792</v>
      </c>
      <c r="B806" s="38">
        <v>11453.530306822175</v>
      </c>
      <c r="C806" s="38">
        <f t="shared" si="13"/>
        <v>792</v>
      </c>
      <c r="D806" s="38">
        <v>370.12808476401017</v>
      </c>
    </row>
    <row r="807" spans="1:4" x14ac:dyDescent="0.2">
      <c r="A807" s="38">
        <f t="shared" si="13"/>
        <v>793</v>
      </c>
      <c r="B807" s="38">
        <v>12146.459328382374</v>
      </c>
      <c r="C807" s="38">
        <f t="shared" si="13"/>
        <v>793</v>
      </c>
      <c r="D807" s="38">
        <v>322.33487630030078</v>
      </c>
    </row>
    <row r="808" spans="1:4" x14ac:dyDescent="0.2">
      <c r="A808" s="38">
        <f t="shared" si="13"/>
        <v>794</v>
      </c>
      <c r="B808" s="38">
        <v>7551.3628334974537</v>
      </c>
      <c r="C808" s="38">
        <f t="shared" si="13"/>
        <v>794</v>
      </c>
      <c r="D808" s="38">
        <v>403.57163262247656</v>
      </c>
    </row>
    <row r="809" spans="1:4" x14ac:dyDescent="0.2">
      <c r="A809" s="38">
        <f t="shared" si="13"/>
        <v>795</v>
      </c>
      <c r="B809" s="38">
        <v>6992.9703859730571</v>
      </c>
      <c r="C809" s="38">
        <f t="shared" si="13"/>
        <v>795</v>
      </c>
      <c r="D809" s="38">
        <v>334.63763927492874</v>
      </c>
    </row>
    <row r="810" spans="1:4" x14ac:dyDescent="0.2">
      <c r="A810" s="38">
        <f t="shared" si="13"/>
        <v>796</v>
      </c>
      <c r="B810" s="38">
        <v>5620.901493897717</v>
      </c>
      <c r="C810" s="38">
        <f t="shared" si="13"/>
        <v>796</v>
      </c>
      <c r="D810" s="38">
        <v>418.94738877186137</v>
      </c>
    </row>
    <row r="811" spans="1:4" x14ac:dyDescent="0.2">
      <c r="A811" s="38">
        <f t="shared" si="13"/>
        <v>797</v>
      </c>
      <c r="B811" s="38">
        <v>2492.8552991024435</v>
      </c>
      <c r="C811" s="38">
        <f t="shared" si="13"/>
        <v>797</v>
      </c>
      <c r="D811" s="38">
        <v>346.72240891394256</v>
      </c>
    </row>
    <row r="812" spans="1:4" x14ac:dyDescent="0.2">
      <c r="A812" s="38">
        <f t="shared" si="13"/>
        <v>798</v>
      </c>
      <c r="B812" s="38">
        <v>12097.293813873979</v>
      </c>
      <c r="C812" s="38">
        <f t="shared" si="13"/>
        <v>798</v>
      </c>
      <c r="D812" s="38">
        <v>338.86671466454732</v>
      </c>
    </row>
    <row r="813" spans="1:4" x14ac:dyDescent="0.2">
      <c r="A813" s="38">
        <f t="shared" si="13"/>
        <v>799</v>
      </c>
      <c r="B813" s="38">
        <v>2988.0615513044536</v>
      </c>
      <c r="C813" s="38">
        <f t="shared" si="13"/>
        <v>799</v>
      </c>
      <c r="D813" s="38">
        <v>367.45444395923823</v>
      </c>
    </row>
    <row r="814" spans="1:4" x14ac:dyDescent="0.2">
      <c r="A814" s="38">
        <f t="shared" si="13"/>
        <v>800</v>
      </c>
      <c r="B814" s="38">
        <v>2417.0017903481553</v>
      </c>
      <c r="C814" s="38">
        <f t="shared" si="13"/>
        <v>800</v>
      </c>
      <c r="D814" s="38">
        <v>419.7716783416401</v>
      </c>
    </row>
    <row r="815" spans="1:4" x14ac:dyDescent="0.2">
      <c r="A815" s="38">
        <f t="shared" si="13"/>
        <v>801</v>
      </c>
      <c r="B815" s="38">
        <v>6402.7212080496629</v>
      </c>
      <c r="C815" s="38">
        <f t="shared" si="13"/>
        <v>801</v>
      </c>
      <c r="D815" s="38">
        <v>324.60038230822727</v>
      </c>
    </row>
    <row r="816" spans="1:4" x14ac:dyDescent="0.2">
      <c r="A816" s="38">
        <f t="shared" si="13"/>
        <v>802</v>
      </c>
      <c r="B816" s="38">
        <v>12129.49823798834</v>
      </c>
      <c r="C816" s="38">
        <f t="shared" si="13"/>
        <v>802</v>
      </c>
      <c r="D816" s="38">
        <v>375.79109569791939</v>
      </c>
    </row>
    <row r="817" spans="1:4" x14ac:dyDescent="0.2">
      <c r="A817" s="38">
        <f t="shared" si="13"/>
        <v>803</v>
      </c>
      <c r="B817" s="38">
        <v>5815.8032219032648</v>
      </c>
      <c r="C817" s="38">
        <f t="shared" si="13"/>
        <v>803</v>
      </c>
      <c r="D817" s="38">
        <v>375.1071573379981</v>
      </c>
    </row>
    <row r="818" spans="1:4" x14ac:dyDescent="0.2">
      <c r="A818" s="38">
        <f t="shared" si="13"/>
        <v>804</v>
      </c>
      <c r="B818" s="38">
        <v>13461.773502236772</v>
      </c>
      <c r="C818" s="38">
        <f t="shared" si="13"/>
        <v>804</v>
      </c>
      <c r="D818" s="38">
        <v>402.88369814821743</v>
      </c>
    </row>
    <row r="819" spans="1:4" x14ac:dyDescent="0.2">
      <c r="A819" s="38">
        <f t="shared" si="13"/>
        <v>805</v>
      </c>
      <c r="B819" s="38">
        <v>10155.98409512483</v>
      </c>
      <c r="C819" s="38">
        <f t="shared" si="13"/>
        <v>805</v>
      </c>
      <c r="D819" s="38">
        <v>355.30748193058031</v>
      </c>
    </row>
    <row r="820" spans="1:4" x14ac:dyDescent="0.2">
      <c r="A820" s="38">
        <f t="shared" si="13"/>
        <v>806</v>
      </c>
      <c r="B820" s="38">
        <v>14551.866231632652</v>
      </c>
      <c r="C820" s="38">
        <f t="shared" si="13"/>
        <v>806</v>
      </c>
      <c r="D820" s="38">
        <v>350.94859294822982</v>
      </c>
    </row>
    <row r="821" spans="1:4" x14ac:dyDescent="0.2">
      <c r="A821" s="38">
        <f t="shared" si="13"/>
        <v>807</v>
      </c>
      <c r="B821" s="38">
        <v>9513.4329810252639</v>
      </c>
      <c r="C821" s="38">
        <f t="shared" si="13"/>
        <v>807</v>
      </c>
      <c r="D821" s="38">
        <v>374.49001937736193</v>
      </c>
    </row>
    <row r="822" spans="1:4" x14ac:dyDescent="0.2">
      <c r="A822" s="38">
        <f t="shared" si="13"/>
        <v>808</v>
      </c>
      <c r="B822" s="38">
        <v>3920.2938038117713</v>
      </c>
      <c r="C822" s="38">
        <f t="shared" si="13"/>
        <v>808</v>
      </c>
      <c r="D822" s="38">
        <v>345.7838451342642</v>
      </c>
    </row>
    <row r="823" spans="1:4" x14ac:dyDescent="0.2">
      <c r="A823" s="38">
        <f t="shared" si="13"/>
        <v>809</v>
      </c>
      <c r="B823" s="38">
        <v>6242.9358147228986</v>
      </c>
      <c r="C823" s="38">
        <f t="shared" si="13"/>
        <v>809</v>
      </c>
      <c r="D823" s="38">
        <v>311.54140475553112</v>
      </c>
    </row>
    <row r="824" spans="1:4" x14ac:dyDescent="0.2">
      <c r="A824" s="38">
        <f t="shared" si="13"/>
        <v>810</v>
      </c>
      <c r="B824" s="38">
        <v>6327.3413212926307</v>
      </c>
      <c r="C824" s="38">
        <f t="shared" si="13"/>
        <v>810</v>
      </c>
      <c r="D824" s="38">
        <v>414.49961353306713</v>
      </c>
    </row>
    <row r="825" spans="1:4" x14ac:dyDescent="0.2">
      <c r="A825" s="38">
        <f t="shared" si="13"/>
        <v>811</v>
      </c>
      <c r="B825" s="38">
        <v>8862.4744221353085</v>
      </c>
      <c r="C825" s="38">
        <f t="shared" si="13"/>
        <v>811</v>
      </c>
      <c r="D825" s="38">
        <v>321.05851349005513</v>
      </c>
    </row>
    <row r="826" spans="1:4" x14ac:dyDescent="0.2">
      <c r="A826" s="38">
        <f t="shared" si="13"/>
        <v>812</v>
      </c>
      <c r="B826" s="38">
        <v>6443.2889674308062</v>
      </c>
      <c r="C826" s="38">
        <f t="shared" si="13"/>
        <v>812</v>
      </c>
      <c r="D826" s="38">
        <v>351.64505295727889</v>
      </c>
    </row>
    <row r="827" spans="1:4" x14ac:dyDescent="0.2">
      <c r="A827" s="38">
        <f t="shared" si="13"/>
        <v>813</v>
      </c>
      <c r="B827" s="38">
        <v>4136.6863419253932</v>
      </c>
      <c r="C827" s="38">
        <f t="shared" si="13"/>
        <v>813</v>
      </c>
      <c r="D827" s="38">
        <v>387.83445021694791</v>
      </c>
    </row>
    <row r="828" spans="1:4" x14ac:dyDescent="0.2">
      <c r="A828" s="38">
        <f t="shared" si="13"/>
        <v>814</v>
      </c>
      <c r="B828" s="38">
        <v>8206.9179350472405</v>
      </c>
      <c r="C828" s="38">
        <f t="shared" si="13"/>
        <v>814</v>
      </c>
      <c r="D828" s="38">
        <v>366.19100088114016</v>
      </c>
    </row>
    <row r="829" spans="1:4" x14ac:dyDescent="0.2">
      <c r="A829" s="38">
        <f t="shared" si="13"/>
        <v>815</v>
      </c>
      <c r="B829" s="38">
        <v>9075.1364702356386</v>
      </c>
      <c r="C829" s="38">
        <f t="shared" si="13"/>
        <v>815</v>
      </c>
      <c r="D829" s="38">
        <v>361.63629036495246</v>
      </c>
    </row>
    <row r="830" spans="1:4" x14ac:dyDescent="0.2">
      <c r="A830" s="38">
        <f t="shared" si="13"/>
        <v>816</v>
      </c>
      <c r="B830" s="38">
        <v>1452.8479674957607</v>
      </c>
      <c r="C830" s="38">
        <f t="shared" si="13"/>
        <v>816</v>
      </c>
      <c r="D830" s="38">
        <v>358.70249904841285</v>
      </c>
    </row>
    <row r="831" spans="1:4" x14ac:dyDescent="0.2">
      <c r="A831" s="38">
        <f t="shared" si="13"/>
        <v>817</v>
      </c>
      <c r="B831" s="38">
        <v>6663.8677797788232</v>
      </c>
      <c r="C831" s="38">
        <f t="shared" si="13"/>
        <v>817</v>
      </c>
      <c r="D831" s="38">
        <v>317.49252306190908</v>
      </c>
    </row>
    <row r="832" spans="1:4" x14ac:dyDescent="0.2">
      <c r="A832" s="38">
        <f t="shared" si="13"/>
        <v>818</v>
      </c>
      <c r="B832" s="38">
        <v>9183.5697724332786</v>
      </c>
      <c r="C832" s="38">
        <f t="shared" si="13"/>
        <v>818</v>
      </c>
      <c r="D832" s="38">
        <v>353.61430841911312</v>
      </c>
    </row>
    <row r="833" spans="1:4" x14ac:dyDescent="0.2">
      <c r="A833" s="38">
        <f t="shared" si="13"/>
        <v>819</v>
      </c>
      <c r="B833" s="38">
        <v>4936.3903858886206</v>
      </c>
      <c r="C833" s="38">
        <f t="shared" si="13"/>
        <v>819</v>
      </c>
      <c r="D833" s="38">
        <v>359.12001231312689</v>
      </c>
    </row>
    <row r="834" spans="1:4" x14ac:dyDescent="0.2">
      <c r="A834" s="38">
        <f t="shared" si="13"/>
        <v>820</v>
      </c>
      <c r="B834" s="38">
        <v>18212.76820720021</v>
      </c>
      <c r="C834" s="38">
        <f t="shared" si="13"/>
        <v>820</v>
      </c>
      <c r="D834" s="38">
        <v>318.82242373431893</v>
      </c>
    </row>
    <row r="835" spans="1:4" x14ac:dyDescent="0.2">
      <c r="A835" s="38">
        <f t="shared" si="13"/>
        <v>821</v>
      </c>
      <c r="B835" s="38">
        <v>12984.922731223858</v>
      </c>
      <c r="C835" s="38">
        <f t="shared" si="13"/>
        <v>821</v>
      </c>
      <c r="D835" s="38">
        <v>393.92521633036733</v>
      </c>
    </row>
    <row r="836" spans="1:4" x14ac:dyDescent="0.2">
      <c r="A836" s="38">
        <f t="shared" si="13"/>
        <v>822</v>
      </c>
      <c r="B836" s="38">
        <v>4061.9066816908235</v>
      </c>
      <c r="C836" s="38">
        <f t="shared" si="13"/>
        <v>822</v>
      </c>
      <c r="D836" s="38">
        <v>361.93330445597059</v>
      </c>
    </row>
    <row r="837" spans="1:4" x14ac:dyDescent="0.2">
      <c r="A837" s="38">
        <f t="shared" si="13"/>
        <v>823</v>
      </c>
      <c r="B837" s="38">
        <v>9532.0779194060342</v>
      </c>
      <c r="C837" s="38">
        <f t="shared" si="13"/>
        <v>823</v>
      </c>
      <c r="D837" s="38">
        <v>342.17212274458808</v>
      </c>
    </row>
    <row r="838" spans="1:4" x14ac:dyDescent="0.2">
      <c r="A838" s="38">
        <f t="shared" si="13"/>
        <v>824</v>
      </c>
      <c r="B838" s="38">
        <v>12082.815693939967</v>
      </c>
      <c r="C838" s="38">
        <f t="shared" si="13"/>
        <v>824</v>
      </c>
      <c r="D838" s="38">
        <v>346.84623966353303</v>
      </c>
    </row>
    <row r="839" spans="1:4" x14ac:dyDescent="0.2">
      <c r="A839" s="38">
        <f t="shared" si="13"/>
        <v>825</v>
      </c>
      <c r="B839" s="38">
        <v>8024.5939959940742</v>
      </c>
      <c r="C839" s="38">
        <f t="shared" si="13"/>
        <v>825</v>
      </c>
      <c r="D839" s="38">
        <v>344.03001999960065</v>
      </c>
    </row>
    <row r="840" spans="1:4" x14ac:dyDescent="0.2">
      <c r="A840" s="38">
        <f t="shared" si="13"/>
        <v>826</v>
      </c>
      <c r="B840" s="38">
        <v>8362.350274148961</v>
      </c>
      <c r="C840" s="38">
        <f t="shared" si="13"/>
        <v>826</v>
      </c>
      <c r="D840" s="38">
        <v>382.57220400653733</v>
      </c>
    </row>
    <row r="841" spans="1:4" x14ac:dyDescent="0.2">
      <c r="A841" s="38">
        <f t="shared" si="13"/>
        <v>827</v>
      </c>
      <c r="B841" s="38">
        <v>5218.0883587758653</v>
      </c>
      <c r="C841" s="38">
        <f t="shared" si="13"/>
        <v>827</v>
      </c>
      <c r="D841" s="38">
        <v>385.25953261238152</v>
      </c>
    </row>
    <row r="842" spans="1:4" x14ac:dyDescent="0.2">
      <c r="A842" s="38">
        <f t="shared" si="13"/>
        <v>828</v>
      </c>
      <c r="B842" s="38">
        <v>5912.7515552018149</v>
      </c>
      <c r="C842" s="38">
        <f t="shared" si="13"/>
        <v>828</v>
      </c>
      <c r="D842" s="38">
        <v>278.29955549940433</v>
      </c>
    </row>
    <row r="843" spans="1:4" x14ac:dyDescent="0.2">
      <c r="A843" s="38">
        <f t="shared" si="13"/>
        <v>829</v>
      </c>
      <c r="B843" s="38">
        <v>6247.7583637839562</v>
      </c>
      <c r="C843" s="38">
        <f t="shared" si="13"/>
        <v>829</v>
      </c>
      <c r="D843" s="38">
        <v>415.42668597899706</v>
      </c>
    </row>
    <row r="844" spans="1:4" x14ac:dyDescent="0.2">
      <c r="A844" s="38">
        <f t="shared" si="13"/>
        <v>830</v>
      </c>
      <c r="B844" s="38">
        <v>6452.0211796153826</v>
      </c>
      <c r="C844" s="38">
        <f t="shared" si="13"/>
        <v>830</v>
      </c>
      <c r="D844" s="38">
        <v>350.28267429470196</v>
      </c>
    </row>
    <row r="845" spans="1:4" x14ac:dyDescent="0.2">
      <c r="A845" s="38">
        <f t="shared" si="13"/>
        <v>831</v>
      </c>
      <c r="B845" s="38">
        <v>8385.4431173745743</v>
      </c>
      <c r="C845" s="38">
        <f t="shared" si="13"/>
        <v>831</v>
      </c>
      <c r="D845" s="38">
        <v>325.94719448598715</v>
      </c>
    </row>
    <row r="846" spans="1:4" x14ac:dyDescent="0.2">
      <c r="A846" s="38">
        <f t="shared" si="13"/>
        <v>832</v>
      </c>
      <c r="B846" s="38">
        <v>8786.6519235995456</v>
      </c>
      <c r="C846" s="38">
        <f t="shared" si="13"/>
        <v>832</v>
      </c>
      <c r="D846" s="38">
        <v>303.72092743546767</v>
      </c>
    </row>
    <row r="847" spans="1:4" x14ac:dyDescent="0.2">
      <c r="A847" s="38">
        <f t="shared" si="13"/>
        <v>833</v>
      </c>
      <c r="B847" s="38">
        <v>4371.1427198156234</v>
      </c>
      <c r="C847" s="38">
        <f t="shared" si="13"/>
        <v>833</v>
      </c>
      <c r="D847" s="38">
        <v>383.75656351664333</v>
      </c>
    </row>
    <row r="848" spans="1:4" x14ac:dyDescent="0.2">
      <c r="A848" s="38">
        <f t="shared" si="13"/>
        <v>834</v>
      </c>
      <c r="B848" s="38">
        <v>4759.99680865151</v>
      </c>
      <c r="C848" s="38">
        <f t="shared" si="13"/>
        <v>834</v>
      </c>
      <c r="D848" s="38">
        <v>417.57564838206781</v>
      </c>
    </row>
    <row r="849" spans="1:4" x14ac:dyDescent="0.2">
      <c r="A849" s="38">
        <f t="shared" si="13"/>
        <v>835</v>
      </c>
      <c r="B849" s="38">
        <v>6257.4983838296002</v>
      </c>
      <c r="C849" s="38">
        <f t="shared" si="13"/>
        <v>835</v>
      </c>
      <c r="D849" s="38">
        <v>340.10355587896947</v>
      </c>
    </row>
    <row r="850" spans="1:4" x14ac:dyDescent="0.2">
      <c r="A850" s="38">
        <f t="shared" si="13"/>
        <v>836</v>
      </c>
      <c r="B850" s="38">
        <v>3512.9267468710159</v>
      </c>
      <c r="C850" s="38">
        <f t="shared" si="13"/>
        <v>836</v>
      </c>
      <c r="D850" s="38">
        <v>380.06394562624723</v>
      </c>
    </row>
    <row r="851" spans="1:4" x14ac:dyDescent="0.2">
      <c r="A851" s="38">
        <f t="shared" si="13"/>
        <v>837</v>
      </c>
      <c r="B851" s="38">
        <v>6045.0780464003847</v>
      </c>
      <c r="C851" s="38">
        <f t="shared" si="13"/>
        <v>837</v>
      </c>
      <c r="D851" s="38">
        <v>410.51047378331464</v>
      </c>
    </row>
    <row r="852" spans="1:4" x14ac:dyDescent="0.2">
      <c r="A852" s="38">
        <f t="shared" si="13"/>
        <v>838</v>
      </c>
      <c r="B852" s="38">
        <v>13506.091231231125</v>
      </c>
      <c r="C852" s="38">
        <f t="shared" si="13"/>
        <v>838</v>
      </c>
      <c r="D852" s="38">
        <v>333.29756167245915</v>
      </c>
    </row>
    <row r="853" spans="1:4" x14ac:dyDescent="0.2">
      <c r="A853" s="38">
        <f t="shared" si="13"/>
        <v>839</v>
      </c>
      <c r="B853" s="38">
        <v>7666.6567417662645</v>
      </c>
      <c r="C853" s="38">
        <f t="shared" si="13"/>
        <v>839</v>
      </c>
      <c r="D853" s="38">
        <v>401.43103055162987</v>
      </c>
    </row>
    <row r="854" spans="1:4" x14ac:dyDescent="0.2">
      <c r="A854" s="38">
        <f t="shared" si="13"/>
        <v>840</v>
      </c>
      <c r="B854" s="38">
        <v>7122.0116395206778</v>
      </c>
      <c r="C854" s="38">
        <f t="shared" si="13"/>
        <v>840</v>
      </c>
      <c r="D854" s="38">
        <v>340.59113999093967</v>
      </c>
    </row>
    <row r="855" spans="1:4" x14ac:dyDescent="0.2">
      <c r="A855" s="38">
        <f t="shared" si="13"/>
        <v>841</v>
      </c>
      <c r="B855" s="38">
        <v>4735.4877574101602</v>
      </c>
      <c r="C855" s="38">
        <f t="shared" si="13"/>
        <v>841</v>
      </c>
      <c r="D855" s="38">
        <v>367.31139662657847</v>
      </c>
    </row>
    <row r="856" spans="1:4" x14ac:dyDescent="0.2">
      <c r="A856" s="38">
        <f t="shared" ref="A856:C919" si="14">A855+1</f>
        <v>842</v>
      </c>
      <c r="B856" s="38">
        <v>8743.5190220537861</v>
      </c>
      <c r="C856" s="38">
        <f t="shared" si="14"/>
        <v>842</v>
      </c>
      <c r="D856" s="38">
        <v>412.5922438826214</v>
      </c>
    </row>
    <row r="857" spans="1:4" x14ac:dyDescent="0.2">
      <c r="A857" s="38">
        <f t="shared" si="14"/>
        <v>843</v>
      </c>
      <c r="B857" s="38">
        <v>6852.6689162604753</v>
      </c>
      <c r="C857" s="38">
        <f t="shared" si="14"/>
        <v>843</v>
      </c>
      <c r="D857" s="38">
        <v>318.00555940740691</v>
      </c>
    </row>
    <row r="858" spans="1:4" x14ac:dyDescent="0.2">
      <c r="A858" s="38">
        <f t="shared" si="14"/>
        <v>844</v>
      </c>
      <c r="B858" s="38">
        <v>6207.7448074317144</v>
      </c>
      <c r="C858" s="38">
        <f t="shared" si="14"/>
        <v>844</v>
      </c>
      <c r="D858" s="38">
        <v>359.60257674415294</v>
      </c>
    </row>
    <row r="859" spans="1:4" x14ac:dyDescent="0.2">
      <c r="A859" s="38">
        <f t="shared" si="14"/>
        <v>845</v>
      </c>
      <c r="B859" s="38">
        <v>13329.376715436016</v>
      </c>
      <c r="C859" s="38">
        <f t="shared" si="14"/>
        <v>845</v>
      </c>
      <c r="D859" s="38">
        <v>371.45498556570186</v>
      </c>
    </row>
    <row r="860" spans="1:4" x14ac:dyDescent="0.2">
      <c r="A860" s="38">
        <f t="shared" si="14"/>
        <v>846</v>
      </c>
      <c r="B860" s="38">
        <v>8532.1072985680585</v>
      </c>
      <c r="C860" s="38">
        <f t="shared" si="14"/>
        <v>846</v>
      </c>
      <c r="D860" s="38">
        <v>359.23643735410877</v>
      </c>
    </row>
    <row r="861" spans="1:4" x14ac:dyDescent="0.2">
      <c r="A861" s="38">
        <f t="shared" si="14"/>
        <v>847</v>
      </c>
      <c r="B861" s="38">
        <v>5654.3322355418823</v>
      </c>
      <c r="C861" s="38">
        <f t="shared" si="14"/>
        <v>847</v>
      </c>
      <c r="D861" s="38">
        <v>309.97390761639411</v>
      </c>
    </row>
    <row r="862" spans="1:4" x14ac:dyDescent="0.2">
      <c r="A862" s="38">
        <f t="shared" si="14"/>
        <v>848</v>
      </c>
      <c r="B862" s="38">
        <v>3968.2909101438104</v>
      </c>
      <c r="C862" s="38">
        <f t="shared" si="14"/>
        <v>848</v>
      </c>
      <c r="D862" s="38">
        <v>323.80424381756103</v>
      </c>
    </row>
    <row r="863" spans="1:4" x14ac:dyDescent="0.2">
      <c r="A863" s="38">
        <f t="shared" si="14"/>
        <v>849</v>
      </c>
      <c r="B863" s="38">
        <v>8050.5214053022537</v>
      </c>
      <c r="C863" s="38">
        <f t="shared" si="14"/>
        <v>849</v>
      </c>
      <c r="D863" s="38">
        <v>284.24839830721561</v>
      </c>
    </row>
    <row r="864" spans="1:4" x14ac:dyDescent="0.2">
      <c r="A864" s="38">
        <f t="shared" si="14"/>
        <v>850</v>
      </c>
      <c r="B864" s="38">
        <v>3987.9699398463786</v>
      </c>
      <c r="C864" s="38">
        <f t="shared" si="14"/>
        <v>850</v>
      </c>
      <c r="D864" s="38">
        <v>385.60010979372328</v>
      </c>
    </row>
    <row r="865" spans="1:4" x14ac:dyDescent="0.2">
      <c r="A865" s="38">
        <f t="shared" si="14"/>
        <v>851</v>
      </c>
      <c r="B865" s="38">
        <v>8348.1012916006021</v>
      </c>
      <c r="C865" s="38">
        <f t="shared" si="14"/>
        <v>851</v>
      </c>
      <c r="D865" s="38">
        <v>363.279190568366</v>
      </c>
    </row>
    <row r="866" spans="1:4" x14ac:dyDescent="0.2">
      <c r="A866" s="38">
        <f t="shared" si="14"/>
        <v>852</v>
      </c>
      <c r="B866" s="38">
        <v>10395.252479187235</v>
      </c>
      <c r="C866" s="38">
        <f t="shared" si="14"/>
        <v>852</v>
      </c>
      <c r="D866" s="38">
        <v>423.72538020114263</v>
      </c>
    </row>
    <row r="867" spans="1:4" x14ac:dyDescent="0.2">
      <c r="A867" s="38">
        <f t="shared" si="14"/>
        <v>853</v>
      </c>
      <c r="B867" s="38">
        <v>7406.5558049557239</v>
      </c>
      <c r="C867" s="38">
        <f t="shared" si="14"/>
        <v>853</v>
      </c>
      <c r="D867" s="38">
        <v>433.90097313621152</v>
      </c>
    </row>
    <row r="868" spans="1:4" x14ac:dyDescent="0.2">
      <c r="A868" s="38">
        <f t="shared" si="14"/>
        <v>854</v>
      </c>
      <c r="B868" s="38">
        <v>5463.513452832347</v>
      </c>
      <c r="C868" s="38">
        <f t="shared" si="14"/>
        <v>854</v>
      </c>
      <c r="D868" s="38">
        <v>290.84005090174645</v>
      </c>
    </row>
    <row r="869" spans="1:4" x14ac:dyDescent="0.2">
      <c r="A869" s="38">
        <f t="shared" si="14"/>
        <v>855</v>
      </c>
      <c r="B869" s="38">
        <v>9644.6640634731921</v>
      </c>
      <c r="C869" s="38">
        <f t="shared" si="14"/>
        <v>855</v>
      </c>
      <c r="D869" s="38">
        <v>324.51728365398196</v>
      </c>
    </row>
    <row r="870" spans="1:4" x14ac:dyDescent="0.2">
      <c r="A870" s="38">
        <f t="shared" si="14"/>
        <v>856</v>
      </c>
      <c r="B870" s="38">
        <v>6199.8831083700607</v>
      </c>
      <c r="C870" s="38">
        <f t="shared" si="14"/>
        <v>856</v>
      </c>
      <c r="D870" s="38">
        <v>321.64997594399017</v>
      </c>
    </row>
    <row r="871" spans="1:4" x14ac:dyDescent="0.2">
      <c r="A871" s="38">
        <f t="shared" si="14"/>
        <v>857</v>
      </c>
      <c r="B871" s="38">
        <v>4296.8783832110785</v>
      </c>
      <c r="C871" s="38">
        <f t="shared" si="14"/>
        <v>857</v>
      </c>
      <c r="D871" s="38">
        <v>349.04852518344268</v>
      </c>
    </row>
    <row r="872" spans="1:4" x14ac:dyDescent="0.2">
      <c r="A872" s="38">
        <f t="shared" si="14"/>
        <v>858</v>
      </c>
      <c r="B872" s="38">
        <v>8666.711488373654</v>
      </c>
      <c r="C872" s="38">
        <f t="shared" si="14"/>
        <v>858</v>
      </c>
      <c r="D872" s="38">
        <v>294.91467063960522</v>
      </c>
    </row>
    <row r="873" spans="1:4" x14ac:dyDescent="0.2">
      <c r="A873" s="38">
        <f t="shared" si="14"/>
        <v>859</v>
      </c>
      <c r="B873" s="38">
        <v>5922.644784248223</v>
      </c>
      <c r="C873" s="38">
        <f t="shared" si="14"/>
        <v>859</v>
      </c>
      <c r="D873" s="38">
        <v>309.68114284868017</v>
      </c>
    </row>
    <row r="874" spans="1:4" x14ac:dyDescent="0.2">
      <c r="A874" s="38">
        <f t="shared" si="14"/>
        <v>860</v>
      </c>
      <c r="B874" s="38">
        <v>3640.4000759444907</v>
      </c>
      <c r="C874" s="38">
        <f t="shared" si="14"/>
        <v>860</v>
      </c>
      <c r="D874" s="38">
        <v>330.67873000673842</v>
      </c>
    </row>
    <row r="875" spans="1:4" x14ac:dyDescent="0.2">
      <c r="A875" s="38">
        <f t="shared" si="14"/>
        <v>861</v>
      </c>
      <c r="B875" s="38">
        <v>13458.364113665277</v>
      </c>
      <c r="C875" s="38">
        <f t="shared" si="14"/>
        <v>861</v>
      </c>
      <c r="D875" s="38">
        <v>388.62598949060532</v>
      </c>
    </row>
    <row r="876" spans="1:4" x14ac:dyDescent="0.2">
      <c r="A876" s="38">
        <f t="shared" si="14"/>
        <v>862</v>
      </c>
      <c r="B876" s="38">
        <v>3218.1840873026804</v>
      </c>
      <c r="C876" s="38">
        <f t="shared" si="14"/>
        <v>862</v>
      </c>
      <c r="D876" s="38">
        <v>335.57924700270655</v>
      </c>
    </row>
    <row r="877" spans="1:4" x14ac:dyDescent="0.2">
      <c r="A877" s="38">
        <f t="shared" si="14"/>
        <v>863</v>
      </c>
      <c r="B877" s="38">
        <v>4800.7819252845793</v>
      </c>
      <c r="C877" s="38">
        <f t="shared" si="14"/>
        <v>863</v>
      </c>
      <c r="D877" s="38">
        <v>328.24638923009695</v>
      </c>
    </row>
    <row r="878" spans="1:4" x14ac:dyDescent="0.2">
      <c r="A878" s="38">
        <f t="shared" si="14"/>
        <v>864</v>
      </c>
      <c r="B878" s="38">
        <v>8533.0254394286312</v>
      </c>
      <c r="C878" s="38">
        <f t="shared" si="14"/>
        <v>864</v>
      </c>
      <c r="D878" s="38">
        <v>334.30586457232141</v>
      </c>
    </row>
    <row r="879" spans="1:4" x14ac:dyDescent="0.2">
      <c r="A879" s="38">
        <f t="shared" si="14"/>
        <v>865</v>
      </c>
      <c r="B879" s="38">
        <v>4478.5635151077267</v>
      </c>
      <c r="C879" s="38">
        <f t="shared" si="14"/>
        <v>865</v>
      </c>
      <c r="D879" s="38">
        <v>326.83152179447126</v>
      </c>
    </row>
    <row r="880" spans="1:4" x14ac:dyDescent="0.2">
      <c r="A880" s="38">
        <f t="shared" si="14"/>
        <v>866</v>
      </c>
      <c r="B880" s="38">
        <v>15019.104873245195</v>
      </c>
      <c r="C880" s="38">
        <f t="shared" si="14"/>
        <v>866</v>
      </c>
      <c r="D880" s="38">
        <v>352.19973989015995</v>
      </c>
    </row>
    <row r="881" spans="1:4" x14ac:dyDescent="0.2">
      <c r="A881" s="38">
        <f t="shared" si="14"/>
        <v>867</v>
      </c>
      <c r="B881" s="38">
        <v>3443.5984302306542</v>
      </c>
      <c r="C881" s="38">
        <f t="shared" si="14"/>
        <v>867</v>
      </c>
      <c r="D881" s="38">
        <v>370.11447742234878</v>
      </c>
    </row>
    <row r="882" spans="1:4" x14ac:dyDescent="0.2">
      <c r="A882" s="38">
        <f t="shared" si="14"/>
        <v>868</v>
      </c>
      <c r="B882" s="38">
        <v>3572.3943169623017</v>
      </c>
      <c r="C882" s="38">
        <f t="shared" si="14"/>
        <v>868</v>
      </c>
      <c r="D882" s="38">
        <v>442.09121283518948</v>
      </c>
    </row>
    <row r="883" spans="1:4" x14ac:dyDescent="0.2">
      <c r="A883" s="38">
        <f t="shared" si="14"/>
        <v>869</v>
      </c>
      <c r="B883" s="38">
        <v>3235.3139715765324</v>
      </c>
      <c r="C883" s="38">
        <f t="shared" si="14"/>
        <v>869</v>
      </c>
      <c r="D883" s="38">
        <v>306.70591139386437</v>
      </c>
    </row>
    <row r="884" spans="1:4" x14ac:dyDescent="0.2">
      <c r="A884" s="38">
        <f t="shared" si="14"/>
        <v>870</v>
      </c>
      <c r="B884" s="38">
        <v>2771.2316516018063</v>
      </c>
      <c r="C884" s="38">
        <f t="shared" si="14"/>
        <v>870</v>
      </c>
      <c r="D884" s="38">
        <v>353.88906509631056</v>
      </c>
    </row>
    <row r="885" spans="1:4" x14ac:dyDescent="0.2">
      <c r="A885" s="38">
        <f t="shared" si="14"/>
        <v>871</v>
      </c>
      <c r="B885" s="38">
        <v>7924.1007183047914</v>
      </c>
      <c r="C885" s="38">
        <f t="shared" si="14"/>
        <v>871</v>
      </c>
      <c r="D885" s="38">
        <v>398.89711608690772</v>
      </c>
    </row>
    <row r="886" spans="1:4" x14ac:dyDescent="0.2">
      <c r="A886" s="38">
        <f t="shared" si="14"/>
        <v>872</v>
      </c>
      <c r="B886" s="38">
        <v>4343.8833964840887</v>
      </c>
      <c r="C886" s="38">
        <f t="shared" si="14"/>
        <v>872</v>
      </c>
      <c r="D886" s="38">
        <v>438.15638822181955</v>
      </c>
    </row>
    <row r="887" spans="1:4" x14ac:dyDescent="0.2">
      <c r="A887" s="38">
        <f t="shared" si="14"/>
        <v>873</v>
      </c>
      <c r="B887" s="38">
        <v>7803.6897426945543</v>
      </c>
      <c r="C887" s="38">
        <f t="shared" si="14"/>
        <v>873</v>
      </c>
      <c r="D887" s="38">
        <v>326.70151747718342</v>
      </c>
    </row>
    <row r="888" spans="1:4" x14ac:dyDescent="0.2">
      <c r="A888" s="38">
        <f t="shared" si="14"/>
        <v>874</v>
      </c>
      <c r="B888" s="38">
        <v>12850.238843510851</v>
      </c>
      <c r="C888" s="38">
        <f t="shared" si="14"/>
        <v>874</v>
      </c>
      <c r="D888" s="38">
        <v>312.33631023385539</v>
      </c>
    </row>
    <row r="889" spans="1:4" x14ac:dyDescent="0.2">
      <c r="A889" s="38">
        <f t="shared" si="14"/>
        <v>875</v>
      </c>
      <c r="B889" s="38">
        <v>6230.0999742510458</v>
      </c>
      <c r="C889" s="38">
        <f t="shared" si="14"/>
        <v>875</v>
      </c>
      <c r="D889" s="38">
        <v>289.1297629614873</v>
      </c>
    </row>
    <row r="890" spans="1:4" x14ac:dyDescent="0.2">
      <c r="A890" s="38">
        <f t="shared" si="14"/>
        <v>876</v>
      </c>
      <c r="B890" s="38">
        <v>6038.200049069791</v>
      </c>
      <c r="C890" s="38">
        <f t="shared" si="14"/>
        <v>876</v>
      </c>
      <c r="D890" s="38">
        <v>316.47011196649277</v>
      </c>
    </row>
    <row r="891" spans="1:4" x14ac:dyDescent="0.2">
      <c r="A891" s="38">
        <f t="shared" si="14"/>
        <v>877</v>
      </c>
      <c r="B891" s="38">
        <v>5843.6362421183576</v>
      </c>
      <c r="C891" s="38">
        <f t="shared" si="14"/>
        <v>877</v>
      </c>
      <c r="D891" s="38">
        <v>311.73522707347132</v>
      </c>
    </row>
    <row r="892" spans="1:4" x14ac:dyDescent="0.2">
      <c r="A892" s="38">
        <f t="shared" si="14"/>
        <v>878</v>
      </c>
      <c r="B892" s="38">
        <v>8722.5398911466109</v>
      </c>
      <c r="C892" s="38">
        <f t="shared" si="14"/>
        <v>878</v>
      </c>
      <c r="D892" s="38">
        <v>344.37022186520863</v>
      </c>
    </row>
    <row r="893" spans="1:4" x14ac:dyDescent="0.2">
      <c r="A893" s="38">
        <f t="shared" si="14"/>
        <v>879</v>
      </c>
      <c r="B893" s="38">
        <v>11649.210965832457</v>
      </c>
      <c r="C893" s="38">
        <f t="shared" si="14"/>
        <v>879</v>
      </c>
      <c r="D893" s="38">
        <v>407.20377140100908</v>
      </c>
    </row>
    <row r="894" spans="1:4" x14ac:dyDescent="0.2">
      <c r="A894" s="38">
        <f t="shared" si="14"/>
        <v>880</v>
      </c>
      <c r="B894" s="38">
        <v>8083.9696760737115</v>
      </c>
      <c r="C894" s="38">
        <f t="shared" si="14"/>
        <v>880</v>
      </c>
      <c r="D894" s="38">
        <v>315.3244871674853</v>
      </c>
    </row>
    <row r="895" spans="1:4" x14ac:dyDescent="0.2">
      <c r="A895" s="38">
        <f t="shared" si="14"/>
        <v>881</v>
      </c>
      <c r="B895" s="38">
        <v>7141.885072842756</v>
      </c>
      <c r="C895" s="38">
        <f t="shared" si="14"/>
        <v>881</v>
      </c>
      <c r="D895" s="38">
        <v>315.66550643587505</v>
      </c>
    </row>
    <row r="896" spans="1:4" x14ac:dyDescent="0.2">
      <c r="A896" s="38">
        <f t="shared" si="14"/>
        <v>882</v>
      </c>
      <c r="B896" s="38">
        <v>5531.9718325616759</v>
      </c>
      <c r="C896" s="38">
        <f t="shared" si="14"/>
        <v>882</v>
      </c>
      <c r="D896" s="38">
        <v>375.38692107392711</v>
      </c>
    </row>
    <row r="897" spans="1:4" x14ac:dyDescent="0.2">
      <c r="A897" s="38">
        <f t="shared" si="14"/>
        <v>883</v>
      </c>
      <c r="B897" s="38">
        <v>4994.4723283714766</v>
      </c>
      <c r="C897" s="38">
        <f t="shared" si="14"/>
        <v>883</v>
      </c>
      <c r="D897" s="38">
        <v>287.40952533258496</v>
      </c>
    </row>
    <row r="898" spans="1:4" x14ac:dyDescent="0.2">
      <c r="A898" s="38">
        <f t="shared" si="14"/>
        <v>884</v>
      </c>
      <c r="B898" s="38">
        <v>6073.3459690878708</v>
      </c>
      <c r="C898" s="38">
        <f t="shared" si="14"/>
        <v>884</v>
      </c>
      <c r="D898" s="38">
        <v>331.93648168663606</v>
      </c>
    </row>
    <row r="899" spans="1:4" x14ac:dyDescent="0.2">
      <c r="A899" s="38">
        <f t="shared" si="14"/>
        <v>885</v>
      </c>
      <c r="B899" s="38">
        <v>7007.3332905298575</v>
      </c>
      <c r="C899" s="38">
        <f t="shared" si="14"/>
        <v>885</v>
      </c>
      <c r="D899" s="38">
        <v>368.64939048260152</v>
      </c>
    </row>
    <row r="900" spans="1:4" x14ac:dyDescent="0.2">
      <c r="A900" s="38">
        <f t="shared" si="14"/>
        <v>886</v>
      </c>
      <c r="B900" s="38">
        <v>9366.3778615977662</v>
      </c>
      <c r="C900" s="38">
        <f t="shared" si="14"/>
        <v>886</v>
      </c>
      <c r="D900" s="38">
        <v>336.10100804440555</v>
      </c>
    </row>
    <row r="901" spans="1:4" x14ac:dyDescent="0.2">
      <c r="A901" s="38">
        <f t="shared" si="14"/>
        <v>887</v>
      </c>
      <c r="B901" s="38">
        <v>9070.8100791219113</v>
      </c>
      <c r="C901" s="38">
        <f t="shared" si="14"/>
        <v>887</v>
      </c>
      <c r="D901" s="38">
        <v>348.00975291685796</v>
      </c>
    </row>
    <row r="902" spans="1:4" x14ac:dyDescent="0.2">
      <c r="A902" s="38">
        <f t="shared" si="14"/>
        <v>888</v>
      </c>
      <c r="B902" s="38">
        <v>11646.530728033002</v>
      </c>
      <c r="C902" s="38">
        <f t="shared" si="14"/>
        <v>888</v>
      </c>
      <c r="D902" s="38">
        <v>378.42459801257297</v>
      </c>
    </row>
    <row r="903" spans="1:4" x14ac:dyDescent="0.2">
      <c r="A903" s="38">
        <f t="shared" si="14"/>
        <v>889</v>
      </c>
      <c r="B903" s="38">
        <v>9766.9480049312624</v>
      </c>
      <c r="C903" s="38">
        <f t="shared" si="14"/>
        <v>889</v>
      </c>
      <c r="D903" s="38">
        <v>369.62726405700329</v>
      </c>
    </row>
    <row r="904" spans="1:4" x14ac:dyDescent="0.2">
      <c r="A904" s="38">
        <f t="shared" si="14"/>
        <v>890</v>
      </c>
      <c r="B904" s="38">
        <v>5489.3861792657535</v>
      </c>
      <c r="C904" s="38">
        <f t="shared" si="14"/>
        <v>890</v>
      </c>
      <c r="D904" s="38">
        <v>343.78793122182412</v>
      </c>
    </row>
    <row r="905" spans="1:4" x14ac:dyDescent="0.2">
      <c r="A905" s="38">
        <f t="shared" si="14"/>
        <v>891</v>
      </c>
      <c r="B905" s="38">
        <v>10629.95993652771</v>
      </c>
      <c r="C905" s="38">
        <f t="shared" si="14"/>
        <v>891</v>
      </c>
      <c r="D905" s="38">
        <v>363.83134553728036</v>
      </c>
    </row>
    <row r="906" spans="1:4" x14ac:dyDescent="0.2">
      <c r="A906" s="38">
        <f t="shared" si="14"/>
        <v>892</v>
      </c>
      <c r="B906" s="38">
        <v>7201.0178183691596</v>
      </c>
      <c r="C906" s="38">
        <f t="shared" si="14"/>
        <v>892</v>
      </c>
      <c r="D906" s="38">
        <v>350.09806006679628</v>
      </c>
    </row>
    <row r="907" spans="1:4" x14ac:dyDescent="0.2">
      <c r="A907" s="38">
        <f t="shared" si="14"/>
        <v>893</v>
      </c>
      <c r="B907" s="38">
        <v>6543.8369474248184</v>
      </c>
      <c r="C907" s="38">
        <f t="shared" si="14"/>
        <v>893</v>
      </c>
      <c r="D907" s="38">
        <v>383.48902931935436</v>
      </c>
    </row>
    <row r="908" spans="1:4" x14ac:dyDescent="0.2">
      <c r="A908" s="38">
        <f t="shared" si="14"/>
        <v>894</v>
      </c>
      <c r="B908" s="38">
        <v>2654.6678554315954</v>
      </c>
      <c r="C908" s="38">
        <f t="shared" si="14"/>
        <v>894</v>
      </c>
      <c r="D908" s="38">
        <v>390.54607312832718</v>
      </c>
    </row>
    <row r="909" spans="1:4" x14ac:dyDescent="0.2">
      <c r="A909" s="38">
        <f t="shared" si="14"/>
        <v>895</v>
      </c>
      <c r="B909" s="38">
        <v>4480.5366556432582</v>
      </c>
      <c r="C909" s="38">
        <f t="shared" si="14"/>
        <v>895</v>
      </c>
      <c r="D909" s="38">
        <v>286.45321547346589</v>
      </c>
    </row>
    <row r="910" spans="1:4" x14ac:dyDescent="0.2">
      <c r="A910" s="38">
        <f t="shared" si="14"/>
        <v>896</v>
      </c>
      <c r="B910" s="38">
        <v>6618.4549541622291</v>
      </c>
      <c r="C910" s="38">
        <f t="shared" si="14"/>
        <v>896</v>
      </c>
      <c r="D910" s="38">
        <v>313.27841901433851</v>
      </c>
    </row>
    <row r="911" spans="1:4" x14ac:dyDescent="0.2">
      <c r="A911" s="38">
        <f t="shared" si="14"/>
        <v>897</v>
      </c>
      <c r="B911" s="38">
        <v>5556.2633598559596</v>
      </c>
      <c r="C911" s="38">
        <f t="shared" si="14"/>
        <v>897</v>
      </c>
      <c r="D911" s="38">
        <v>345.47442977700018</v>
      </c>
    </row>
    <row r="912" spans="1:4" x14ac:dyDescent="0.2">
      <c r="A912" s="38">
        <f t="shared" si="14"/>
        <v>898</v>
      </c>
      <c r="B912" s="38">
        <v>7685.4900204479791</v>
      </c>
      <c r="C912" s="38">
        <f t="shared" si="14"/>
        <v>898</v>
      </c>
      <c r="D912" s="38">
        <v>453.37907931993351</v>
      </c>
    </row>
    <row r="913" spans="1:4" x14ac:dyDescent="0.2">
      <c r="A913" s="38">
        <f t="shared" si="14"/>
        <v>899</v>
      </c>
      <c r="B913" s="38">
        <v>5637.9482567902824</v>
      </c>
      <c r="C913" s="38">
        <f t="shared" si="14"/>
        <v>899</v>
      </c>
      <c r="D913" s="38">
        <v>402.69108859158763</v>
      </c>
    </row>
    <row r="914" spans="1:4" x14ac:dyDescent="0.2">
      <c r="A914" s="38">
        <f t="shared" si="14"/>
        <v>900</v>
      </c>
      <c r="B914" s="38">
        <v>3063.7705742366115</v>
      </c>
      <c r="C914" s="38">
        <f t="shared" si="14"/>
        <v>900</v>
      </c>
      <c r="D914" s="38">
        <v>363.89385221510281</v>
      </c>
    </row>
    <row r="915" spans="1:4" x14ac:dyDescent="0.2">
      <c r="A915" s="38">
        <f t="shared" si="14"/>
        <v>901</v>
      </c>
      <c r="B915" s="38">
        <v>2610.9338307990233</v>
      </c>
      <c r="C915" s="38">
        <f t="shared" si="14"/>
        <v>901</v>
      </c>
      <c r="D915" s="38">
        <v>377.60485785178633</v>
      </c>
    </row>
    <row r="916" spans="1:4" x14ac:dyDescent="0.2">
      <c r="A916" s="38">
        <f t="shared" si="14"/>
        <v>902</v>
      </c>
      <c r="B916" s="38">
        <v>6222.7032765410459</v>
      </c>
      <c r="C916" s="38">
        <f t="shared" si="14"/>
        <v>902</v>
      </c>
      <c r="D916" s="38">
        <v>382.95661565290277</v>
      </c>
    </row>
    <row r="917" spans="1:4" x14ac:dyDescent="0.2">
      <c r="A917" s="38">
        <f t="shared" si="14"/>
        <v>903</v>
      </c>
      <c r="B917" s="38">
        <v>4127.6697768947506</v>
      </c>
      <c r="C917" s="38">
        <f t="shared" si="14"/>
        <v>903</v>
      </c>
      <c r="D917" s="38">
        <v>351.04298504428175</v>
      </c>
    </row>
    <row r="918" spans="1:4" x14ac:dyDescent="0.2">
      <c r="A918" s="38">
        <f t="shared" si="14"/>
        <v>904</v>
      </c>
      <c r="B918" s="38">
        <v>12563.350200119805</v>
      </c>
      <c r="C918" s="38">
        <f t="shared" si="14"/>
        <v>904</v>
      </c>
      <c r="D918" s="38">
        <v>384.35689713218869</v>
      </c>
    </row>
    <row r="919" spans="1:4" x14ac:dyDescent="0.2">
      <c r="A919" s="38">
        <f t="shared" si="14"/>
        <v>905</v>
      </c>
      <c r="B919" s="38">
        <v>5103.7921786010711</v>
      </c>
      <c r="C919" s="38">
        <f t="shared" si="14"/>
        <v>905</v>
      </c>
      <c r="D919" s="38">
        <v>354.66248150607817</v>
      </c>
    </row>
    <row r="920" spans="1:4" x14ac:dyDescent="0.2">
      <c r="A920" s="38">
        <f t="shared" ref="A920:C983" si="15">A919+1</f>
        <v>906</v>
      </c>
      <c r="B920" s="38">
        <v>7994.2627814665311</v>
      </c>
      <c r="C920" s="38">
        <f t="shared" si="15"/>
        <v>906</v>
      </c>
      <c r="D920" s="38">
        <v>364.18015501432092</v>
      </c>
    </row>
    <row r="921" spans="1:4" x14ac:dyDescent="0.2">
      <c r="A921" s="38">
        <f t="shared" si="15"/>
        <v>907</v>
      </c>
      <c r="B921" s="38">
        <v>4640.9326871065368</v>
      </c>
      <c r="C921" s="38">
        <f t="shared" si="15"/>
        <v>907</v>
      </c>
      <c r="D921" s="38">
        <v>299.28230215333298</v>
      </c>
    </row>
    <row r="922" spans="1:4" x14ac:dyDescent="0.2">
      <c r="A922" s="38">
        <f t="shared" si="15"/>
        <v>908</v>
      </c>
      <c r="B922" s="38">
        <v>9803.305961771508</v>
      </c>
      <c r="C922" s="38">
        <f t="shared" si="15"/>
        <v>908</v>
      </c>
      <c r="D922" s="38">
        <v>414.6507432459598</v>
      </c>
    </row>
    <row r="923" spans="1:4" x14ac:dyDescent="0.2">
      <c r="A923" s="38">
        <f t="shared" si="15"/>
        <v>909</v>
      </c>
      <c r="B923" s="38">
        <v>8465.8280031855993</v>
      </c>
      <c r="C923" s="38">
        <f t="shared" si="15"/>
        <v>909</v>
      </c>
      <c r="D923" s="38">
        <v>315.48666777021873</v>
      </c>
    </row>
    <row r="924" spans="1:4" x14ac:dyDescent="0.2">
      <c r="A924" s="38">
        <f t="shared" si="15"/>
        <v>910</v>
      </c>
      <c r="B924" s="38">
        <v>7487.7603142296812</v>
      </c>
      <c r="C924" s="38">
        <f t="shared" si="15"/>
        <v>910</v>
      </c>
      <c r="D924" s="38">
        <v>337.17692736341309</v>
      </c>
    </row>
    <row r="925" spans="1:4" x14ac:dyDescent="0.2">
      <c r="A925" s="38">
        <f t="shared" si="15"/>
        <v>911</v>
      </c>
      <c r="B925" s="38">
        <v>13544.606726922028</v>
      </c>
      <c r="C925" s="38">
        <f t="shared" si="15"/>
        <v>911</v>
      </c>
      <c r="D925" s="38">
        <v>366.75038917488558</v>
      </c>
    </row>
    <row r="926" spans="1:4" x14ac:dyDescent="0.2">
      <c r="A926" s="38">
        <f t="shared" si="15"/>
        <v>912</v>
      </c>
      <c r="B926" s="38">
        <v>17365.494017179921</v>
      </c>
      <c r="C926" s="38">
        <f t="shared" si="15"/>
        <v>912</v>
      </c>
      <c r="D926" s="38">
        <v>384.32639660986115</v>
      </c>
    </row>
    <row r="927" spans="1:4" x14ac:dyDescent="0.2">
      <c r="A927" s="38">
        <f t="shared" si="15"/>
        <v>913</v>
      </c>
      <c r="B927" s="38">
        <v>4695.004325607898</v>
      </c>
      <c r="C927" s="38">
        <f t="shared" si="15"/>
        <v>913</v>
      </c>
      <c r="D927" s="38">
        <v>324.72130473512829</v>
      </c>
    </row>
    <row r="928" spans="1:4" x14ac:dyDescent="0.2">
      <c r="A928" s="38">
        <f t="shared" si="15"/>
        <v>914</v>
      </c>
      <c r="B928" s="38">
        <v>3654.4468556332736</v>
      </c>
      <c r="C928" s="38">
        <f t="shared" si="15"/>
        <v>914</v>
      </c>
      <c r="D928" s="38">
        <v>336.07484279785979</v>
      </c>
    </row>
    <row r="929" spans="1:4" x14ac:dyDescent="0.2">
      <c r="A929" s="38">
        <f t="shared" si="15"/>
        <v>915</v>
      </c>
      <c r="B929" s="38">
        <v>4666.850533616579</v>
      </c>
      <c r="C929" s="38">
        <f t="shared" si="15"/>
        <v>915</v>
      </c>
      <c r="D929" s="38">
        <v>360.52669050058415</v>
      </c>
    </row>
    <row r="930" spans="1:4" x14ac:dyDescent="0.2">
      <c r="A930" s="38">
        <f t="shared" si="15"/>
        <v>916</v>
      </c>
      <c r="B930" s="38">
        <v>7016.2736970710475</v>
      </c>
      <c r="C930" s="38">
        <f t="shared" si="15"/>
        <v>916</v>
      </c>
      <c r="D930" s="38">
        <v>355.34457555535278</v>
      </c>
    </row>
    <row r="931" spans="1:4" x14ac:dyDescent="0.2">
      <c r="A931" s="38">
        <f t="shared" si="15"/>
        <v>917</v>
      </c>
      <c r="B931" s="38">
        <v>2546.7872436970201</v>
      </c>
      <c r="C931" s="38">
        <f t="shared" si="15"/>
        <v>917</v>
      </c>
      <c r="D931" s="38">
        <v>306.67581865093103</v>
      </c>
    </row>
    <row r="932" spans="1:4" x14ac:dyDescent="0.2">
      <c r="A932" s="38">
        <f t="shared" si="15"/>
        <v>918</v>
      </c>
      <c r="B932" s="38">
        <v>3433.0937211271698</v>
      </c>
      <c r="C932" s="38">
        <f t="shared" si="15"/>
        <v>918</v>
      </c>
      <c r="D932" s="38">
        <v>381.46861417226978</v>
      </c>
    </row>
    <row r="933" spans="1:4" x14ac:dyDescent="0.2">
      <c r="A933" s="38">
        <f t="shared" si="15"/>
        <v>919</v>
      </c>
      <c r="B933" s="38">
        <v>1961.3900401966632</v>
      </c>
      <c r="C933" s="38">
        <f t="shared" si="15"/>
        <v>919</v>
      </c>
      <c r="D933" s="38">
        <v>348.62149691897417</v>
      </c>
    </row>
    <row r="934" spans="1:4" x14ac:dyDescent="0.2">
      <c r="A934" s="38">
        <f t="shared" si="15"/>
        <v>920</v>
      </c>
      <c r="B934" s="38">
        <v>4478.8110060997942</v>
      </c>
      <c r="C934" s="38">
        <f t="shared" si="15"/>
        <v>920</v>
      </c>
      <c r="D934" s="38">
        <v>350.60753200219062</v>
      </c>
    </row>
    <row r="935" spans="1:4" x14ac:dyDescent="0.2">
      <c r="A935" s="38">
        <f t="shared" si="15"/>
        <v>921</v>
      </c>
      <c r="B935" s="38">
        <v>2590.3301685735873</v>
      </c>
      <c r="C935" s="38">
        <f t="shared" si="15"/>
        <v>921</v>
      </c>
      <c r="D935" s="38">
        <v>322.41139311245041</v>
      </c>
    </row>
    <row r="936" spans="1:4" x14ac:dyDescent="0.2">
      <c r="A936" s="38">
        <f t="shared" si="15"/>
        <v>922</v>
      </c>
      <c r="B936" s="38">
        <v>5799.9353186105855</v>
      </c>
      <c r="C936" s="38">
        <f t="shared" si="15"/>
        <v>922</v>
      </c>
      <c r="D936" s="38">
        <v>329.63022478871716</v>
      </c>
    </row>
    <row r="937" spans="1:4" x14ac:dyDescent="0.2">
      <c r="A937" s="38">
        <f t="shared" si="15"/>
        <v>923</v>
      </c>
      <c r="B937" s="38">
        <v>6606.3618598012117</v>
      </c>
      <c r="C937" s="38">
        <f t="shared" si="15"/>
        <v>923</v>
      </c>
      <c r="D937" s="38">
        <v>346.9192817056869</v>
      </c>
    </row>
    <row r="938" spans="1:4" x14ac:dyDescent="0.2">
      <c r="A938" s="38">
        <f t="shared" si="15"/>
        <v>924</v>
      </c>
      <c r="B938" s="38">
        <v>11332.890327308718</v>
      </c>
      <c r="C938" s="38">
        <f t="shared" si="15"/>
        <v>924</v>
      </c>
      <c r="D938" s="38">
        <v>346.28048400427588</v>
      </c>
    </row>
    <row r="939" spans="1:4" x14ac:dyDescent="0.2">
      <c r="A939" s="38">
        <f t="shared" si="15"/>
        <v>925</v>
      </c>
      <c r="B939" s="38">
        <v>4293.7083668662799</v>
      </c>
      <c r="C939" s="38">
        <f t="shared" si="15"/>
        <v>925</v>
      </c>
      <c r="D939" s="38">
        <v>332.64933479235361</v>
      </c>
    </row>
    <row r="940" spans="1:4" x14ac:dyDescent="0.2">
      <c r="A940" s="38">
        <f t="shared" si="15"/>
        <v>926</v>
      </c>
      <c r="B940" s="38">
        <v>4273.0134673233742</v>
      </c>
      <c r="C940" s="38">
        <f t="shared" si="15"/>
        <v>926</v>
      </c>
      <c r="D940" s="38">
        <v>336.49592248362632</v>
      </c>
    </row>
    <row r="941" spans="1:4" x14ac:dyDescent="0.2">
      <c r="A941" s="38">
        <f t="shared" si="15"/>
        <v>927</v>
      </c>
      <c r="B941" s="38">
        <v>8629.1647881381032</v>
      </c>
      <c r="C941" s="38">
        <f t="shared" si="15"/>
        <v>927</v>
      </c>
      <c r="D941" s="38">
        <v>338.39934299580432</v>
      </c>
    </row>
    <row r="942" spans="1:4" x14ac:dyDescent="0.2">
      <c r="A942" s="38">
        <f t="shared" si="15"/>
        <v>928</v>
      </c>
      <c r="B942" s="38">
        <v>8710.9400401705589</v>
      </c>
      <c r="C942" s="38">
        <f t="shared" si="15"/>
        <v>928</v>
      </c>
      <c r="D942" s="38">
        <v>399.81875616272163</v>
      </c>
    </row>
    <row r="943" spans="1:4" x14ac:dyDescent="0.2">
      <c r="A943" s="38">
        <f t="shared" si="15"/>
        <v>929</v>
      </c>
      <c r="B943" s="38">
        <v>3948.6741703806097</v>
      </c>
      <c r="C943" s="38">
        <f t="shared" si="15"/>
        <v>929</v>
      </c>
      <c r="D943" s="38">
        <v>362.0396173226232</v>
      </c>
    </row>
    <row r="944" spans="1:4" x14ac:dyDescent="0.2">
      <c r="A944" s="38">
        <f t="shared" si="15"/>
        <v>930</v>
      </c>
      <c r="B944" s="38">
        <v>3704.7723036891944</v>
      </c>
      <c r="C944" s="38">
        <f t="shared" si="15"/>
        <v>930</v>
      </c>
      <c r="D944" s="38">
        <v>328.64091349011414</v>
      </c>
    </row>
    <row r="945" spans="1:4" x14ac:dyDescent="0.2">
      <c r="A945" s="38">
        <f t="shared" si="15"/>
        <v>931</v>
      </c>
      <c r="B945" s="38">
        <v>4787.6462006130305</v>
      </c>
      <c r="C945" s="38">
        <f t="shared" si="15"/>
        <v>931</v>
      </c>
      <c r="D945" s="38">
        <v>437.67827210578383</v>
      </c>
    </row>
    <row r="946" spans="1:4" x14ac:dyDescent="0.2">
      <c r="A946" s="38">
        <f t="shared" si="15"/>
        <v>932</v>
      </c>
      <c r="B946" s="38">
        <v>6702.7065153479707</v>
      </c>
      <c r="C946" s="38">
        <f t="shared" si="15"/>
        <v>932</v>
      </c>
      <c r="D946" s="38">
        <v>335.57900879944339</v>
      </c>
    </row>
    <row r="947" spans="1:4" x14ac:dyDescent="0.2">
      <c r="A947" s="38">
        <f t="shared" si="15"/>
        <v>933</v>
      </c>
      <c r="B947" s="38">
        <v>7498.7745030194583</v>
      </c>
      <c r="C947" s="38">
        <f t="shared" si="15"/>
        <v>933</v>
      </c>
      <c r="D947" s="38">
        <v>330.31929941489926</v>
      </c>
    </row>
    <row r="948" spans="1:4" x14ac:dyDescent="0.2">
      <c r="A948" s="38">
        <f t="shared" si="15"/>
        <v>934</v>
      </c>
      <c r="B948" s="38">
        <v>4003.2707693049865</v>
      </c>
      <c r="C948" s="38">
        <f t="shared" si="15"/>
        <v>934</v>
      </c>
      <c r="D948" s="38">
        <v>379.62882783800637</v>
      </c>
    </row>
    <row r="949" spans="1:4" x14ac:dyDescent="0.2">
      <c r="A949" s="38">
        <f t="shared" si="15"/>
        <v>935</v>
      </c>
      <c r="B949" s="38">
        <v>10806.07193498776</v>
      </c>
      <c r="C949" s="38">
        <f t="shared" si="15"/>
        <v>935</v>
      </c>
      <c r="D949" s="38">
        <v>339.87298641167092</v>
      </c>
    </row>
    <row r="950" spans="1:4" x14ac:dyDescent="0.2">
      <c r="A950" s="38">
        <f t="shared" si="15"/>
        <v>936</v>
      </c>
      <c r="B950" s="38">
        <v>5596.2839894530807</v>
      </c>
      <c r="C950" s="38">
        <f t="shared" si="15"/>
        <v>936</v>
      </c>
      <c r="D950" s="38">
        <v>329.33121044611102</v>
      </c>
    </row>
    <row r="951" spans="1:4" x14ac:dyDescent="0.2">
      <c r="A951" s="38">
        <f t="shared" si="15"/>
        <v>937</v>
      </c>
      <c r="B951" s="38">
        <v>6889.8090482610505</v>
      </c>
      <c r="C951" s="38">
        <f t="shared" si="15"/>
        <v>937</v>
      </c>
      <c r="D951" s="38">
        <v>386.06166856324381</v>
      </c>
    </row>
    <row r="952" spans="1:4" x14ac:dyDescent="0.2">
      <c r="A952" s="38">
        <f t="shared" si="15"/>
        <v>938</v>
      </c>
      <c r="B952" s="38">
        <v>10882.462849961847</v>
      </c>
      <c r="C952" s="38">
        <f t="shared" si="15"/>
        <v>938</v>
      </c>
      <c r="D952" s="38">
        <v>336.41169464035079</v>
      </c>
    </row>
    <row r="953" spans="1:4" x14ac:dyDescent="0.2">
      <c r="A953" s="38">
        <f t="shared" si="15"/>
        <v>939</v>
      </c>
      <c r="B953" s="38">
        <v>3266.078433977018</v>
      </c>
      <c r="C953" s="38">
        <f t="shared" si="15"/>
        <v>939</v>
      </c>
      <c r="D953" s="38">
        <v>337.81384677144513</v>
      </c>
    </row>
    <row r="954" spans="1:4" x14ac:dyDescent="0.2">
      <c r="A954" s="38">
        <f t="shared" si="15"/>
        <v>940</v>
      </c>
      <c r="B954" s="38">
        <v>5585.1580389075434</v>
      </c>
      <c r="C954" s="38">
        <f t="shared" si="15"/>
        <v>940</v>
      </c>
      <c r="D954" s="38">
        <v>362.14115541908603</v>
      </c>
    </row>
    <row r="955" spans="1:4" x14ac:dyDescent="0.2">
      <c r="A955" s="38">
        <f t="shared" si="15"/>
        <v>941</v>
      </c>
      <c r="B955" s="38">
        <v>8231.0106146642775</v>
      </c>
      <c r="C955" s="38">
        <f t="shared" si="15"/>
        <v>941</v>
      </c>
      <c r="D955" s="38">
        <v>329.09172972182773</v>
      </c>
    </row>
    <row r="956" spans="1:4" x14ac:dyDescent="0.2">
      <c r="A956" s="38">
        <f t="shared" si="15"/>
        <v>942</v>
      </c>
      <c r="B956" s="38">
        <v>6387.4202349599509</v>
      </c>
      <c r="C956" s="38">
        <f t="shared" si="15"/>
        <v>942</v>
      </c>
      <c r="D956" s="38">
        <v>395.65230686670122</v>
      </c>
    </row>
    <row r="957" spans="1:4" x14ac:dyDescent="0.2">
      <c r="A957" s="38">
        <f t="shared" si="15"/>
        <v>943</v>
      </c>
      <c r="B957" s="38">
        <v>2427.8375872217453</v>
      </c>
      <c r="C957" s="38">
        <f t="shared" si="15"/>
        <v>943</v>
      </c>
      <c r="D957" s="38">
        <v>340.97710699143266</v>
      </c>
    </row>
    <row r="958" spans="1:4" x14ac:dyDescent="0.2">
      <c r="A958" s="38">
        <f t="shared" si="15"/>
        <v>944</v>
      </c>
      <c r="B958" s="38">
        <v>1571.5359366953496</v>
      </c>
      <c r="C958" s="38">
        <f t="shared" si="15"/>
        <v>944</v>
      </c>
      <c r="D958" s="38">
        <v>363.06488678707279</v>
      </c>
    </row>
    <row r="959" spans="1:4" x14ac:dyDescent="0.2">
      <c r="A959" s="38">
        <f t="shared" si="15"/>
        <v>945</v>
      </c>
      <c r="B959" s="38">
        <v>6560.6945151350237</v>
      </c>
      <c r="C959" s="38">
        <f t="shared" si="15"/>
        <v>945</v>
      </c>
      <c r="D959" s="38">
        <v>310.19882642959192</v>
      </c>
    </row>
    <row r="960" spans="1:4" x14ac:dyDescent="0.2">
      <c r="A960" s="38">
        <f t="shared" si="15"/>
        <v>946</v>
      </c>
      <c r="B960" s="38">
        <v>6194.8838161805897</v>
      </c>
      <c r="C960" s="38">
        <f t="shared" si="15"/>
        <v>946</v>
      </c>
      <c r="D960" s="38">
        <v>351.01598658641677</v>
      </c>
    </row>
    <row r="961" spans="1:4" x14ac:dyDescent="0.2">
      <c r="A961" s="38">
        <f t="shared" si="15"/>
        <v>947</v>
      </c>
      <c r="B961" s="38">
        <v>6930.4296107964674</v>
      </c>
      <c r="C961" s="38">
        <f t="shared" si="15"/>
        <v>947</v>
      </c>
      <c r="D961" s="38">
        <v>371.85361358671753</v>
      </c>
    </row>
    <row r="962" spans="1:4" x14ac:dyDescent="0.2">
      <c r="A962" s="38">
        <f t="shared" si="15"/>
        <v>948</v>
      </c>
      <c r="B962" s="38">
        <v>8510.1961034523374</v>
      </c>
      <c r="C962" s="38">
        <f t="shared" si="15"/>
        <v>948</v>
      </c>
      <c r="D962" s="38">
        <v>426.58074228362909</v>
      </c>
    </row>
    <row r="963" spans="1:4" x14ac:dyDescent="0.2">
      <c r="A963" s="38">
        <f t="shared" si="15"/>
        <v>949</v>
      </c>
      <c r="B963" s="38">
        <v>6305.2826354187464</v>
      </c>
      <c r="C963" s="38">
        <f t="shared" si="15"/>
        <v>949</v>
      </c>
      <c r="D963" s="38">
        <v>352.43556502003571</v>
      </c>
    </row>
    <row r="964" spans="1:4" x14ac:dyDescent="0.2">
      <c r="A964" s="38">
        <f t="shared" si="15"/>
        <v>950</v>
      </c>
      <c r="B964" s="38">
        <v>11386.579030394452</v>
      </c>
      <c r="C964" s="38">
        <f t="shared" si="15"/>
        <v>950</v>
      </c>
      <c r="D964" s="38">
        <v>399.49481316262234</v>
      </c>
    </row>
    <row r="965" spans="1:4" x14ac:dyDescent="0.2">
      <c r="A965" s="38">
        <f t="shared" si="15"/>
        <v>951</v>
      </c>
      <c r="B965" s="38">
        <v>4708.0051157185289</v>
      </c>
      <c r="C965" s="38">
        <f t="shared" si="15"/>
        <v>951</v>
      </c>
      <c r="D965" s="38">
        <v>329.6768124286815</v>
      </c>
    </row>
    <row r="966" spans="1:4" x14ac:dyDescent="0.2">
      <c r="A966" s="38">
        <f t="shared" si="15"/>
        <v>952</v>
      </c>
      <c r="B966" s="38">
        <v>7064.8327189928514</v>
      </c>
      <c r="C966" s="38">
        <f t="shared" si="15"/>
        <v>952</v>
      </c>
      <c r="D966" s="38">
        <v>470.38708515994773</v>
      </c>
    </row>
    <row r="967" spans="1:4" x14ac:dyDescent="0.2">
      <c r="A967" s="38">
        <f t="shared" si="15"/>
        <v>953</v>
      </c>
      <c r="B967" s="38">
        <v>4935.7440923142121</v>
      </c>
      <c r="C967" s="38">
        <f t="shared" si="15"/>
        <v>953</v>
      </c>
      <c r="D967" s="38">
        <v>279.24266227704612</v>
      </c>
    </row>
    <row r="968" spans="1:4" x14ac:dyDescent="0.2">
      <c r="A968" s="38">
        <f t="shared" si="15"/>
        <v>954</v>
      </c>
      <c r="B968" s="38">
        <v>8421.262297868383</v>
      </c>
      <c r="C968" s="38">
        <f t="shared" si="15"/>
        <v>954</v>
      </c>
      <c r="D968" s="38">
        <v>360.23948487321672</v>
      </c>
    </row>
    <row r="969" spans="1:4" x14ac:dyDescent="0.2">
      <c r="A969" s="38">
        <f t="shared" si="15"/>
        <v>955</v>
      </c>
      <c r="B969" s="38">
        <v>5203.1734049337001</v>
      </c>
      <c r="C969" s="38">
        <f t="shared" si="15"/>
        <v>955</v>
      </c>
      <c r="D969" s="38">
        <v>352.97960191726247</v>
      </c>
    </row>
    <row r="970" spans="1:4" x14ac:dyDescent="0.2">
      <c r="A970" s="38">
        <f t="shared" si="15"/>
        <v>956</v>
      </c>
      <c r="B970" s="38">
        <v>9736.9299830416658</v>
      </c>
      <c r="C970" s="38">
        <f t="shared" si="15"/>
        <v>956</v>
      </c>
      <c r="D970" s="38">
        <v>401.83967491472231</v>
      </c>
    </row>
    <row r="971" spans="1:4" x14ac:dyDescent="0.2">
      <c r="A971" s="38">
        <f t="shared" si="15"/>
        <v>957</v>
      </c>
      <c r="B971" s="38">
        <v>18805.504017432166</v>
      </c>
      <c r="C971" s="38">
        <f t="shared" si="15"/>
        <v>957</v>
      </c>
      <c r="D971" s="38">
        <v>378.64149967671761</v>
      </c>
    </row>
    <row r="972" spans="1:4" x14ac:dyDescent="0.2">
      <c r="A972" s="38">
        <f t="shared" si="15"/>
        <v>958</v>
      </c>
      <c r="B972" s="38">
        <v>4579.1387934352751</v>
      </c>
      <c r="C972" s="38">
        <f t="shared" si="15"/>
        <v>958</v>
      </c>
      <c r="D972" s="38">
        <v>338.49752508005162</v>
      </c>
    </row>
    <row r="973" spans="1:4" x14ac:dyDescent="0.2">
      <c r="A973" s="38">
        <f t="shared" si="15"/>
        <v>959</v>
      </c>
      <c r="B973" s="38">
        <v>9534.5562177550964</v>
      </c>
      <c r="C973" s="38">
        <f t="shared" si="15"/>
        <v>959</v>
      </c>
      <c r="D973" s="38">
        <v>323.77393156920982</v>
      </c>
    </row>
    <row r="974" spans="1:4" x14ac:dyDescent="0.2">
      <c r="A974" s="38">
        <f t="shared" si="15"/>
        <v>960</v>
      </c>
      <c r="B974" s="38">
        <v>6953.8670822625336</v>
      </c>
      <c r="C974" s="38">
        <f t="shared" si="15"/>
        <v>960</v>
      </c>
      <c r="D974" s="38">
        <v>403.16211952760813</v>
      </c>
    </row>
    <row r="975" spans="1:4" x14ac:dyDescent="0.2">
      <c r="A975" s="38">
        <f t="shared" si="15"/>
        <v>961</v>
      </c>
      <c r="B975" s="38">
        <v>10564.780705729077</v>
      </c>
      <c r="C975" s="38">
        <f t="shared" si="15"/>
        <v>961</v>
      </c>
      <c r="D975" s="38">
        <v>358.17605676025573</v>
      </c>
    </row>
    <row r="976" spans="1:4" x14ac:dyDescent="0.2">
      <c r="A976" s="38">
        <f t="shared" si="15"/>
        <v>962</v>
      </c>
      <c r="B976" s="38">
        <v>12245.503314168944</v>
      </c>
      <c r="C976" s="38">
        <f t="shared" si="15"/>
        <v>962</v>
      </c>
      <c r="D976" s="38">
        <v>301.46343913321084</v>
      </c>
    </row>
    <row r="977" spans="1:4" x14ac:dyDescent="0.2">
      <c r="A977" s="38">
        <f t="shared" si="15"/>
        <v>963</v>
      </c>
      <c r="B977" s="38">
        <v>6348.4909420026197</v>
      </c>
      <c r="C977" s="38">
        <f t="shared" si="15"/>
        <v>963</v>
      </c>
      <c r="D977" s="38">
        <v>373.34771528423886</v>
      </c>
    </row>
    <row r="978" spans="1:4" x14ac:dyDescent="0.2">
      <c r="A978" s="38">
        <f t="shared" si="15"/>
        <v>964</v>
      </c>
      <c r="B978" s="38">
        <v>5747.826620271383</v>
      </c>
      <c r="C978" s="38">
        <f t="shared" si="15"/>
        <v>964</v>
      </c>
      <c r="D978" s="38">
        <v>458.67339055198653</v>
      </c>
    </row>
    <row r="979" spans="1:4" x14ac:dyDescent="0.2">
      <c r="A979" s="38">
        <f t="shared" si="15"/>
        <v>965</v>
      </c>
      <c r="B979" s="38">
        <v>4183.9145987469919</v>
      </c>
      <c r="C979" s="38">
        <f t="shared" si="15"/>
        <v>965</v>
      </c>
      <c r="D979" s="38">
        <v>388.66862394624434</v>
      </c>
    </row>
    <row r="980" spans="1:4" x14ac:dyDescent="0.2">
      <c r="A980" s="38">
        <f t="shared" si="15"/>
        <v>966</v>
      </c>
      <c r="B980" s="38">
        <v>8400.1412885269983</v>
      </c>
      <c r="C980" s="38">
        <f t="shared" si="15"/>
        <v>966</v>
      </c>
      <c r="D980" s="38">
        <v>353.34273618014748</v>
      </c>
    </row>
    <row r="981" spans="1:4" x14ac:dyDescent="0.2">
      <c r="A981" s="38">
        <f t="shared" si="15"/>
        <v>967</v>
      </c>
      <c r="B981" s="38">
        <v>1685.839370023185</v>
      </c>
      <c r="C981" s="38">
        <f t="shared" si="15"/>
        <v>967</v>
      </c>
      <c r="D981" s="38">
        <v>332.11539448672141</v>
      </c>
    </row>
    <row r="982" spans="1:4" x14ac:dyDescent="0.2">
      <c r="A982" s="38">
        <f t="shared" si="15"/>
        <v>968</v>
      </c>
      <c r="B982" s="38">
        <v>7567.7101409771385</v>
      </c>
      <c r="C982" s="38">
        <f t="shared" si="15"/>
        <v>968</v>
      </c>
      <c r="D982" s="38">
        <v>388.82254622820494</v>
      </c>
    </row>
    <row r="983" spans="1:4" x14ac:dyDescent="0.2">
      <c r="A983" s="38">
        <f t="shared" si="15"/>
        <v>969</v>
      </c>
      <c r="B983" s="38">
        <v>16337.567098317017</v>
      </c>
      <c r="C983" s="38">
        <f t="shared" si="15"/>
        <v>969</v>
      </c>
      <c r="D983" s="38">
        <v>300.64790962823218</v>
      </c>
    </row>
    <row r="984" spans="1:4" x14ac:dyDescent="0.2">
      <c r="A984" s="38">
        <f t="shared" ref="A984:C1000" si="16">A983+1</f>
        <v>970</v>
      </c>
      <c r="B984" s="38">
        <v>4372.8753439196853</v>
      </c>
      <c r="C984" s="38">
        <f t="shared" si="16"/>
        <v>970</v>
      </c>
      <c r="D984" s="38">
        <v>346.35526403901224</v>
      </c>
    </row>
    <row r="985" spans="1:4" x14ac:dyDescent="0.2">
      <c r="A985" s="38">
        <f t="shared" si="16"/>
        <v>971</v>
      </c>
      <c r="B985" s="38">
        <v>8144.5611609153721</v>
      </c>
      <c r="C985" s="38">
        <f t="shared" si="16"/>
        <v>971</v>
      </c>
      <c r="D985" s="38">
        <v>366.30193916061296</v>
      </c>
    </row>
    <row r="986" spans="1:4" x14ac:dyDescent="0.2">
      <c r="A986" s="38">
        <f t="shared" si="16"/>
        <v>972</v>
      </c>
      <c r="B986" s="38">
        <v>7797.55508732206</v>
      </c>
      <c r="C986" s="38">
        <f t="shared" si="16"/>
        <v>972</v>
      </c>
      <c r="D986" s="38">
        <v>368.36513274756919</v>
      </c>
    </row>
    <row r="987" spans="1:4" x14ac:dyDescent="0.2">
      <c r="A987" s="38">
        <f t="shared" si="16"/>
        <v>973</v>
      </c>
      <c r="B987" s="38">
        <v>3621.1268736792053</v>
      </c>
      <c r="C987" s="38">
        <f t="shared" si="16"/>
        <v>973</v>
      </c>
      <c r="D987" s="38">
        <v>341.45255534454651</v>
      </c>
    </row>
    <row r="988" spans="1:4" x14ac:dyDescent="0.2">
      <c r="A988" s="38">
        <f t="shared" si="16"/>
        <v>974</v>
      </c>
      <c r="B988" s="38">
        <v>10618.249288039919</v>
      </c>
      <c r="C988" s="38">
        <f t="shared" si="16"/>
        <v>974</v>
      </c>
      <c r="D988" s="38">
        <v>395.3138059927345</v>
      </c>
    </row>
    <row r="989" spans="1:4" x14ac:dyDescent="0.2">
      <c r="A989" s="38">
        <f t="shared" si="16"/>
        <v>975</v>
      </c>
      <c r="B989" s="38">
        <v>3764.0781290079813</v>
      </c>
      <c r="C989" s="38">
        <f t="shared" si="16"/>
        <v>975</v>
      </c>
      <c r="D989" s="38">
        <v>308.17773138100665</v>
      </c>
    </row>
    <row r="990" spans="1:4" x14ac:dyDescent="0.2">
      <c r="A990" s="38">
        <f t="shared" si="16"/>
        <v>976</v>
      </c>
      <c r="B990" s="38">
        <v>9751.8110592893172</v>
      </c>
      <c r="C990" s="38">
        <f t="shared" si="16"/>
        <v>976</v>
      </c>
      <c r="D990" s="38">
        <v>332.43241912426532</v>
      </c>
    </row>
    <row r="991" spans="1:4" x14ac:dyDescent="0.2">
      <c r="A991" s="38">
        <f t="shared" si="16"/>
        <v>977</v>
      </c>
      <c r="B991" s="38">
        <v>6317.9912449322101</v>
      </c>
      <c r="C991" s="38">
        <f t="shared" si="16"/>
        <v>977</v>
      </c>
      <c r="D991" s="38">
        <v>466.85844749499825</v>
      </c>
    </row>
    <row r="992" spans="1:4" x14ac:dyDescent="0.2">
      <c r="A992" s="38">
        <f t="shared" si="16"/>
        <v>978</v>
      </c>
      <c r="B992" s="38">
        <v>5334.9796325139559</v>
      </c>
      <c r="C992" s="38">
        <f t="shared" si="16"/>
        <v>978</v>
      </c>
      <c r="D992" s="38">
        <v>353.80724933300519</v>
      </c>
    </row>
    <row r="993" spans="1:4" x14ac:dyDescent="0.2">
      <c r="A993" s="38">
        <f t="shared" si="16"/>
        <v>979</v>
      </c>
      <c r="B993" s="38">
        <v>6495.3702343860868</v>
      </c>
      <c r="C993" s="38">
        <f t="shared" si="16"/>
        <v>979</v>
      </c>
      <c r="D993" s="38">
        <v>465.70939617022123</v>
      </c>
    </row>
    <row r="994" spans="1:4" x14ac:dyDescent="0.2">
      <c r="A994" s="38">
        <f t="shared" si="16"/>
        <v>980</v>
      </c>
      <c r="B994" s="38">
        <v>10433.8682824145</v>
      </c>
      <c r="C994" s="38">
        <f t="shared" si="16"/>
        <v>980</v>
      </c>
      <c r="D994" s="38">
        <v>326.19182304137814</v>
      </c>
    </row>
    <row r="995" spans="1:4" x14ac:dyDescent="0.2">
      <c r="A995" s="38">
        <f t="shared" si="16"/>
        <v>981</v>
      </c>
      <c r="B995" s="38">
        <v>3895.3586229356251</v>
      </c>
      <c r="C995" s="38">
        <f t="shared" si="16"/>
        <v>981</v>
      </c>
      <c r="D995" s="38">
        <v>394.33753232655584</v>
      </c>
    </row>
    <row r="996" spans="1:4" x14ac:dyDescent="0.2">
      <c r="A996" s="38">
        <f t="shared" si="16"/>
        <v>982</v>
      </c>
      <c r="B996" s="38">
        <v>10673.109018992001</v>
      </c>
      <c r="C996" s="38">
        <f t="shared" si="16"/>
        <v>982</v>
      </c>
      <c r="D996" s="38">
        <v>391.67842622721895</v>
      </c>
    </row>
    <row r="997" spans="1:4" x14ac:dyDescent="0.2">
      <c r="A997" s="38">
        <f t="shared" si="16"/>
        <v>983</v>
      </c>
      <c r="B997" s="38">
        <v>3347.2173666105559</v>
      </c>
      <c r="C997" s="38">
        <f t="shared" si="16"/>
        <v>983</v>
      </c>
      <c r="D997" s="38">
        <v>400.62356601848592</v>
      </c>
    </row>
    <row r="998" spans="1:4" x14ac:dyDescent="0.2">
      <c r="A998" s="38">
        <f t="shared" si="16"/>
        <v>984</v>
      </c>
      <c r="B998" s="38">
        <v>5346.893424236463</v>
      </c>
      <c r="C998" s="38">
        <f t="shared" si="16"/>
        <v>984</v>
      </c>
      <c r="D998" s="38">
        <v>334.26092963313272</v>
      </c>
    </row>
    <row r="999" spans="1:4" x14ac:dyDescent="0.2">
      <c r="A999" s="38">
        <f t="shared" si="16"/>
        <v>985</v>
      </c>
      <c r="B999" s="38">
        <v>3174.1652408506357</v>
      </c>
      <c r="C999" s="38">
        <f t="shared" si="16"/>
        <v>985</v>
      </c>
      <c r="D999" s="38">
        <v>369.3189745564722</v>
      </c>
    </row>
    <row r="1000" spans="1:4" x14ac:dyDescent="0.2">
      <c r="A1000" s="38">
        <f t="shared" si="16"/>
        <v>986</v>
      </c>
      <c r="B1000" s="38">
        <v>5589.0447960730198</v>
      </c>
      <c r="C1000" s="38">
        <f t="shared" si="16"/>
        <v>986</v>
      </c>
      <c r="D1000" s="38">
        <v>353.65294860740124</v>
      </c>
    </row>
    <row r="1001" spans="1:4" x14ac:dyDescent="0.2">
      <c r="A1001" s="38">
        <f t="shared" ref="A1001:C1010" si="17">A1000+1</f>
        <v>987</v>
      </c>
      <c r="B1001" s="38">
        <v>8230.1857270961282</v>
      </c>
      <c r="C1001" s="38">
        <f t="shared" si="17"/>
        <v>987</v>
      </c>
      <c r="D1001" s="38">
        <v>347.11694182757537</v>
      </c>
    </row>
    <row r="1002" spans="1:4" x14ac:dyDescent="0.2">
      <c r="A1002" s="38">
        <f t="shared" si="17"/>
        <v>988</v>
      </c>
      <c r="B1002" s="38">
        <v>6565.4796364210797</v>
      </c>
      <c r="C1002" s="38">
        <f t="shared" si="17"/>
        <v>988</v>
      </c>
      <c r="D1002" s="38">
        <v>333.99626468686915</v>
      </c>
    </row>
    <row r="1003" spans="1:4" x14ac:dyDescent="0.2">
      <c r="A1003" s="38">
        <f t="shared" si="17"/>
        <v>989</v>
      </c>
      <c r="B1003" s="38">
        <v>16298.416505241326</v>
      </c>
      <c r="C1003" s="38">
        <f t="shared" si="17"/>
        <v>989</v>
      </c>
      <c r="D1003" s="38">
        <v>320.47527014792809</v>
      </c>
    </row>
    <row r="1004" spans="1:4" x14ac:dyDescent="0.2">
      <c r="A1004" s="38">
        <f t="shared" si="17"/>
        <v>990</v>
      </c>
      <c r="B1004" s="38">
        <v>9413.9181948236546</v>
      </c>
      <c r="C1004" s="38">
        <f t="shared" si="17"/>
        <v>990</v>
      </c>
      <c r="D1004" s="38">
        <v>343.22898260312877</v>
      </c>
    </row>
    <row r="1005" spans="1:4" x14ac:dyDescent="0.2">
      <c r="A1005" s="38">
        <f t="shared" si="17"/>
        <v>991</v>
      </c>
      <c r="B1005" s="38">
        <v>7299.0679975921375</v>
      </c>
      <c r="C1005" s="38">
        <f t="shared" si="17"/>
        <v>991</v>
      </c>
      <c r="D1005" s="38">
        <v>394.26080843413388</v>
      </c>
    </row>
    <row r="1006" spans="1:4" x14ac:dyDescent="0.2">
      <c r="A1006" s="38">
        <f t="shared" si="17"/>
        <v>992</v>
      </c>
      <c r="B1006" s="38">
        <v>3830.3644869124028</v>
      </c>
      <c r="C1006" s="38">
        <f t="shared" si="17"/>
        <v>992</v>
      </c>
      <c r="D1006" s="38">
        <v>388.32474700617195</v>
      </c>
    </row>
    <row r="1007" spans="1:4" x14ac:dyDescent="0.2">
      <c r="A1007" s="38">
        <f t="shared" si="17"/>
        <v>993</v>
      </c>
      <c r="B1007" s="38">
        <v>10059.555438662082</v>
      </c>
      <c r="C1007" s="38">
        <f t="shared" si="17"/>
        <v>993</v>
      </c>
      <c r="D1007" s="38">
        <v>412.47408967711431</v>
      </c>
    </row>
    <row r="1008" spans="1:4" x14ac:dyDescent="0.2">
      <c r="A1008" s="38">
        <f t="shared" si="17"/>
        <v>994</v>
      </c>
      <c r="B1008" s="38">
        <v>7702.9345896205214</v>
      </c>
      <c r="C1008" s="38">
        <f t="shared" si="17"/>
        <v>994</v>
      </c>
      <c r="D1008" s="38">
        <v>342.4885080125797</v>
      </c>
    </row>
    <row r="1009" spans="1:4" x14ac:dyDescent="0.2">
      <c r="A1009" s="38">
        <f t="shared" si="17"/>
        <v>995</v>
      </c>
      <c r="B1009" s="38">
        <v>3730.5852733840579</v>
      </c>
      <c r="C1009" s="38">
        <f t="shared" si="17"/>
        <v>995</v>
      </c>
      <c r="D1009" s="38">
        <v>324.65185474211836</v>
      </c>
    </row>
    <row r="1010" spans="1:4" x14ac:dyDescent="0.2">
      <c r="A1010" s="38">
        <f t="shared" si="17"/>
        <v>996</v>
      </c>
      <c r="B1010" s="38">
        <v>6709.1643980381259</v>
      </c>
      <c r="C1010" s="38">
        <f t="shared" si="17"/>
        <v>996</v>
      </c>
      <c r="D1010" s="38">
        <v>385.03960693000795</v>
      </c>
    </row>
    <row r="1011" spans="1:4" x14ac:dyDescent="0.2">
      <c r="A1011" s="38">
        <f t="shared" ref="A1011:C1013" si="18">A1010+1</f>
        <v>997</v>
      </c>
      <c r="B1011" s="38">
        <v>5293.6137631366773</v>
      </c>
      <c r="C1011" s="38">
        <f t="shared" si="18"/>
        <v>997</v>
      </c>
      <c r="D1011" s="38">
        <v>448.47719682075751</v>
      </c>
    </row>
    <row r="1012" spans="1:4" x14ac:dyDescent="0.2">
      <c r="A1012" s="38">
        <f t="shared" si="18"/>
        <v>998</v>
      </c>
      <c r="B1012" s="38">
        <v>16097.835960625787</v>
      </c>
      <c r="C1012" s="38">
        <f t="shared" si="18"/>
        <v>998</v>
      </c>
      <c r="D1012" s="38">
        <v>350.24125210729659</v>
      </c>
    </row>
    <row r="1013" spans="1:4" x14ac:dyDescent="0.2">
      <c r="A1013" s="38">
        <f t="shared" si="18"/>
        <v>999</v>
      </c>
      <c r="B1013" s="38">
        <v>10577.657778245512</v>
      </c>
      <c r="C1013" s="38">
        <f t="shared" si="18"/>
        <v>999</v>
      </c>
      <c r="D1013" s="38">
        <v>441.85271246318428</v>
      </c>
    </row>
    <row r="1014" spans="1:4" x14ac:dyDescent="0.2">
      <c r="A1014" s="38">
        <f t="shared" ref="A1014:C1014" si="19">A1013+1</f>
        <v>1000</v>
      </c>
      <c r="B1014" s="38">
        <v>6948.6361746845423</v>
      </c>
      <c r="C1014" s="38">
        <f t="shared" si="19"/>
        <v>1000</v>
      </c>
      <c r="D1014" s="38">
        <v>328.20490613536191</v>
      </c>
    </row>
    <row r="1015" spans="1:4" x14ac:dyDescent="0.2">
      <c r="B1015" s="49" t="s">
        <v>155</v>
      </c>
      <c r="C1015" s="49" t="s">
        <v>155</v>
      </c>
    </row>
  </sheetData>
  <hyperlinks>
    <hyperlink ref="A1" location="Main!A1" display="Main" xr:uid="{38F51FC6-9BC8-4E1B-AFF0-6F5DC11B6E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Literature</vt:lpstr>
      <vt:lpstr>Model</vt:lpstr>
      <vt:lpstr>Alpha</vt:lpstr>
      <vt:lpstr>CC Model</vt:lpstr>
      <vt:lpstr>Management</vt:lpstr>
      <vt:lpstr>Q&amp;A</vt:lpstr>
      <vt:lpstr>Monte Carlo Simulation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Liam Render Flores</dc:creator>
  <cp:lastModifiedBy>Liam Render</cp:lastModifiedBy>
  <dcterms:created xsi:type="dcterms:W3CDTF">2025-04-18T01:52:05Z</dcterms:created>
  <dcterms:modified xsi:type="dcterms:W3CDTF">2026-04-19T23:48:42Z</dcterms:modified>
</cp:coreProperties>
</file>