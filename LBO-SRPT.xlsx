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7sher\Downloads\"/>
    </mc:Choice>
  </mc:AlternateContent>
  <xr:revisionPtr revIDLastSave="0" documentId="13_ncr:1_{D775B52D-9D04-40D6-ADCE-82B7AF836350}" xr6:coauthVersionLast="47" xr6:coauthVersionMax="47" xr10:uidLastSave="{00000000-0000-0000-0000-000000000000}"/>
  <bookViews>
    <workbookView xWindow="-105" yWindow="0" windowWidth="14610" windowHeight="15585" activeTab="1" xr2:uid="{DC529969-0FFC-4849-AB27-3C9B9981265E}"/>
  </bookViews>
  <sheets>
    <sheet name="Main" sheetId="1" r:id="rId1"/>
    <sheet name="Model" sheetId="2" r:id="rId2"/>
    <sheet name="IP" sheetId="5" r:id="rId3"/>
    <sheet name="Literature" sheetId="4" r:id="rId4"/>
    <sheet name="elevidys" sheetId="3" r:id="rId5"/>
    <sheet name="exondys" sheetId="6" r:id="rId6"/>
    <sheet name="vyondys" sheetId="7" r:id="rId7"/>
    <sheet name="amondys" sheetId="8" r:id="rId8"/>
    <sheet name="SRP-9003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0" i="3" l="1"/>
  <c r="F30" i="3"/>
  <c r="G30" i="3"/>
  <c r="H30" i="3"/>
  <c r="I30" i="3"/>
  <c r="J30" i="3"/>
  <c r="K30" i="3"/>
  <c r="L30" i="3"/>
  <c r="M30" i="3"/>
  <c r="N30" i="3"/>
  <c r="O30" i="3"/>
  <c r="D30" i="3"/>
  <c r="P48" i="2"/>
  <c r="Q59" i="2"/>
  <c r="Q52" i="2"/>
  <c r="Q51" i="2"/>
  <c r="Q54" i="2" s="1"/>
  <c r="S3" i="2"/>
  <c r="S5" i="2" s="1"/>
  <c r="T3" i="2"/>
  <c r="T5" i="2" s="1"/>
  <c r="U3" i="2"/>
  <c r="U5" i="2" s="1"/>
  <c r="R3" i="2"/>
  <c r="R5" i="2" s="1"/>
  <c r="G23" i="2"/>
  <c r="Q12" i="2" s="1"/>
  <c r="C29" i="3"/>
  <c r="C33" i="3"/>
  <c r="M26" i="3"/>
  <c r="N26" i="3" s="1"/>
  <c r="M27" i="3"/>
  <c r="M29" i="3"/>
  <c r="M25" i="3"/>
  <c r="N25" i="3"/>
  <c r="O25" i="3" s="1"/>
  <c r="H5" i="2"/>
  <c r="I5" i="2" s="1"/>
  <c r="J5" i="2" s="1"/>
  <c r="C26" i="3"/>
  <c r="Q9" i="2"/>
  <c r="R9" i="2" s="1"/>
  <c r="S9" i="2" s="1"/>
  <c r="T9" i="2" s="1"/>
  <c r="U9" i="2" s="1"/>
  <c r="Q55" i="2" l="1"/>
  <c r="Q58" i="2"/>
  <c r="Q61" i="2" s="1"/>
  <c r="N27" i="3"/>
  <c r="N29" i="3" s="1"/>
  <c r="O26" i="3"/>
  <c r="O27" i="3" s="1"/>
  <c r="O29" i="3" s="1"/>
  <c r="D26" i="3"/>
  <c r="D27" i="3" s="1"/>
  <c r="D29" i="3" s="1"/>
  <c r="E26" i="3"/>
  <c r="E27" i="3" s="1"/>
  <c r="E29" i="3" s="1"/>
  <c r="D25" i="3"/>
  <c r="E25" i="3" s="1"/>
  <c r="F25" i="3" s="1"/>
  <c r="G25" i="3" s="1"/>
  <c r="H25" i="3" s="1"/>
  <c r="I25" i="3" s="1"/>
  <c r="J25" i="3" s="1"/>
  <c r="K25" i="3" s="1"/>
  <c r="L25" i="3" s="1"/>
  <c r="Q21" i="2"/>
  <c r="Q19" i="2"/>
  <c r="R21" i="2"/>
  <c r="U21" i="2"/>
  <c r="P36" i="2"/>
  <c r="P37" i="2"/>
  <c r="P31" i="2"/>
  <c r="P28" i="2"/>
  <c r="P24" i="2"/>
  <c r="Q6" i="2"/>
  <c r="Q16" i="2"/>
  <c r="R16" i="2" s="1"/>
  <c r="S16" i="2" s="1"/>
  <c r="T16" i="2" s="1"/>
  <c r="U16" i="2" s="1"/>
  <c r="Q10" i="2"/>
  <c r="P21" i="2"/>
  <c r="O21" i="2"/>
  <c r="D20" i="2"/>
  <c r="E20" i="2"/>
  <c r="F20" i="2"/>
  <c r="G20" i="2"/>
  <c r="H20" i="2"/>
  <c r="I20" i="2"/>
  <c r="J20" i="2"/>
  <c r="C20" i="2"/>
  <c r="P19" i="2"/>
  <c r="O19" i="2"/>
  <c r="M10" i="2"/>
  <c r="N10" i="2"/>
  <c r="O10" i="2"/>
  <c r="P10" i="2"/>
  <c r="L10" i="2"/>
  <c r="M7" i="2"/>
  <c r="L7" i="2"/>
  <c r="O7" i="2"/>
  <c r="O20" i="2" s="1"/>
  <c r="P7" i="2"/>
  <c r="P20" i="2" s="1"/>
  <c r="N7" i="2"/>
  <c r="M2" i="2"/>
  <c r="N2" i="2" s="1"/>
  <c r="O2" i="2" s="1"/>
  <c r="P2" i="2" s="1"/>
  <c r="Q2" i="2" s="1"/>
  <c r="R2" i="2" s="1"/>
  <c r="S2" i="2" s="1"/>
  <c r="T2" i="2" s="1"/>
  <c r="U2" i="2" s="1"/>
  <c r="K6" i="1"/>
  <c r="K5" i="1"/>
  <c r="K3" i="1"/>
  <c r="K4" i="1"/>
  <c r="P23" i="2" l="1"/>
  <c r="P42" i="2"/>
  <c r="P32" i="2"/>
  <c r="P44" i="2" s="1"/>
  <c r="P45" i="2" s="1"/>
  <c r="T21" i="2"/>
  <c r="S21" i="2"/>
  <c r="S19" i="2"/>
  <c r="R19" i="2"/>
  <c r="K7" i="1"/>
  <c r="F26" i="3"/>
  <c r="F27" i="3" s="1"/>
  <c r="F29" i="3" s="1"/>
  <c r="M11" i="2"/>
  <c r="M13" i="2" s="1"/>
  <c r="M15" i="2" s="1"/>
  <c r="M17" i="2" s="1"/>
  <c r="L11" i="2"/>
  <c r="L13" i="2" s="1"/>
  <c r="L15" i="2" s="1"/>
  <c r="L17" i="2" s="1"/>
  <c r="P11" i="2"/>
  <c r="Q64" i="2" s="1"/>
  <c r="Q7" i="2"/>
  <c r="Q11" i="2" s="1"/>
  <c r="N11" i="2"/>
  <c r="N13" i="2" s="1"/>
  <c r="N15" i="2" s="1"/>
  <c r="N17" i="2" s="1"/>
  <c r="S6" i="2"/>
  <c r="S7" i="2" s="1"/>
  <c r="R6" i="2"/>
  <c r="R7" i="2" s="1"/>
  <c r="T6" i="2"/>
  <c r="M20" i="2"/>
  <c r="L20" i="2"/>
  <c r="N20" i="2"/>
  <c r="O11" i="2"/>
  <c r="O13" i="2" s="1"/>
  <c r="O15" i="2" s="1"/>
  <c r="O17" i="2" s="1"/>
  <c r="P13" i="2" l="1"/>
  <c r="P15" i="2" s="1"/>
  <c r="P17" i="2" s="1"/>
  <c r="Q13" i="2"/>
  <c r="Q75" i="2"/>
  <c r="U19" i="2"/>
  <c r="T19" i="2"/>
  <c r="G26" i="3"/>
  <c r="G27" i="3" s="1"/>
  <c r="G29" i="3" s="1"/>
  <c r="R10" i="2"/>
  <c r="R11" i="2" s="1"/>
  <c r="R75" i="2" s="1"/>
  <c r="Q14" i="2"/>
  <c r="Q15" i="2" s="1"/>
  <c r="T7" i="2"/>
  <c r="R70" i="2" l="1"/>
  <c r="S70" i="2"/>
  <c r="T70" i="2"/>
  <c r="U70" i="2"/>
  <c r="Q70" i="2"/>
  <c r="Q69" i="2"/>
  <c r="Q37" i="2" s="1"/>
  <c r="Q65" i="2"/>
  <c r="H26" i="3"/>
  <c r="H27" i="3" s="1"/>
  <c r="H29" i="3" s="1"/>
  <c r="S10" i="2"/>
  <c r="S11" i="2" s="1"/>
  <c r="S75" i="2" s="1"/>
  <c r="U6" i="2"/>
  <c r="U7" i="2" s="1"/>
  <c r="Q17" i="2"/>
  <c r="Q23" i="2" l="1"/>
  <c r="R12" i="2" s="1"/>
  <c r="R13" i="2" s="1"/>
  <c r="R69" i="2"/>
  <c r="R71" i="2" s="1"/>
  <c r="R72" i="2" s="1"/>
  <c r="R73" i="2" s="1"/>
  <c r="R37" i="2"/>
  <c r="Q66" i="2"/>
  <c r="R64" i="2" s="1"/>
  <c r="R14" i="2"/>
  <c r="R15" i="2" s="1"/>
  <c r="I26" i="3"/>
  <c r="I27" i="3" s="1"/>
  <c r="I29" i="3" s="1"/>
  <c r="T10" i="2"/>
  <c r="T11" i="2" s="1"/>
  <c r="T75" i="2" s="1"/>
  <c r="U10" i="2"/>
  <c r="U11" i="2" s="1"/>
  <c r="R24" i="2" l="1"/>
  <c r="Q67" i="2"/>
  <c r="S37" i="2"/>
  <c r="S69" i="2"/>
  <c r="S71" i="2" s="1"/>
  <c r="S72" i="2" s="1"/>
  <c r="S73" i="2" s="1"/>
  <c r="R65" i="2"/>
  <c r="U75" i="2"/>
  <c r="Q78" i="2"/>
  <c r="R23" i="2"/>
  <c r="S12" i="2" s="1"/>
  <c r="S13" i="2" s="1"/>
  <c r="S14" i="2" s="1"/>
  <c r="R76" i="2"/>
  <c r="R17" i="2"/>
  <c r="J26" i="3"/>
  <c r="J27" i="3" s="1"/>
  <c r="J29" i="3" s="1"/>
  <c r="T69" i="2" l="1"/>
  <c r="T71" i="2" s="1"/>
  <c r="T72" i="2" s="1"/>
  <c r="T73" i="2" s="1"/>
  <c r="T37" i="2"/>
  <c r="S15" i="2"/>
  <c r="S76" i="2"/>
  <c r="S17" i="2"/>
  <c r="K26" i="3"/>
  <c r="K27" i="3" s="1"/>
  <c r="K29" i="3" s="1"/>
  <c r="S24" i="2" l="1"/>
  <c r="S23" i="2" s="1"/>
  <c r="T12" i="2" s="1"/>
  <c r="T13" i="2" s="1"/>
  <c r="U37" i="2"/>
  <c r="U69" i="2"/>
  <c r="U71" i="2" s="1"/>
  <c r="U72" i="2" s="1"/>
  <c r="U73" i="2" s="1"/>
  <c r="T14" i="2"/>
  <c r="T76" i="2" s="1"/>
  <c r="L26" i="3"/>
  <c r="L27" i="3" s="1"/>
  <c r="L29" i="3" s="1"/>
  <c r="T15" i="2" l="1"/>
  <c r="T24" i="2" s="1"/>
  <c r="T23" i="2"/>
  <c r="U12" i="2"/>
  <c r="U13" i="2" s="1"/>
  <c r="T17" i="2"/>
  <c r="U14" i="2" l="1"/>
  <c r="U15" i="2" l="1"/>
  <c r="U76" i="2"/>
  <c r="U17" i="2"/>
  <c r="V15" i="2"/>
  <c r="U24" i="2" l="1"/>
  <c r="U23" i="2" s="1"/>
  <c r="Q80" i="2" s="1"/>
  <c r="Q81" i="2" s="1"/>
  <c r="Q82" i="2" s="1"/>
  <c r="U54" i="2" s="1"/>
  <c r="W15" i="2"/>
  <c r="X15" i="2" s="1"/>
  <c r="Y15" i="2" s="1"/>
  <c r="Z15" i="2" s="1"/>
  <c r="AA15" i="2" s="1"/>
  <c r="AB15" i="2" s="1"/>
  <c r="AC15" i="2" s="1"/>
  <c r="AD15" i="2" s="1"/>
  <c r="AE15" i="2" s="1"/>
  <c r="AF15" i="2" s="1"/>
  <c r="AG15" i="2" s="1"/>
  <c r="AH15" i="2" s="1"/>
  <c r="AI15" i="2" s="1"/>
  <c r="AJ15" i="2" s="1"/>
  <c r="AK15" i="2" s="1"/>
  <c r="AL15" i="2" s="1"/>
  <c r="AM15" i="2" s="1"/>
  <c r="AN15" i="2" s="1"/>
  <c r="AO15" i="2" s="1"/>
  <c r="AP15" i="2" s="1"/>
  <c r="AQ15" i="2" s="1"/>
  <c r="AR15" i="2" s="1"/>
  <c r="AS15" i="2" s="1"/>
  <c r="AT15" i="2" s="1"/>
  <c r="AU15" i="2" s="1"/>
  <c r="AV15" i="2" s="1"/>
  <c r="AW15" i="2" s="1"/>
  <c r="AX15" i="2" s="1"/>
  <c r="AY15" i="2" s="1"/>
  <c r="AZ15" i="2" s="1"/>
  <c r="BA15" i="2" s="1"/>
  <c r="BB15" i="2" s="1"/>
  <c r="BC15" i="2" s="1"/>
  <c r="BD15" i="2" s="1"/>
  <c r="BE15" i="2" s="1"/>
  <c r="BF15" i="2" s="1"/>
  <c r="BG15" i="2" s="1"/>
  <c r="BH15" i="2" s="1"/>
  <c r="BI15" i="2" s="1"/>
  <c r="BJ15" i="2" s="1"/>
  <c r="BK15" i="2" s="1"/>
  <c r="BL15" i="2" s="1"/>
  <c r="BM15" i="2" s="1"/>
  <c r="BN15" i="2" s="1"/>
  <c r="BO15" i="2" s="1"/>
  <c r="BP15" i="2" s="1"/>
  <c r="BQ15" i="2" s="1"/>
  <c r="BR15" i="2" s="1"/>
  <c r="BS15" i="2" s="1"/>
  <c r="BT15" i="2" s="1"/>
  <c r="BU15" i="2" s="1"/>
  <c r="BV15" i="2" s="1"/>
  <c r="BW15" i="2" s="1"/>
  <c r="BX15" i="2" s="1"/>
  <c r="BY15" i="2" s="1"/>
  <c r="BZ15" i="2" s="1"/>
  <c r="CA15" i="2" s="1"/>
  <c r="CB15" i="2" s="1"/>
  <c r="CC15" i="2" s="1"/>
  <c r="CD15" i="2" s="1"/>
  <c r="CE15" i="2" s="1"/>
  <c r="CF15" i="2" s="1"/>
  <c r="CG15" i="2" s="1"/>
  <c r="CH15" i="2" s="1"/>
  <c r="CI15" i="2" s="1"/>
  <c r="CJ15" i="2" s="1"/>
  <c r="CK15" i="2" s="1"/>
  <c r="CL15" i="2" s="1"/>
  <c r="CM15" i="2" s="1"/>
  <c r="CN15" i="2" s="1"/>
  <c r="CO15" i="2" s="1"/>
  <c r="CP15" i="2" s="1"/>
  <c r="CQ15" i="2" s="1"/>
  <c r="CR15" i="2" s="1"/>
  <c r="CS15" i="2" s="1"/>
  <c r="CT15" i="2" s="1"/>
  <c r="CU15" i="2" s="1"/>
  <c r="CV15" i="2" s="1"/>
  <c r="CW15" i="2" s="1"/>
  <c r="CX15" i="2" s="1"/>
  <c r="CY15" i="2" s="1"/>
  <c r="CZ15" i="2" s="1"/>
  <c r="DA15" i="2" s="1"/>
  <c r="DB15" i="2" s="1"/>
  <c r="DC15" i="2" s="1"/>
  <c r="DD15" i="2" s="1"/>
  <c r="X11" i="2" s="1"/>
  <c r="DE15" i="2" l="1"/>
  <c r="DF15" i="2" s="1"/>
  <c r="DG15" i="2" s="1"/>
  <c r="DH15" i="2" s="1"/>
  <c r="DI15" i="2" s="1"/>
  <c r="X12" i="2"/>
  <c r="X13" i="2" s="1"/>
  <c r="Q71" i="2"/>
  <c r="Q72" i="2" s="1"/>
  <c r="Q73" i="2" s="1"/>
  <c r="Q76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tc={CEB24C3D-CDB8-489E-9110-E6019D26EA47}</author>
    <author>tc={79DC77E4-A692-4259-AB0E-8B56CE6E46AF}</author>
    <author>tc={48100E8E-BDB8-4D88-939B-4F9E2EE30617}</author>
    <author>tc={29C7A399-A47C-4B6E-9A0A-8D0D90348A60}</author>
  </authors>
  <commentList>
    <comment ref="Q5" authorId="0" shapeId="0" xr:uid="{CEB24C3D-CDB8-489E-9110-E6019D26EA47}">
      <text>
        <t>[Threaded comment]
Your version of Excel allows you to read this threaded comment; however, any edits to it will get removed if the file is opened in a newer version of Excel. Learn more: https://go.microsoft.com/fwlink/?linkid=870924
Comment:
    guidance</t>
      </text>
    </comment>
    <comment ref="Q64" authorId="1" shapeId="0" xr:uid="{79DC77E4-A692-4259-AB0E-8B56CE6E46AF}">
      <text>
        <t>[Threaded comment]
Your version of Excel allows you to read this threaded comment; however, any edits to it will get removed if the file is opened in a newer version of Excel. Learn more: https://go.microsoft.com/fwlink/?linkid=870924
Comment:
    6x leverage multiple</t>
      </text>
    </comment>
    <comment ref="Q73" authorId="2" shapeId="0" xr:uid="{48100E8E-BDB8-4D88-939B-4F9E2EE3061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8% interest rate
</t>
      </text>
    </comment>
    <comment ref="Q79" authorId="3" shapeId="0" xr:uid="{29C7A399-A47C-4B6E-9A0A-8D0D90348A60}">
      <text>
        <t>[Threaded comment]
Your version of Excel allows you to read this threaded comment; however, any edits to it will get removed if the file is opened in a newer version of Excel. Learn more: https://go.microsoft.com/fwlink/?linkid=870924
Comment:
    After elividys growth the many DMD competitors will start to enter the market and the revenue will stabilize at a lower multiple</t>
      </text>
    </comment>
  </commentList>
</comments>
</file>

<file path=xl/sharedStrings.xml><?xml version="1.0" encoding="utf-8"?>
<sst xmlns="http://schemas.openxmlformats.org/spreadsheetml/2006/main" count="229" uniqueCount="163">
  <si>
    <t>Price</t>
  </si>
  <si>
    <t>Shares</t>
  </si>
  <si>
    <t>MC</t>
  </si>
  <si>
    <t>Cash</t>
  </si>
  <si>
    <t>Debt</t>
  </si>
  <si>
    <t>EV</t>
  </si>
  <si>
    <t>Name</t>
  </si>
  <si>
    <t>Indication</t>
  </si>
  <si>
    <t>Approved</t>
  </si>
  <si>
    <t>Phase</t>
  </si>
  <si>
    <t>MOA</t>
  </si>
  <si>
    <t>Economics</t>
  </si>
  <si>
    <t>IP</t>
  </si>
  <si>
    <t>Main</t>
  </si>
  <si>
    <t>Gene Therapy</t>
  </si>
  <si>
    <t>Exondys (eteplirsen)</t>
  </si>
  <si>
    <t>Vyondys (golodirsen)</t>
  </si>
  <si>
    <t>Amondys (casimersen)</t>
  </si>
  <si>
    <t>Elevidys (delandistrogen moxeparvovec-rokl)</t>
  </si>
  <si>
    <t>SRP-9003 (biridistrogene xeboparvovec)</t>
  </si>
  <si>
    <t>SRP-9004 (patidistrogene bexoparvovec)</t>
  </si>
  <si>
    <t>SRP-1004 (ARO-ATXN2)</t>
  </si>
  <si>
    <t>SRP-1003 (ARO-DM1)</t>
  </si>
  <si>
    <t xml:space="preserve">SRP-6004 </t>
  </si>
  <si>
    <t>SRP-1001 (ARO-DUX4)</t>
  </si>
  <si>
    <t>SRP-1002 (ARO-MMP7)</t>
  </si>
  <si>
    <t>FDA voluntarily asked SRPT to halt Elevidys shipments; SRPT refused</t>
  </si>
  <si>
    <t>Q125</t>
  </si>
  <si>
    <t>Revenue</t>
  </si>
  <si>
    <t>Q124</t>
  </si>
  <si>
    <t>Q224</t>
  </si>
  <si>
    <t>Q324</t>
  </si>
  <si>
    <t>Q424</t>
  </si>
  <si>
    <t>FDA remove request to halt</t>
  </si>
  <si>
    <t>Q225</t>
  </si>
  <si>
    <t>Q325</t>
  </si>
  <si>
    <t>Q425</t>
  </si>
  <si>
    <t>COGS</t>
  </si>
  <si>
    <t>Gross Profit</t>
  </si>
  <si>
    <t>SG&amp;A</t>
  </si>
  <si>
    <t>R&amp;D</t>
  </si>
  <si>
    <t>Operating Expenses</t>
  </si>
  <si>
    <t>Interest Income</t>
  </si>
  <si>
    <t>Pretax Income</t>
  </si>
  <si>
    <t>Tax</t>
  </si>
  <si>
    <t>Net Income</t>
  </si>
  <si>
    <t>EPS</t>
  </si>
  <si>
    <t>Revenue y/y</t>
  </si>
  <si>
    <t>Net Cash</t>
  </si>
  <si>
    <t>AR</t>
  </si>
  <si>
    <t>AP</t>
  </si>
  <si>
    <t>SG&amp;A y/y</t>
  </si>
  <si>
    <t>ROIC</t>
  </si>
  <si>
    <t>Maturity</t>
  </si>
  <si>
    <t>Discount</t>
  </si>
  <si>
    <t>NPV</t>
  </si>
  <si>
    <t>Share</t>
  </si>
  <si>
    <t>Inventories</t>
  </si>
  <si>
    <t>Prepaids &amp; Deposits</t>
  </si>
  <si>
    <t>OCA</t>
  </si>
  <si>
    <t>PP&amp;E</t>
  </si>
  <si>
    <t>ROU</t>
  </si>
  <si>
    <t>ONCA</t>
  </si>
  <si>
    <t>Accrued Expenses</t>
  </si>
  <si>
    <t>Deferred Revenue</t>
  </si>
  <si>
    <t>OCL</t>
  </si>
  <si>
    <t>Lease Liablities</t>
  </si>
  <si>
    <t>Contingent</t>
  </si>
  <si>
    <t>ONCL</t>
  </si>
  <si>
    <t>Liablities</t>
  </si>
  <si>
    <t>Assets</t>
  </si>
  <si>
    <t>SE</t>
  </si>
  <si>
    <t>L+SE</t>
  </si>
  <si>
    <t>DMD</t>
  </si>
  <si>
    <t>Brand</t>
  </si>
  <si>
    <t>Generic</t>
  </si>
  <si>
    <t>Clinical Trials</t>
  </si>
  <si>
    <t>Competition</t>
  </si>
  <si>
    <t>Regulatory</t>
  </si>
  <si>
    <t>Phase III "EXPEDITION" in DMD n=400 NCT:NCT05967351</t>
  </si>
  <si>
    <t>Phase III "ENVISION" in DMD n=148 NCT:NCT05881408</t>
  </si>
  <si>
    <t>US Patient Pool</t>
  </si>
  <si>
    <t>Treated</t>
  </si>
  <si>
    <t>Elevidys, SRP-9001</t>
  </si>
  <si>
    <t>delandistrogen moxeparvovec-rokl</t>
  </si>
  <si>
    <t>Read</t>
  </si>
  <si>
    <t>Relevance</t>
  </si>
  <si>
    <t>Topic</t>
  </si>
  <si>
    <t>Title</t>
  </si>
  <si>
    <t>search terms="</t>
  </si>
  <si>
    <t>Patent</t>
  </si>
  <si>
    <t>Notes</t>
  </si>
  <si>
    <t>Phase I/IIa "" in DMD n= NCT:NCT03375164</t>
  </si>
  <si>
    <t>Phase I/II "" in DMD n= NCT:NCT03769116</t>
  </si>
  <si>
    <t>CEO: Douglas S. Ingram</t>
  </si>
  <si>
    <t>COO: Ian M. Estepan</t>
  </si>
  <si>
    <t>CCO: Patrick E. Moss, Pharm.D.</t>
  </si>
  <si>
    <t>R&amp;D: Louise R. Rodino-Klapac, Ph.D.</t>
  </si>
  <si>
    <t>CFO: Ryan H. Wong</t>
  </si>
  <si>
    <t>Richard Barry - Part of Board of Directors</t>
  </si>
  <si>
    <t>PMO</t>
  </si>
  <si>
    <t>Approved 2019</t>
  </si>
  <si>
    <t>Approved 2021</t>
  </si>
  <si>
    <t>DMD patients w/ mutation of the dystrophin gene that is amenable to exondys skipping</t>
  </si>
  <si>
    <t>Skips exon 45 of the dystrophin gene</t>
  </si>
  <si>
    <t>targets the most frequent series of mutations that cause DMD</t>
  </si>
  <si>
    <t>"approx 13% of patients are amenable to exon 51 skipping"</t>
  </si>
  <si>
    <t>"approx. 8% of patients are amenable to exon 45 skipping"</t>
  </si>
  <si>
    <t>"approx 8% of DMD patients are amenable to exon 53 skipping"</t>
  </si>
  <si>
    <t>AAV-based Gene Therapy</t>
  </si>
  <si>
    <t>AAV Gene Therapy</t>
  </si>
  <si>
    <t>Ambulatory</t>
  </si>
  <si>
    <t>non-ambulatory approval adds ~1.1b</t>
  </si>
  <si>
    <t>"elevidys is contraindicated in patients w/ any deletion in exon 8 and or exon 9 in the duchenne gene"</t>
  </si>
  <si>
    <t>PMOs</t>
  </si>
  <si>
    <t>Elevidys</t>
  </si>
  <si>
    <t>LGMD2E</t>
  </si>
  <si>
    <t>III</t>
  </si>
  <si>
    <t>siRNA</t>
  </si>
  <si>
    <t>Phase I/IIa "" in LGMD n= NCT:</t>
  </si>
  <si>
    <t>Phase III "EMERGENE" in LGMD n= NCT:</t>
  </si>
  <si>
    <t>SRP-9003</t>
  </si>
  <si>
    <t>bidridistrogene xeboparvovec</t>
  </si>
  <si>
    <t>Additionally, we are eligible to receive up to $1.7 billion in development, regulatory and sales milestone payments with respect to ELEVIDYS</t>
  </si>
  <si>
    <t>Roche</t>
  </si>
  <si>
    <t>In addition, the Roche Agreement provides that Roche will pay us royalties on net sales of ELEVIDYS, at a tiered royalty rate based on the average cost to manufacture ELEVIDYS.</t>
  </si>
  <si>
    <t>Entry</t>
  </si>
  <si>
    <t>Exit</t>
  </si>
  <si>
    <t>Interest Expense</t>
  </si>
  <si>
    <t>Entry Multiple</t>
  </si>
  <si>
    <t>Exit Multiple</t>
  </si>
  <si>
    <t>EBITDA</t>
  </si>
  <si>
    <t>IRR</t>
  </si>
  <si>
    <t>MOIC</t>
  </si>
  <si>
    <t>Equity Premium</t>
  </si>
  <si>
    <t>Sensitivity Analysis</t>
  </si>
  <si>
    <t>risk-adj Revenue</t>
  </si>
  <si>
    <t>Share Price</t>
  </si>
  <si>
    <t>Shares Outstanding</t>
  </si>
  <si>
    <t>Entry Premium</t>
  </si>
  <si>
    <t>Purchase Price</t>
  </si>
  <si>
    <t>Transaction Value</t>
  </si>
  <si>
    <t>Uses</t>
  </si>
  <si>
    <t>Sources</t>
  </si>
  <si>
    <t>Purchase Equity</t>
  </si>
  <si>
    <t>Refinance Debt</t>
  </si>
  <si>
    <t>Fees</t>
  </si>
  <si>
    <t>Total Uses</t>
  </si>
  <si>
    <t>New Term Loan</t>
  </si>
  <si>
    <t>Sponsor Equity</t>
  </si>
  <si>
    <t>Beginning Debt</t>
  </si>
  <si>
    <t>Mandatory Amort</t>
  </si>
  <si>
    <t>Cash Sweep</t>
  </si>
  <si>
    <t>Ending Debt</t>
  </si>
  <si>
    <t>FCF for Debt</t>
  </si>
  <si>
    <t>Exit EBITDA</t>
  </si>
  <si>
    <t>Exit EV</t>
  </si>
  <si>
    <t>CapEx</t>
  </si>
  <si>
    <t>CIWC</t>
  </si>
  <si>
    <t>LBO</t>
  </si>
  <si>
    <t xml:space="preserve"> </t>
  </si>
  <si>
    <t>Total Sources</t>
  </si>
  <si>
    <t>Sponsor Floor = 20% IRR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</si>
</sst>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.0"/>
  </numFmts>
  <fonts count="6" x14ac:knownFonts="1">
    <font>
      <sz val="10"/>
      <color theme="1"/>
      <name val="Arial"/>
      <family val="2"/>
    </font>
    <font>
      <u/>
      <sz val="10"/>
      <color theme="10"/>
      <name val="Arial"/>
      <family val="2"/>
    </font>
    <font>
      <b/>
      <sz val="10"/>
      <color theme="1"/>
      <name val="Arial"/>
      <family val="2"/>
    </font>
    <font>
      <b/>
      <u/>
      <sz val="10"/>
      <color theme="1"/>
      <name val="Arial"/>
      <family val="2"/>
    </font>
    <font>
      <sz val="9"/>
      <color indexed="81"/>
      <name val="Tahoma"/>
      <family val="2"/>
    </font>
    <font>
      <u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9">
    <xf numFmtId="0" fontId="0" fillId="0" borderId="0" xfId="0"/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4" xfId="0" applyBorder="1"/>
    <xf numFmtId="0" fontId="0" fillId="0" borderId="5" xfId="0" applyBorder="1"/>
    <xf numFmtId="14" fontId="0" fillId="0" borderId="0" xfId="0" applyNumberFormat="1"/>
    <xf numFmtId="0" fontId="1" fillId="0" borderId="1" xfId="1" applyFill="1" applyBorder="1"/>
    <xf numFmtId="4" fontId="0" fillId="0" borderId="0" xfId="0" applyNumberFormat="1"/>
    <xf numFmtId="3" fontId="0" fillId="0" borderId="0" xfId="0" applyNumberFormat="1"/>
    <xf numFmtId="3" fontId="1" fillId="0" borderId="0" xfId="1" applyNumberFormat="1"/>
    <xf numFmtId="1" fontId="0" fillId="0" borderId="0" xfId="0" applyNumberFormat="1"/>
    <xf numFmtId="3" fontId="2" fillId="0" borderId="0" xfId="0" applyNumberFormat="1" applyFont="1"/>
    <xf numFmtId="9" fontId="2" fillId="0" borderId="0" xfId="0" applyNumberFormat="1" applyFont="1"/>
    <xf numFmtId="9" fontId="0" fillId="0" borderId="0" xfId="0" applyNumberFormat="1"/>
    <xf numFmtId="0" fontId="1" fillId="0" borderId="0" xfId="1"/>
    <xf numFmtId="0" fontId="3" fillId="0" borderId="0" xfId="0" applyFont="1"/>
    <xf numFmtId="38" fontId="0" fillId="0" borderId="0" xfId="0" applyNumberFormat="1"/>
    <xf numFmtId="0" fontId="0" fillId="0" borderId="4" xfId="0" applyBorder="1" applyAlignment="1">
      <alignment horizontal="center"/>
    </xf>
    <xf numFmtId="0" fontId="1" fillId="0" borderId="1" xfId="1" applyBorder="1" applyAlignment="1">
      <alignment horizontal="left"/>
    </xf>
    <xf numFmtId="0" fontId="1" fillId="0" borderId="3" xfId="1" applyBorder="1" applyAlignment="1">
      <alignment horizontal="left"/>
    </xf>
    <xf numFmtId="164" fontId="0" fillId="0" borderId="0" xfId="0" applyNumberFormat="1"/>
    <xf numFmtId="3" fontId="0" fillId="0" borderId="0" xfId="0" applyNumberFormat="1" applyFont="1"/>
    <xf numFmtId="3" fontId="3" fillId="0" borderId="0" xfId="0" applyNumberFormat="1" applyFont="1"/>
    <xf numFmtId="3" fontId="5" fillId="0" borderId="0" xfId="0" applyNumberFormat="1" applyFont="1"/>
    <xf numFmtId="165" fontId="0" fillId="0" borderId="0" xfId="0" applyNumberFormat="1"/>
    <xf numFmtId="9" fontId="0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586154</xdr:colOff>
      <xdr:row>0</xdr:row>
      <xdr:rowOff>109904</xdr:rowOff>
    </xdr:from>
    <xdr:to>
      <xdr:col>16</xdr:col>
      <xdr:colOff>8283</xdr:colOff>
      <xdr:row>89</xdr:row>
      <xdr:rowOff>16565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50A53ADB-796F-8B29-445E-F2F7A044180B}"/>
            </a:ext>
          </a:extLst>
        </xdr:cNvPr>
        <xdr:cNvCxnSpPr/>
      </xdr:nvCxnSpPr>
      <xdr:spPr>
        <a:xfrm>
          <a:off x="10127719" y="109904"/>
          <a:ext cx="35042" cy="143184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608134</xdr:colOff>
      <xdr:row>0</xdr:row>
      <xdr:rowOff>21981</xdr:rowOff>
    </xdr:from>
    <xdr:to>
      <xdr:col>6</xdr:col>
      <xdr:colOff>608134</xdr:colOff>
      <xdr:row>71</xdr:row>
      <xdr:rowOff>36635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E814DECB-2ECA-4006-AB00-FBB8E65925DB}"/>
            </a:ext>
          </a:extLst>
        </xdr:cNvPr>
        <xdr:cNvCxnSpPr/>
      </xdr:nvCxnSpPr>
      <xdr:spPr>
        <a:xfrm>
          <a:off x="4623288" y="21981"/>
          <a:ext cx="0" cy="10653346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Liam R" id="{FE57897F-F5B8-446F-8A1C-39CF8F8F7A92}" userId="be0b8782fa6c70c8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Q5" dT="2025-08-16T04:45:10.05" personId="{FE57897F-F5B8-446F-8A1C-39CF8F8F7A92}" id="{CEB24C3D-CDB8-489E-9110-E6019D26EA47}">
    <text>guidance</text>
  </threadedComment>
  <threadedComment ref="Q64" dT="2026-01-26T12:24:16.56" personId="{FE57897F-F5B8-446F-8A1C-39CF8F8F7A92}" id="{79DC77E4-A692-4259-AB0E-8B56CE6E46AF}">
    <text>6x leverage multiple</text>
  </threadedComment>
  <threadedComment ref="Q73" dT="2026-01-26T11:08:00.27" personId="{FE57897F-F5B8-446F-8A1C-39CF8F8F7A92}" id="{48100E8E-BDB8-4D88-939B-4F9E2EE30617}">
    <text xml:space="preserve">8% interest rate
</text>
  </threadedComment>
  <threadedComment ref="Q79" dT="2026-01-26T12:30:57.01" personId="{FE57897F-F5B8-446F-8A1C-39CF8F8F7A92}" id="{29C7A399-A47C-4B6E-9A0A-8D0D90348A60}">
    <text>After elividys growth the many DMD competitors will start to enter the market and the revenue will stabilize at a lower multiple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9CA3D-BD6D-4E02-8579-6A8963C974F1}">
  <dimension ref="B2:L17"/>
  <sheetViews>
    <sheetView topLeftCell="C1" zoomScaleNormal="100" workbookViewId="0">
      <selection activeCell="K19" sqref="K19"/>
    </sheetView>
  </sheetViews>
  <sheetFormatPr defaultRowHeight="12.75" x14ac:dyDescent="0.2"/>
  <cols>
    <col min="1" max="1" width="3.5703125" customWidth="1"/>
    <col min="2" max="2" width="38.28515625" bestFit="1" customWidth="1"/>
    <col min="3" max="3" width="14" customWidth="1"/>
    <col min="4" max="4" width="11" customWidth="1"/>
    <col min="5" max="5" width="18.7109375" bestFit="1" customWidth="1"/>
    <col min="6" max="6" width="11" customWidth="1"/>
    <col min="7" max="7" width="10" customWidth="1"/>
    <col min="8" max="8" width="5.140625" customWidth="1"/>
    <col min="9" max="9" width="4.85546875" customWidth="1"/>
  </cols>
  <sheetData>
    <row r="2" spans="2:12" x14ac:dyDescent="0.2">
      <c r="B2" s="7" t="s">
        <v>6</v>
      </c>
      <c r="C2" s="8" t="s">
        <v>7</v>
      </c>
      <c r="D2" s="8" t="s">
        <v>8</v>
      </c>
      <c r="E2" s="8" t="s">
        <v>10</v>
      </c>
      <c r="F2" s="8" t="s">
        <v>11</v>
      </c>
      <c r="G2" s="9" t="s">
        <v>12</v>
      </c>
      <c r="J2" t="s">
        <v>0</v>
      </c>
      <c r="K2" s="20">
        <v>22</v>
      </c>
    </row>
    <row r="3" spans="2:12" x14ac:dyDescent="0.2">
      <c r="B3" s="19" t="s">
        <v>18</v>
      </c>
      <c r="C3" s="2" t="s">
        <v>73</v>
      </c>
      <c r="D3" s="2"/>
      <c r="E3" s="2" t="s">
        <v>110</v>
      </c>
      <c r="F3" s="2" t="s">
        <v>124</v>
      </c>
      <c r="G3" s="3"/>
      <c r="J3" t="s">
        <v>1</v>
      </c>
      <c r="K3" s="21">
        <f>98.277</f>
        <v>98.277000000000001</v>
      </c>
      <c r="L3" t="s">
        <v>27</v>
      </c>
    </row>
    <row r="4" spans="2:12" x14ac:dyDescent="0.2">
      <c r="B4" s="31" t="s">
        <v>15</v>
      </c>
      <c r="C4" s="2" t="s">
        <v>73</v>
      </c>
      <c r="D4" s="2"/>
      <c r="E4" s="2" t="s">
        <v>100</v>
      </c>
      <c r="F4" s="2"/>
      <c r="G4" s="3"/>
      <c r="J4" t="s">
        <v>2</v>
      </c>
      <c r="K4" s="21">
        <f>K3*K2</f>
        <v>2162.0940000000001</v>
      </c>
    </row>
    <row r="5" spans="2:12" x14ac:dyDescent="0.2">
      <c r="B5" s="31" t="s">
        <v>16</v>
      </c>
      <c r="C5" s="2" t="s">
        <v>73</v>
      </c>
      <c r="D5" s="2"/>
      <c r="E5" s="2" t="s">
        <v>100</v>
      </c>
      <c r="F5" s="2"/>
      <c r="G5" s="3"/>
      <c r="J5" t="s">
        <v>3</v>
      </c>
      <c r="K5" s="21">
        <f>240.8+281.9</f>
        <v>522.70000000000005</v>
      </c>
      <c r="L5" t="s">
        <v>27</v>
      </c>
    </row>
    <row r="6" spans="2:12" x14ac:dyDescent="0.2">
      <c r="B6" s="32" t="s">
        <v>17</v>
      </c>
      <c r="C6" s="2" t="s">
        <v>73</v>
      </c>
      <c r="D6" s="5"/>
      <c r="E6" s="2" t="s">
        <v>100</v>
      </c>
      <c r="F6" s="5"/>
      <c r="G6" s="6"/>
      <c r="J6" t="s">
        <v>4</v>
      </c>
      <c r="K6" s="21">
        <f>1138.3+205.46+325+47.4+1</f>
        <v>1717.16</v>
      </c>
      <c r="L6" t="s">
        <v>27</v>
      </c>
    </row>
    <row r="7" spans="2:12" x14ac:dyDescent="0.2">
      <c r="B7" s="10"/>
      <c r="C7" s="11"/>
      <c r="D7" s="8" t="s">
        <v>9</v>
      </c>
      <c r="E7" s="11"/>
      <c r="F7" s="11"/>
      <c r="G7" s="12"/>
      <c r="J7" t="s">
        <v>5</v>
      </c>
      <c r="K7" s="21">
        <f>K4+K6-K5</f>
        <v>3356.5540000000001</v>
      </c>
    </row>
    <row r="8" spans="2:12" x14ac:dyDescent="0.2">
      <c r="B8" s="31" t="s">
        <v>19</v>
      </c>
      <c r="C8" s="13" t="s">
        <v>116</v>
      </c>
      <c r="D8" s="13" t="s">
        <v>117</v>
      </c>
      <c r="E8" s="2" t="s">
        <v>14</v>
      </c>
      <c r="F8" s="13"/>
      <c r="G8" s="14"/>
      <c r="K8" s="20"/>
    </row>
    <row r="9" spans="2:12" x14ac:dyDescent="0.2">
      <c r="B9" s="1" t="s">
        <v>20</v>
      </c>
      <c r="D9" s="13"/>
      <c r="E9" s="2" t="s">
        <v>14</v>
      </c>
      <c r="G9" s="15"/>
      <c r="J9" t="s">
        <v>94</v>
      </c>
      <c r="K9" s="21"/>
    </row>
    <row r="10" spans="2:12" x14ac:dyDescent="0.2">
      <c r="B10" s="1" t="s">
        <v>23</v>
      </c>
      <c r="D10" s="13"/>
      <c r="E10" s="2" t="s">
        <v>14</v>
      </c>
      <c r="G10" s="15"/>
      <c r="J10" t="s">
        <v>95</v>
      </c>
    </row>
    <row r="11" spans="2:12" x14ac:dyDescent="0.2">
      <c r="B11" s="1" t="s">
        <v>24</v>
      </c>
      <c r="D11" s="13"/>
      <c r="E11" s="2" t="s">
        <v>118</v>
      </c>
      <c r="G11" s="15"/>
      <c r="J11" t="s">
        <v>97</v>
      </c>
    </row>
    <row r="12" spans="2:12" x14ac:dyDescent="0.2">
      <c r="B12" s="1" t="s">
        <v>22</v>
      </c>
      <c r="D12" s="13"/>
      <c r="E12" s="2" t="s">
        <v>118</v>
      </c>
      <c r="G12" s="15"/>
      <c r="J12" s="21" t="s">
        <v>96</v>
      </c>
    </row>
    <row r="13" spans="2:12" x14ac:dyDescent="0.2">
      <c r="B13" s="1" t="s">
        <v>21</v>
      </c>
      <c r="D13" s="13"/>
      <c r="E13" s="2" t="s">
        <v>118</v>
      </c>
      <c r="G13" s="15"/>
      <c r="J13" t="s">
        <v>98</v>
      </c>
    </row>
    <row r="14" spans="2:12" x14ac:dyDescent="0.2">
      <c r="B14" s="4" t="s">
        <v>25</v>
      </c>
      <c r="C14" s="16"/>
      <c r="D14" s="30"/>
      <c r="E14" s="16" t="s">
        <v>118</v>
      </c>
      <c r="F14" s="16"/>
      <c r="G14" s="17"/>
    </row>
    <row r="15" spans="2:12" x14ac:dyDescent="0.2">
      <c r="J15" t="s">
        <v>99</v>
      </c>
    </row>
    <row r="16" spans="2:12" x14ac:dyDescent="0.2">
      <c r="B16" s="18">
        <v>45857</v>
      </c>
      <c r="C16" t="s">
        <v>26</v>
      </c>
    </row>
    <row r="17" spans="3:3" x14ac:dyDescent="0.2">
      <c r="C17" t="s">
        <v>33</v>
      </c>
    </row>
  </sheetData>
  <hyperlinks>
    <hyperlink ref="B3" location="elevidys!A1" display="Elevidys (delandistrogen moxeparvovec-rokl)" xr:uid="{46F2F0FF-39E6-443B-9D44-8A57237C41D9}"/>
    <hyperlink ref="B8" location="'SRP-9003'!A1" display="SRP-9003 (biridistrogene xeboparvovec)" xr:uid="{E3936CA6-57CB-4B5A-8B0A-E39CEF3A1E19}"/>
    <hyperlink ref="B4" location="exondys!A1" display="Exondys (eteplirsen)" xr:uid="{AC366611-AA8C-48AA-B961-B6F652586431}"/>
    <hyperlink ref="B5" location="vyondys!A1" display="Vyondys (golodirsen)" xr:uid="{1BAB316F-4C4E-4CEA-B39C-D094710AAB6D}"/>
    <hyperlink ref="B6" location="amondys!A1" display="Amondys (casimersen)" xr:uid="{2F3C3B78-94E2-4B1C-9E85-EA285EC72AA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1A893-8ADE-4729-B205-F45738EE77EA}">
  <dimension ref="A1:DI82"/>
  <sheetViews>
    <sheetView tabSelected="1" zoomScaleNormal="100" workbookViewId="0">
      <pane xSplit="2" ySplit="2" topLeftCell="Q45" activePane="bottomRight" state="frozen"/>
      <selection pane="topRight" activeCell="C1" sqref="C1"/>
      <selection pane="bottomLeft" activeCell="A3" sqref="A3"/>
      <selection pane="bottomRight" activeCell="V57" sqref="V57"/>
    </sheetView>
  </sheetViews>
  <sheetFormatPr defaultRowHeight="12.75" x14ac:dyDescent="0.2"/>
  <cols>
    <col min="1" max="1" width="5" style="21" bestFit="1" customWidth="1"/>
    <col min="2" max="2" width="18.140625" style="21" bestFit="1" customWidth="1"/>
    <col min="3" max="5" width="9.140625" style="21"/>
    <col min="6" max="6" width="9.7109375" style="21" bestFit="1" customWidth="1"/>
    <col min="7" max="22" width="9.140625" style="21"/>
    <col min="23" max="23" width="17.7109375" style="21" bestFit="1" customWidth="1"/>
    <col min="24" max="26" width="9.140625" style="21"/>
    <col min="27" max="27" width="14.42578125" style="21" bestFit="1" customWidth="1"/>
    <col min="28" max="16384" width="9.140625" style="21"/>
  </cols>
  <sheetData>
    <row r="1" spans="1:113" x14ac:dyDescent="0.2">
      <c r="A1" s="22" t="s">
        <v>13</v>
      </c>
      <c r="Q1" s="21" t="s">
        <v>126</v>
      </c>
      <c r="U1" s="21" t="s">
        <v>127</v>
      </c>
    </row>
    <row r="2" spans="1:113" x14ac:dyDescent="0.2">
      <c r="A2" s="22"/>
      <c r="C2" s="21" t="s">
        <v>29</v>
      </c>
      <c r="D2" s="21" t="s">
        <v>30</v>
      </c>
      <c r="E2" s="21" t="s">
        <v>31</v>
      </c>
      <c r="F2" s="21" t="s">
        <v>32</v>
      </c>
      <c r="G2" s="21" t="s">
        <v>27</v>
      </c>
      <c r="H2" s="21" t="s">
        <v>34</v>
      </c>
      <c r="I2" s="21" t="s">
        <v>35</v>
      </c>
      <c r="J2" s="21" t="s">
        <v>36</v>
      </c>
      <c r="L2" s="23">
        <v>2020</v>
      </c>
      <c r="M2" s="23">
        <f>L2+1</f>
        <v>2021</v>
      </c>
      <c r="N2" s="23">
        <f t="shared" ref="N2:U2" si="0">M2+1</f>
        <v>2022</v>
      </c>
      <c r="O2" s="23">
        <f t="shared" si="0"/>
        <v>2023</v>
      </c>
      <c r="P2" s="23">
        <f t="shared" si="0"/>
        <v>2024</v>
      </c>
      <c r="Q2" s="23">
        <f t="shared" si="0"/>
        <v>2025</v>
      </c>
      <c r="R2" s="23">
        <f t="shared" si="0"/>
        <v>2026</v>
      </c>
      <c r="S2" s="23">
        <f t="shared" si="0"/>
        <v>2027</v>
      </c>
      <c r="T2" s="23">
        <f t="shared" si="0"/>
        <v>2028</v>
      </c>
      <c r="U2" s="23">
        <f t="shared" si="0"/>
        <v>2029</v>
      </c>
      <c r="V2" s="23"/>
      <c r="W2" s="23"/>
      <c r="X2" s="23"/>
      <c r="Y2" s="23"/>
    </row>
    <row r="3" spans="1:113" x14ac:dyDescent="0.2">
      <c r="A3" s="22"/>
      <c r="B3" s="21" t="s">
        <v>115</v>
      </c>
      <c r="L3" s="23"/>
      <c r="M3" s="23"/>
      <c r="N3" s="23"/>
      <c r="O3" s="23"/>
      <c r="P3" s="23"/>
      <c r="Q3" s="23"/>
      <c r="R3" s="23">
        <f>elevidys!D30</f>
        <v>395.59679999999997</v>
      </c>
      <c r="S3" s="23">
        <f>elevidys!E30</f>
        <v>399.55276799999996</v>
      </c>
      <c r="T3" s="23">
        <f>elevidys!F30</f>
        <v>403.54829568000008</v>
      </c>
      <c r="U3" s="23">
        <f>elevidys!G30</f>
        <v>407.58377863680005</v>
      </c>
      <c r="V3" s="23"/>
      <c r="W3" s="23"/>
      <c r="X3" s="23"/>
      <c r="Y3" s="23"/>
    </row>
    <row r="4" spans="1:113" x14ac:dyDescent="0.2">
      <c r="A4" s="22"/>
      <c r="B4" s="21" t="s">
        <v>114</v>
      </c>
      <c r="L4" s="23"/>
      <c r="M4" s="23"/>
      <c r="N4" s="23"/>
      <c r="O4" s="23"/>
      <c r="P4" s="23"/>
      <c r="Q4" s="23"/>
      <c r="R4" s="21">
        <v>1000</v>
      </c>
      <c r="S4" s="21">
        <v>1000</v>
      </c>
      <c r="T4" s="21">
        <v>1000</v>
      </c>
      <c r="U4" s="21">
        <v>1000</v>
      </c>
      <c r="V4" s="23"/>
      <c r="W4" s="23"/>
      <c r="X4" s="23"/>
      <c r="Y4" s="23"/>
    </row>
    <row r="5" spans="1:113" s="24" customFormat="1" x14ac:dyDescent="0.2">
      <c r="A5" s="21"/>
      <c r="B5" s="24" t="s">
        <v>28</v>
      </c>
      <c r="C5" s="24">
        <v>359.5</v>
      </c>
      <c r="G5" s="24">
        <v>611.5</v>
      </c>
      <c r="H5" s="24">
        <f>G5*1</f>
        <v>611.5</v>
      </c>
      <c r="I5" s="24">
        <f t="shared" ref="I5:J5" si="1">H5*1</f>
        <v>611.5</v>
      </c>
      <c r="J5" s="24">
        <f t="shared" si="1"/>
        <v>611.5</v>
      </c>
      <c r="N5" s="24">
        <v>933</v>
      </c>
      <c r="O5" s="24">
        <v>1243.3</v>
      </c>
      <c r="P5" s="24">
        <v>1901.98</v>
      </c>
      <c r="Q5" s="24">
        <v>2300</v>
      </c>
      <c r="R5" s="24">
        <f>SUM(R3:R4)</f>
        <v>1395.5968</v>
      </c>
      <c r="S5" s="24">
        <f t="shared" ref="S5:U5" si="2">SUM(S3:S4)</f>
        <v>1399.552768</v>
      </c>
      <c r="T5" s="24">
        <f t="shared" si="2"/>
        <v>1403.5482956800001</v>
      </c>
      <c r="U5" s="24">
        <f t="shared" si="2"/>
        <v>1407.5837786368002</v>
      </c>
    </row>
    <row r="6" spans="1:113" x14ac:dyDescent="0.2">
      <c r="B6" s="21" t="s">
        <v>37</v>
      </c>
      <c r="N6" s="21">
        <v>139.97999999999999</v>
      </c>
      <c r="O6" s="21">
        <v>150.34</v>
      </c>
      <c r="P6" s="21">
        <v>319.10000000000002</v>
      </c>
      <c r="Q6" s="21">
        <f>Q5*(1-Q20)</f>
        <v>345.00000000000006</v>
      </c>
      <c r="R6" s="21">
        <f>R5*(1-R20)</f>
        <v>209.33952000000002</v>
      </c>
      <c r="S6" s="21">
        <f>S5*(1-S20)</f>
        <v>209.93291520000002</v>
      </c>
      <c r="T6" s="21">
        <f>T5*(1-T20)</f>
        <v>210.53224435200005</v>
      </c>
      <c r="U6" s="21">
        <f>U5*(1-U20)</f>
        <v>211.13756679552006</v>
      </c>
    </row>
    <row r="7" spans="1:113" x14ac:dyDescent="0.2">
      <c r="B7" s="21" t="s">
        <v>38</v>
      </c>
      <c r="L7" s="21">
        <f>L5-L6</f>
        <v>0</v>
      </c>
      <c r="M7" s="21">
        <f>M5-M6</f>
        <v>0</v>
      </c>
      <c r="N7" s="21">
        <f>N5-N6</f>
        <v>793.02</v>
      </c>
      <c r="O7" s="21">
        <f t="shared" ref="O7:P7" si="3">O5-O6</f>
        <v>1092.96</v>
      </c>
      <c r="P7" s="21">
        <f t="shared" si="3"/>
        <v>1582.88</v>
      </c>
      <c r="Q7" s="21">
        <f t="shared" ref="Q7" si="4">Q5-Q6</f>
        <v>1955</v>
      </c>
      <c r="R7" s="21">
        <f t="shared" ref="R7" si="5">R5-R6</f>
        <v>1186.25728</v>
      </c>
      <c r="S7" s="21">
        <f t="shared" ref="S7" si="6">S5-S6</f>
        <v>1189.6198528</v>
      </c>
      <c r="T7" s="21">
        <f t="shared" ref="T7" si="7">T5-T6</f>
        <v>1193.016051328</v>
      </c>
      <c r="U7" s="21">
        <f t="shared" ref="U7" si="8">U5-U6</f>
        <v>1196.44621184128</v>
      </c>
    </row>
    <row r="8" spans="1:113" x14ac:dyDescent="0.2">
      <c r="B8" s="21" t="s">
        <v>40</v>
      </c>
      <c r="N8" s="21">
        <v>877</v>
      </c>
      <c r="O8" s="21">
        <v>877.4</v>
      </c>
      <c r="P8" s="21">
        <v>804.5</v>
      </c>
      <c r="W8" s="21" t="s">
        <v>52</v>
      </c>
      <c r="X8" s="26">
        <v>0.02</v>
      </c>
    </row>
    <row r="9" spans="1:113" x14ac:dyDescent="0.2">
      <c r="B9" s="21" t="s">
        <v>39</v>
      </c>
      <c r="N9" s="21">
        <v>451.4</v>
      </c>
      <c r="O9" s="21">
        <v>481.9</v>
      </c>
      <c r="P9" s="21">
        <v>557.9</v>
      </c>
      <c r="Q9" s="21">
        <f>P9*1.1</f>
        <v>613.69000000000005</v>
      </c>
      <c r="R9" s="21">
        <f>Q9*1</f>
        <v>613.69000000000005</v>
      </c>
      <c r="S9" s="21">
        <f t="shared" ref="S9:U9" si="9">R9*1</f>
        <v>613.69000000000005</v>
      </c>
      <c r="T9" s="21">
        <f t="shared" si="9"/>
        <v>613.69000000000005</v>
      </c>
      <c r="U9" s="21">
        <f t="shared" si="9"/>
        <v>613.69000000000005</v>
      </c>
      <c r="W9" s="21" t="s">
        <v>53</v>
      </c>
      <c r="X9" s="26">
        <v>-0.03</v>
      </c>
    </row>
    <row r="10" spans="1:113" x14ac:dyDescent="0.2">
      <c r="B10" s="21" t="s">
        <v>41</v>
      </c>
      <c r="L10" s="21">
        <f>SUM(L8:L9)</f>
        <v>0</v>
      </c>
      <c r="M10" s="21">
        <f t="shared" ref="M10:U10" si="10">SUM(M8:M9)</f>
        <v>0</v>
      </c>
      <c r="N10" s="21">
        <f t="shared" si="10"/>
        <v>1328.4</v>
      </c>
      <c r="O10" s="21">
        <f t="shared" si="10"/>
        <v>1359.3</v>
      </c>
      <c r="P10" s="21">
        <f t="shared" si="10"/>
        <v>1362.4</v>
      </c>
      <c r="Q10" s="21">
        <f t="shared" si="10"/>
        <v>613.69000000000005</v>
      </c>
      <c r="R10" s="21">
        <f t="shared" si="10"/>
        <v>613.69000000000005</v>
      </c>
      <c r="S10" s="21">
        <f t="shared" si="10"/>
        <v>613.69000000000005</v>
      </c>
      <c r="T10" s="21">
        <f t="shared" si="10"/>
        <v>613.69000000000005</v>
      </c>
      <c r="U10" s="21">
        <f t="shared" si="10"/>
        <v>613.69000000000005</v>
      </c>
      <c r="W10" s="21" t="s">
        <v>54</v>
      </c>
      <c r="X10" s="33">
        <v>9.5000000000000001E-2</v>
      </c>
    </row>
    <row r="11" spans="1:113" x14ac:dyDescent="0.2">
      <c r="B11" s="21" t="s">
        <v>131</v>
      </c>
      <c r="L11" s="21">
        <f>L7-L10</f>
        <v>0</v>
      </c>
      <c r="M11" s="21">
        <f t="shared" ref="M11:U11" si="11">M7-M10</f>
        <v>0</v>
      </c>
      <c r="N11" s="21">
        <f t="shared" si="11"/>
        <v>-535.38000000000011</v>
      </c>
      <c r="O11" s="21">
        <f t="shared" si="11"/>
        <v>-266.33999999999992</v>
      </c>
      <c r="P11" s="21">
        <f t="shared" si="11"/>
        <v>220.48000000000002</v>
      </c>
      <c r="Q11" s="21">
        <f t="shared" si="11"/>
        <v>1341.31</v>
      </c>
      <c r="R11" s="21">
        <f t="shared" si="11"/>
        <v>572.56727999999998</v>
      </c>
      <c r="S11" s="21">
        <f t="shared" si="11"/>
        <v>575.92985279999994</v>
      </c>
      <c r="T11" s="21">
        <f t="shared" si="11"/>
        <v>579.32605132799995</v>
      </c>
      <c r="U11" s="21">
        <f t="shared" si="11"/>
        <v>582.75621184127999</v>
      </c>
      <c r="W11" s="21" t="s">
        <v>55</v>
      </c>
      <c r="X11" s="21">
        <f>NPV(X10,Q15:DD15)+Main!K5-Main!K6</f>
        <v>3454.0187371029169</v>
      </c>
    </row>
    <row r="12" spans="1:113" x14ac:dyDescent="0.2">
      <c r="B12" s="21" t="s">
        <v>42</v>
      </c>
      <c r="N12" s="21">
        <v>-28.3</v>
      </c>
      <c r="O12" s="21">
        <v>33</v>
      </c>
      <c r="P12" s="21">
        <v>42.7</v>
      </c>
      <c r="Q12" s="21">
        <f>G23*$X$8</f>
        <v>-23.88</v>
      </c>
      <c r="R12" s="21">
        <f>Q23*$X$8</f>
        <v>-15.997600000000002</v>
      </c>
      <c r="S12" s="21">
        <f>R23*$X$8</f>
        <v>-7.0924851200000036</v>
      </c>
      <c r="T12" s="21">
        <f>S23*$X$8</f>
        <v>2.0089127628799952</v>
      </c>
      <c r="U12" s="21">
        <f>T23*$X$8</f>
        <v>11.310272188334075</v>
      </c>
      <c r="W12" s="21" t="s">
        <v>56</v>
      </c>
      <c r="X12" s="20">
        <f>X11/Main!K3</f>
        <v>35.145748619747415</v>
      </c>
    </row>
    <row r="13" spans="1:113" x14ac:dyDescent="0.2">
      <c r="B13" s="21" t="s">
        <v>43</v>
      </c>
      <c r="L13" s="21">
        <f>L11+L12</f>
        <v>0</v>
      </c>
      <c r="M13" s="21">
        <f t="shared" ref="M13:U13" si="12">M11+M12</f>
        <v>0</v>
      </c>
      <c r="N13" s="21">
        <f t="shared" si="12"/>
        <v>-563.68000000000006</v>
      </c>
      <c r="O13" s="21">
        <f t="shared" si="12"/>
        <v>-233.33999999999992</v>
      </c>
      <c r="P13" s="21">
        <f t="shared" si="12"/>
        <v>263.18</v>
      </c>
      <c r="Q13" s="21">
        <f t="shared" si="12"/>
        <v>1317.4299999999998</v>
      </c>
      <c r="R13" s="21">
        <f t="shared" si="12"/>
        <v>556.56967999999995</v>
      </c>
      <c r="S13" s="21">
        <f t="shared" si="12"/>
        <v>568.83736767999994</v>
      </c>
      <c r="T13" s="21">
        <f t="shared" si="12"/>
        <v>581.33496409087991</v>
      </c>
      <c r="U13" s="21">
        <f t="shared" si="12"/>
        <v>594.06648402961412</v>
      </c>
      <c r="X13" s="26">
        <f>X12/Main!K2-1</f>
        <v>0.59753402817033696</v>
      </c>
    </row>
    <row r="14" spans="1:113" x14ac:dyDescent="0.2">
      <c r="B14" s="21" t="s">
        <v>44</v>
      </c>
      <c r="N14" s="21">
        <v>13.5</v>
      </c>
      <c r="O14" s="21">
        <v>15.9</v>
      </c>
      <c r="P14" s="21">
        <v>25.5</v>
      </c>
      <c r="Q14" s="21">
        <f>Q13*0.2</f>
        <v>263.48599999999999</v>
      </c>
      <c r="R14" s="21">
        <f t="shared" ref="R14:U14" si="13">R13*0.2</f>
        <v>111.313936</v>
      </c>
      <c r="S14" s="21">
        <f t="shared" si="13"/>
        <v>113.767473536</v>
      </c>
      <c r="T14" s="21">
        <f t="shared" si="13"/>
        <v>116.26699281817599</v>
      </c>
      <c r="U14" s="21">
        <f t="shared" si="13"/>
        <v>118.81329680592283</v>
      </c>
    </row>
    <row r="15" spans="1:113" x14ac:dyDescent="0.2">
      <c r="B15" s="21" t="s">
        <v>45</v>
      </c>
      <c r="L15" s="21">
        <f>L13-L14</f>
        <v>0</v>
      </c>
      <c r="M15" s="21">
        <f t="shared" ref="M15:U15" si="14">M13-M14</f>
        <v>0</v>
      </c>
      <c r="N15" s="21">
        <f t="shared" si="14"/>
        <v>-577.18000000000006</v>
      </c>
      <c r="O15" s="21">
        <f t="shared" si="14"/>
        <v>-249.23999999999992</v>
      </c>
      <c r="P15" s="21">
        <f t="shared" si="14"/>
        <v>237.68</v>
      </c>
      <c r="Q15" s="21">
        <f t="shared" si="14"/>
        <v>1053.944</v>
      </c>
      <c r="R15" s="21">
        <f t="shared" si="14"/>
        <v>445.25574399999994</v>
      </c>
      <c r="S15" s="21">
        <f t="shared" si="14"/>
        <v>455.06989414399993</v>
      </c>
      <c r="T15" s="21">
        <f t="shared" si="14"/>
        <v>465.06797127270391</v>
      </c>
      <c r="U15" s="21">
        <f t="shared" si="14"/>
        <v>475.25318722369127</v>
      </c>
      <c r="V15" s="21">
        <f>U15*(1+$X$9)</f>
        <v>460.9955916069805</v>
      </c>
      <c r="W15" s="21">
        <f>V15*(1+$X$9)</f>
        <v>447.16572385877106</v>
      </c>
      <c r="X15" s="21">
        <f>W15*(1+$X$9)</f>
        <v>433.7507521430079</v>
      </c>
      <c r="Y15" s="21">
        <f>X15*(1+$X$9)</f>
        <v>420.73822957871766</v>
      </c>
      <c r="Z15" s="21">
        <f>Y15*(1+$X$9)</f>
        <v>408.1160826913561</v>
      </c>
      <c r="AA15" s="21">
        <f>Z15*(1+$X$9)</f>
        <v>395.87260021061542</v>
      </c>
      <c r="AB15" s="21">
        <f>AA15*(1+$X$9)</f>
        <v>383.99642220429695</v>
      </c>
      <c r="AC15" s="21">
        <f>AB15*(1+$X$9)</f>
        <v>372.47652953816805</v>
      </c>
      <c r="AD15" s="21">
        <f>AC15*(1+$X$9)</f>
        <v>361.30223365202301</v>
      </c>
      <c r="AE15" s="21">
        <f>AD15*(1+$X$9)</f>
        <v>350.46316664246228</v>
      </c>
      <c r="AF15" s="21">
        <f>AE15*(1+$X$9)</f>
        <v>339.94927164318841</v>
      </c>
      <c r="AG15" s="21">
        <f>AF15*(1+$X$9)</f>
        <v>329.75079349389273</v>
      </c>
      <c r="AH15" s="21">
        <f>AG15*(1+$X$9)</f>
        <v>319.85826968907594</v>
      </c>
      <c r="AI15" s="21">
        <f>AH15*(1+$X$9)</f>
        <v>310.26252159840368</v>
      </c>
      <c r="AJ15" s="21">
        <f>AI15*(1+$X$9)</f>
        <v>300.95464595045155</v>
      </c>
      <c r="AK15" s="21">
        <f>AJ15*(1+$X$9)</f>
        <v>291.92600657193799</v>
      </c>
      <c r="AL15" s="21">
        <f>AK15*(1+$X$9)</f>
        <v>283.16822637477986</v>
      </c>
      <c r="AM15" s="21">
        <f>AL15*(1+$X$9)</f>
        <v>274.67317958353647</v>
      </c>
      <c r="AN15" s="21">
        <f>AM15*(1+$X$9)</f>
        <v>266.43298419603036</v>
      </c>
      <c r="AO15" s="21">
        <f>AN15*(1+$X$9)</f>
        <v>258.43999467014942</v>
      </c>
      <c r="AP15" s="21">
        <f>AO15*(1+$X$9)</f>
        <v>250.68679483004493</v>
      </c>
      <c r="AQ15" s="21">
        <f>AP15*(1+$X$9)</f>
        <v>243.16619098514357</v>
      </c>
      <c r="AR15" s="21">
        <f>AQ15*(1+$X$9)</f>
        <v>235.87120525558925</v>
      </c>
      <c r="AS15" s="21">
        <f>AR15*(1+$X$9)</f>
        <v>228.79506909792156</v>
      </c>
      <c r="AT15" s="21">
        <f>AS15*(1+$X$9)</f>
        <v>221.93121702498391</v>
      </c>
      <c r="AU15" s="21">
        <f>AT15*(1+$X$9)</f>
        <v>215.27328051423439</v>
      </c>
      <c r="AV15" s="21">
        <f>AU15*(1+$X$9)</f>
        <v>208.81508209880735</v>
      </c>
      <c r="AW15" s="21">
        <f>AV15*(1+$X$9)</f>
        <v>202.55062963584314</v>
      </c>
      <c r="AX15" s="21">
        <f>AW15*(1+$X$9)</f>
        <v>196.47411074676785</v>
      </c>
      <c r="AY15" s="21">
        <f>AX15*(1+$X$9)</f>
        <v>190.57988742436481</v>
      </c>
      <c r="AZ15" s="21">
        <f>AY15*(1+$X$9)</f>
        <v>184.86249080163387</v>
      </c>
      <c r="BA15" s="21">
        <f>AZ15*(1+$X$9)</f>
        <v>179.31661607758485</v>
      </c>
      <c r="BB15" s="21">
        <f>BA15*(1+$X$9)</f>
        <v>173.93711759525729</v>
      </c>
      <c r="BC15" s="21">
        <f>BB15*(1+$X$9)</f>
        <v>168.71900406739957</v>
      </c>
      <c r="BD15" s="21">
        <f>BC15*(1+$X$9)</f>
        <v>163.65743394537756</v>
      </c>
      <c r="BE15" s="21">
        <f>BD15*(1+$X$9)</f>
        <v>158.74771092701624</v>
      </c>
      <c r="BF15" s="21">
        <f>BE15*(1+$X$9)</f>
        <v>153.98527959920574</v>
      </c>
      <c r="BG15" s="21">
        <f>BF15*(1+$X$9)</f>
        <v>149.36572121122956</v>
      </c>
      <c r="BH15" s="21">
        <f>BG15*(1+$X$9)</f>
        <v>144.88474957489265</v>
      </c>
      <c r="BI15" s="21">
        <f>BH15*(1+$X$9)</f>
        <v>140.53820708764587</v>
      </c>
      <c r="BJ15" s="21">
        <f>BI15*(1+$X$9)</f>
        <v>136.32206087501649</v>
      </c>
      <c r="BK15" s="21">
        <f>BJ15*(1+$X$9)</f>
        <v>132.23239904876598</v>
      </c>
      <c r="BL15" s="21">
        <f>BK15*(1+$X$9)</f>
        <v>128.265427077303</v>
      </c>
      <c r="BM15" s="21">
        <f>BL15*(1+$X$9)</f>
        <v>124.41746426498391</v>
      </c>
      <c r="BN15" s="21">
        <f>BM15*(1+$X$9)</f>
        <v>120.68494033703439</v>
      </c>
      <c r="BO15" s="21">
        <f>BN15*(1+$X$9)</f>
        <v>117.06439212692335</v>
      </c>
      <c r="BP15" s="21">
        <f>BO15*(1+$X$9)</f>
        <v>113.55246036311564</v>
      </c>
      <c r="BQ15" s="21">
        <f>BP15*(1+$X$9)</f>
        <v>110.14588655222217</v>
      </c>
      <c r="BR15" s="21">
        <f>BQ15*(1+$X$9)</f>
        <v>106.8415099556555</v>
      </c>
      <c r="BS15" s="21">
        <f>BR15*(1+$X$9)</f>
        <v>103.63626465698583</v>
      </c>
      <c r="BT15" s="21">
        <f>BS15*(1+$X$9)</f>
        <v>100.52717671727625</v>
      </c>
      <c r="BU15" s="21">
        <f>BT15*(1+$X$9)</f>
        <v>97.51136141575796</v>
      </c>
      <c r="BV15" s="21">
        <f>BU15*(1+$X$9)</f>
        <v>94.586020573285225</v>
      </c>
      <c r="BW15" s="21">
        <f>BV15*(1+$X$9)</f>
        <v>91.748439956086671</v>
      </c>
      <c r="BX15" s="21">
        <f>BW15*(1+$X$9)</f>
        <v>88.995986757404069</v>
      </c>
      <c r="BY15" s="21">
        <f>BX15*(1+$X$9)</f>
        <v>86.326107154681949</v>
      </c>
      <c r="BZ15" s="21">
        <f>BY15*(1+$X$9)</f>
        <v>83.736323940041487</v>
      </c>
      <c r="CA15" s="21">
        <f>BZ15*(1+$X$9)</f>
        <v>81.224234221840234</v>
      </c>
      <c r="CB15" s="21">
        <f>CA15*(1+$X$9)</f>
        <v>78.787507195185029</v>
      </c>
      <c r="CC15" s="21">
        <f>CB15*(1+$X$9)</f>
        <v>76.423881979329479</v>
      </c>
      <c r="CD15" s="21">
        <f>CC15*(1+$X$9)</f>
        <v>74.13116551994959</v>
      </c>
      <c r="CE15" s="21">
        <f>CD15*(1+$X$9)</f>
        <v>71.907230554351102</v>
      </c>
      <c r="CF15" s="21">
        <f>CE15*(1+$X$9)</f>
        <v>69.750013637720571</v>
      </c>
      <c r="CG15" s="21">
        <f>CF15*(1+$X$9)</f>
        <v>67.657513228588954</v>
      </c>
      <c r="CH15" s="21">
        <f>CG15*(1+$X$9)</f>
        <v>65.627787831731283</v>
      </c>
      <c r="CI15" s="21">
        <f>CH15*(1+$X$9)</f>
        <v>63.658954196779341</v>
      </c>
      <c r="CJ15" s="21">
        <f>CI15*(1+$X$9)</f>
        <v>61.749185570875959</v>
      </c>
      <c r="CK15" s="21">
        <f>CJ15*(1+$X$9)</f>
        <v>59.896710003749675</v>
      </c>
      <c r="CL15" s="21">
        <f>CK15*(1+$X$9)</f>
        <v>58.09980870363718</v>
      </c>
      <c r="CM15" s="21">
        <f>CL15*(1+$X$9)</f>
        <v>56.356814442528062</v>
      </c>
      <c r="CN15" s="21">
        <f>CM15*(1+$X$9)</f>
        <v>54.666110009252222</v>
      </c>
      <c r="CO15" s="21">
        <f>CN15*(1+$X$9)</f>
        <v>53.026126708974651</v>
      </c>
      <c r="CP15" s="21">
        <f>CO15*(1+$X$9)</f>
        <v>51.435342907705412</v>
      </c>
      <c r="CQ15" s="21">
        <f>CP15*(1+$X$9)</f>
        <v>49.892282620474248</v>
      </c>
      <c r="CR15" s="21">
        <f>CQ15*(1+$X$9)</f>
        <v>48.395514141860019</v>
      </c>
      <c r="CS15" s="21">
        <f>CR15*(1+$X$9)</f>
        <v>46.943648717604219</v>
      </c>
      <c r="CT15" s="21">
        <f>CS15*(1+$X$9)</f>
        <v>45.535339256076092</v>
      </c>
      <c r="CU15" s="21">
        <f>CT15*(1+$X$9)</f>
        <v>44.169279078393807</v>
      </c>
      <c r="CV15" s="21">
        <f>CU15*(1+$X$9)</f>
        <v>42.844200706041988</v>
      </c>
      <c r="CW15" s="21">
        <f>CV15*(1+$X$9)</f>
        <v>41.558874684860726</v>
      </c>
      <c r="CX15" s="21">
        <f>CW15*(1+$X$9)</f>
        <v>40.312108444314902</v>
      </c>
      <c r="CY15" s="21">
        <f>CX15*(1+$X$9)</f>
        <v>39.102745190985452</v>
      </c>
      <c r="CZ15" s="21">
        <f>CY15*(1+$X$9)</f>
        <v>37.92966283525589</v>
      </c>
      <c r="DA15" s="21">
        <f>CZ15*(1+$X$9)</f>
        <v>36.791772950198215</v>
      </c>
      <c r="DB15" s="21">
        <f>DA15*(1+$X$9)</f>
        <v>35.688019761692267</v>
      </c>
      <c r="DC15" s="21">
        <f>DB15*(1+$X$9)</f>
        <v>34.617379168841495</v>
      </c>
      <c r="DD15" s="21">
        <f>DC15*(1+$X$9)</f>
        <v>33.578857793776251</v>
      </c>
      <c r="DE15" s="21">
        <f>DD15*(1+$X$9)</f>
        <v>32.571492059962964</v>
      </c>
      <c r="DF15" s="21">
        <f>DE15*(1+$X$9)</f>
        <v>31.594347298164074</v>
      </c>
      <c r="DG15" s="21">
        <f>DF15*(1+$X$9)</f>
        <v>30.646516879219149</v>
      </c>
      <c r="DH15" s="21">
        <f>DG15*(1+$X$9)</f>
        <v>29.727121372842575</v>
      </c>
      <c r="DI15" s="21">
        <f>DH15*(1+$X$9)</f>
        <v>28.835307731657299</v>
      </c>
    </row>
    <row r="16" spans="1:113" x14ac:dyDescent="0.2">
      <c r="B16" s="21" t="s">
        <v>1</v>
      </c>
      <c r="N16" s="21">
        <v>87.558999999999997</v>
      </c>
      <c r="O16" s="21">
        <v>92.397999999999996</v>
      </c>
      <c r="P16" s="21">
        <v>95.1</v>
      </c>
      <c r="Q16" s="21">
        <f>P16</f>
        <v>95.1</v>
      </c>
      <c r="R16" s="21">
        <f t="shared" ref="R16:U16" si="15">Q16</f>
        <v>95.1</v>
      </c>
      <c r="S16" s="21">
        <f t="shared" si="15"/>
        <v>95.1</v>
      </c>
      <c r="T16" s="21">
        <f t="shared" si="15"/>
        <v>95.1</v>
      </c>
      <c r="U16" s="21">
        <f t="shared" si="15"/>
        <v>95.1</v>
      </c>
    </row>
    <row r="17" spans="1:21" x14ac:dyDescent="0.2">
      <c r="B17" s="21" t="s">
        <v>46</v>
      </c>
      <c r="L17" s="20" t="e">
        <f>L15/L16</f>
        <v>#DIV/0!</v>
      </c>
      <c r="M17" s="20" t="e">
        <f>M15/M16</f>
        <v>#DIV/0!</v>
      </c>
      <c r="N17" s="20">
        <f>N15/N16</f>
        <v>-6.5918980344681879</v>
      </c>
      <c r="O17" s="20">
        <f t="shared" ref="O17:P17" si="16">O15/O16</f>
        <v>-2.6974609840039823</v>
      </c>
      <c r="P17" s="20">
        <f t="shared" si="16"/>
        <v>2.4992639327024189</v>
      </c>
      <c r="Q17" s="20">
        <f t="shared" ref="Q17" si="17">Q15/Q16</f>
        <v>11.08248159831756</v>
      </c>
      <c r="R17" s="20">
        <f t="shared" ref="R17" si="18">R15/R16</f>
        <v>4.6819741745531012</v>
      </c>
      <c r="S17" s="20">
        <f t="shared" ref="S17" si="19">S15/S16</f>
        <v>4.7851723884752886</v>
      </c>
      <c r="T17" s="20">
        <f t="shared" ref="T17" si="20">T15/T16</f>
        <v>4.8903046400915242</v>
      </c>
      <c r="U17" s="20">
        <f t="shared" ref="U17" si="21">U15/U16</f>
        <v>4.9974047026676267</v>
      </c>
    </row>
    <row r="18" spans="1:21" x14ac:dyDescent="0.2">
      <c r="L18" s="20"/>
      <c r="M18" s="20"/>
      <c r="N18" s="20"/>
      <c r="O18" s="20"/>
      <c r="P18" s="20"/>
      <c r="Q18" s="20"/>
      <c r="R18" s="20"/>
      <c r="S18" s="20"/>
      <c r="T18" s="20"/>
      <c r="U18" s="20"/>
    </row>
    <row r="19" spans="1:21" s="24" customFormat="1" x14ac:dyDescent="0.2">
      <c r="A19" s="21"/>
      <c r="B19" s="24" t="s">
        <v>47</v>
      </c>
      <c r="O19" s="25">
        <f>O5/N5-1</f>
        <v>0.33258306538049309</v>
      </c>
      <c r="P19" s="25">
        <f>P5/O5-1</f>
        <v>0.52978364031207281</v>
      </c>
      <c r="Q19" s="25">
        <f>Q5/P5-1</f>
        <v>0.2092661331875203</v>
      </c>
      <c r="R19" s="25">
        <f>R5/Q5-1</f>
        <v>-0.39321878260869569</v>
      </c>
      <c r="S19" s="25">
        <f>S5/R5-1</f>
        <v>2.8346066714970419E-3</v>
      </c>
      <c r="T19" s="25">
        <f>T5/S5-1</f>
        <v>2.8548603320686095E-3</v>
      </c>
      <c r="U19" s="25">
        <f>U5/T5-1</f>
        <v>2.8752006391379314E-3</v>
      </c>
    </row>
    <row r="20" spans="1:21" x14ac:dyDescent="0.2">
      <c r="B20" s="21" t="s">
        <v>38</v>
      </c>
      <c r="C20" s="26">
        <f>C7/C5</f>
        <v>0</v>
      </c>
      <c r="D20" s="26" t="e">
        <f>D7/D5</f>
        <v>#DIV/0!</v>
      </c>
      <c r="E20" s="26" t="e">
        <f>E7/E5</f>
        <v>#DIV/0!</v>
      </c>
      <c r="F20" s="26" t="e">
        <f>F7/F5</f>
        <v>#DIV/0!</v>
      </c>
      <c r="G20" s="26">
        <f>G7/G5</f>
        <v>0</v>
      </c>
      <c r="H20" s="26">
        <f>H7/H5</f>
        <v>0</v>
      </c>
      <c r="I20" s="26">
        <f>I7/I5</f>
        <v>0</v>
      </c>
      <c r="J20" s="26">
        <f>J7/J5</f>
        <v>0</v>
      </c>
      <c r="L20" s="26" t="e">
        <f>L7/L5</f>
        <v>#DIV/0!</v>
      </c>
      <c r="M20" s="26" t="e">
        <f>M7/M5</f>
        <v>#DIV/0!</v>
      </c>
      <c r="N20" s="26">
        <f>N7/N5</f>
        <v>0.84996784565916395</v>
      </c>
      <c r="O20" s="26">
        <f>O7/O5</f>
        <v>0.87907986809297844</v>
      </c>
      <c r="P20" s="26">
        <f>P7/P5</f>
        <v>0.83222746821733151</v>
      </c>
      <c r="Q20" s="26">
        <v>0.85</v>
      </c>
      <c r="R20" s="26">
        <v>0.85</v>
      </c>
      <c r="S20" s="26">
        <v>0.85</v>
      </c>
      <c r="T20" s="26">
        <v>0.85</v>
      </c>
      <c r="U20" s="26">
        <v>0.85</v>
      </c>
    </row>
    <row r="21" spans="1:21" x14ac:dyDescent="0.2">
      <c r="B21" s="21" t="s">
        <v>51</v>
      </c>
      <c r="C21" s="26"/>
      <c r="D21" s="26"/>
      <c r="E21" s="26"/>
      <c r="F21" s="26"/>
      <c r="G21" s="26"/>
      <c r="H21" s="26"/>
      <c r="I21" s="26"/>
      <c r="J21" s="26"/>
      <c r="L21" s="26"/>
      <c r="M21" s="26"/>
      <c r="N21" s="26"/>
      <c r="O21" s="26">
        <f>O9/N9-1</f>
        <v>6.7567567567567544E-2</v>
      </c>
      <c r="P21" s="26">
        <f>P9/O9-1</f>
        <v>0.15770906827142572</v>
      </c>
      <c r="Q21" s="26">
        <f>Q9/P9-1</f>
        <v>0.10000000000000009</v>
      </c>
      <c r="R21" s="26">
        <f>R9/Q9-1</f>
        <v>0</v>
      </c>
      <c r="S21" s="26">
        <f>S9/R9-1</f>
        <v>0</v>
      </c>
      <c r="T21" s="26">
        <f>T9/S9-1</f>
        <v>0</v>
      </c>
      <c r="U21" s="26">
        <f>U9/T9-1</f>
        <v>0</v>
      </c>
    </row>
    <row r="23" spans="1:21" x14ac:dyDescent="0.2">
      <c r="B23" s="21" t="s">
        <v>48</v>
      </c>
      <c r="G23" s="21">
        <f>G24-G37</f>
        <v>-1194</v>
      </c>
      <c r="P23" s="21">
        <f>P24-P37</f>
        <v>217.70000000000005</v>
      </c>
      <c r="Q23" s="21">
        <f>Q24-Q37</f>
        <v>-799.88000000000011</v>
      </c>
      <c r="R23" s="21">
        <f>R24-R37</f>
        <v>-354.62425600000017</v>
      </c>
      <c r="S23" s="21">
        <f t="shared" ref="S23:U23" si="22">S24-S37</f>
        <v>100.44563814399976</v>
      </c>
      <c r="T23" s="21">
        <f t="shared" si="22"/>
        <v>565.51360941670373</v>
      </c>
      <c r="U23" s="21">
        <f t="shared" si="22"/>
        <v>1040.7667966403951</v>
      </c>
    </row>
    <row r="24" spans="1:21" x14ac:dyDescent="0.2">
      <c r="B24" s="21" t="s">
        <v>3</v>
      </c>
      <c r="G24" s="21">
        <v>523</v>
      </c>
      <c r="P24" s="21">
        <f>1103+251.8</f>
        <v>1354.8</v>
      </c>
      <c r="Q24" s="21">
        <v>523</v>
      </c>
      <c r="R24" s="21">
        <f>Q24+R15</f>
        <v>968.25574399999994</v>
      </c>
      <c r="S24" s="21">
        <f t="shared" ref="S24:U24" si="23">R24+S15</f>
        <v>1423.3256381439999</v>
      </c>
      <c r="T24" s="21">
        <f t="shared" si="23"/>
        <v>1888.3936094167038</v>
      </c>
      <c r="U24" s="21">
        <f t="shared" si="23"/>
        <v>2363.6467966403952</v>
      </c>
    </row>
    <row r="25" spans="1:21" x14ac:dyDescent="0.2">
      <c r="B25" s="21" t="s">
        <v>49</v>
      </c>
      <c r="P25" s="21">
        <v>602</v>
      </c>
    </row>
    <row r="26" spans="1:21" x14ac:dyDescent="0.2">
      <c r="B26" s="21" t="s">
        <v>57</v>
      </c>
      <c r="P26" s="21">
        <v>750</v>
      </c>
    </row>
    <row r="27" spans="1:21" x14ac:dyDescent="0.2">
      <c r="B27" s="21" t="s">
        <v>58</v>
      </c>
      <c r="P27" s="21">
        <v>276.3</v>
      </c>
    </row>
    <row r="28" spans="1:21" x14ac:dyDescent="0.2">
      <c r="B28" s="21" t="s">
        <v>59</v>
      </c>
      <c r="P28" s="21">
        <f>90.5</f>
        <v>90.5</v>
      </c>
    </row>
    <row r="29" spans="1:21" x14ac:dyDescent="0.2">
      <c r="B29" s="21" t="s">
        <v>60</v>
      </c>
      <c r="P29" s="21">
        <v>340.3</v>
      </c>
    </row>
    <row r="30" spans="1:21" x14ac:dyDescent="0.2">
      <c r="B30" s="21" t="s">
        <v>61</v>
      </c>
      <c r="P30" s="21">
        <v>148.30000000000001</v>
      </c>
    </row>
    <row r="31" spans="1:21" x14ac:dyDescent="0.2">
      <c r="B31" s="21" t="s">
        <v>62</v>
      </c>
      <c r="P31" s="21">
        <f>188+133+80</f>
        <v>401</v>
      </c>
    </row>
    <row r="32" spans="1:21" x14ac:dyDescent="0.2">
      <c r="B32" s="21" t="s">
        <v>70</v>
      </c>
      <c r="P32" s="21">
        <f>SUM(P24:P31)</f>
        <v>3963.2000000000007</v>
      </c>
    </row>
    <row r="34" spans="2:21" x14ac:dyDescent="0.2">
      <c r="B34" s="21" t="s">
        <v>50</v>
      </c>
      <c r="P34" s="21">
        <v>214.4</v>
      </c>
    </row>
    <row r="35" spans="2:21" x14ac:dyDescent="0.2">
      <c r="B35" s="21" t="s">
        <v>63</v>
      </c>
      <c r="P35" s="21">
        <v>373.5</v>
      </c>
    </row>
    <row r="36" spans="2:21" x14ac:dyDescent="0.2">
      <c r="B36" s="21" t="s">
        <v>64</v>
      </c>
      <c r="P36" s="21">
        <f>130+325</f>
        <v>455</v>
      </c>
    </row>
    <row r="37" spans="2:21" x14ac:dyDescent="0.2">
      <c r="B37" s="21" t="s">
        <v>4</v>
      </c>
      <c r="G37" s="21">
        <v>1717</v>
      </c>
      <c r="P37" s="21">
        <f>1137.1</f>
        <v>1137.0999999999999</v>
      </c>
      <c r="Q37" s="21">
        <f>Q69</f>
        <v>1322.88</v>
      </c>
      <c r="R37" s="21">
        <f>Q37</f>
        <v>1322.88</v>
      </c>
      <c r="S37" s="21">
        <f t="shared" ref="S37:U37" si="24">R37</f>
        <v>1322.88</v>
      </c>
      <c r="T37" s="21">
        <f t="shared" si="24"/>
        <v>1322.88</v>
      </c>
      <c r="U37" s="21">
        <f t="shared" si="24"/>
        <v>1322.88</v>
      </c>
    </row>
    <row r="38" spans="2:21" x14ac:dyDescent="0.2">
      <c r="B38" s="21" t="s">
        <v>65</v>
      </c>
      <c r="P38" s="21">
        <v>13.5</v>
      </c>
    </row>
    <row r="39" spans="2:21" x14ac:dyDescent="0.2">
      <c r="B39" s="21" t="s">
        <v>66</v>
      </c>
      <c r="P39" s="21">
        <v>192.5</v>
      </c>
    </row>
    <row r="40" spans="2:21" x14ac:dyDescent="0.2">
      <c r="B40" s="21" t="s">
        <v>67</v>
      </c>
      <c r="P40" s="21">
        <v>47.4</v>
      </c>
    </row>
    <row r="41" spans="2:21" x14ac:dyDescent="0.2">
      <c r="B41" s="21" t="s">
        <v>68</v>
      </c>
      <c r="P41" s="21">
        <v>1.8</v>
      </c>
    </row>
    <row r="42" spans="2:21" x14ac:dyDescent="0.2">
      <c r="B42" s="21" t="s">
        <v>69</v>
      </c>
      <c r="P42" s="21">
        <f>SUM(P34:P41)</f>
        <v>2435.2000000000003</v>
      </c>
    </row>
    <row r="44" spans="2:21" x14ac:dyDescent="0.2">
      <c r="B44" s="21" t="s">
        <v>71</v>
      </c>
      <c r="P44" s="21">
        <f>P32-P42</f>
        <v>1528.0000000000005</v>
      </c>
    </row>
    <row r="45" spans="2:21" x14ac:dyDescent="0.2">
      <c r="B45" s="21" t="s">
        <v>72</v>
      </c>
      <c r="P45" s="21">
        <f>P44+P42</f>
        <v>3963.2000000000007</v>
      </c>
    </row>
    <row r="47" spans="2:21" x14ac:dyDescent="0.2">
      <c r="B47" s="21" t="s">
        <v>157</v>
      </c>
      <c r="N47" s="21">
        <v>31</v>
      </c>
      <c r="O47" s="21">
        <v>76</v>
      </c>
      <c r="P47" s="21">
        <v>137</v>
      </c>
    </row>
    <row r="48" spans="2:21" x14ac:dyDescent="0.2">
      <c r="B48" s="21" t="s">
        <v>158</v>
      </c>
      <c r="P48" s="21">
        <f>-395-201-188-32+111</f>
        <v>-705</v>
      </c>
    </row>
    <row r="50" spans="2:26" x14ac:dyDescent="0.2">
      <c r="B50" s="35" t="s">
        <v>159</v>
      </c>
    </row>
    <row r="51" spans="2:26" x14ac:dyDescent="0.2">
      <c r="B51" s="21" t="s">
        <v>137</v>
      </c>
      <c r="Q51" s="21">
        <f>Main!K2</f>
        <v>22</v>
      </c>
      <c r="W51" s="35" t="s">
        <v>135</v>
      </c>
    </row>
    <row r="52" spans="2:26" x14ac:dyDescent="0.2">
      <c r="B52" s="21" t="s">
        <v>138</v>
      </c>
      <c r="Q52" s="21">
        <f>Main!K3</f>
        <v>98.277000000000001</v>
      </c>
      <c r="T52" s="24"/>
      <c r="U52" s="24"/>
      <c r="V52" s="24"/>
      <c r="W52" s="24"/>
      <c r="X52" s="24"/>
      <c r="Y52" s="24"/>
      <c r="Z52" s="24"/>
    </row>
    <row r="53" spans="2:26" x14ac:dyDescent="0.2">
      <c r="B53" s="21" t="s">
        <v>139</v>
      </c>
      <c r="Q53" s="26">
        <v>0.3</v>
      </c>
      <c r="X53" s="21" t="s">
        <v>130</v>
      </c>
    </row>
    <row r="54" spans="2:26" x14ac:dyDescent="0.2">
      <c r="B54" s="21" t="s">
        <v>140</v>
      </c>
      <c r="Q54" s="21">
        <f>Q51*(1+Q53)</f>
        <v>28.6</v>
      </c>
      <c r="U54" s="26">
        <f>Q82</f>
        <v>0.23624284281397223</v>
      </c>
      <c r="V54" s="21">
        <v>8</v>
      </c>
      <c r="W54" s="21">
        <v>10</v>
      </c>
      <c r="X54" s="21">
        <v>12</v>
      </c>
      <c r="Y54" s="21">
        <v>14</v>
      </c>
      <c r="Z54" s="21">
        <v>16</v>
      </c>
    </row>
    <row r="55" spans="2:26" x14ac:dyDescent="0.2">
      <c r="B55" s="21" t="s">
        <v>141</v>
      </c>
      <c r="Q55" s="21">
        <f>(Q54*Q52)+Main!K6-Main!K5</f>
        <v>4005.1822000000002</v>
      </c>
      <c r="U55" s="26">
        <v>0.1</v>
      </c>
      <c r="V55" s="26">
        <f t="dataTable" ref="V55:Z59" dt2D="1" dtr="1" r1="Q79" r2="Q53"/>
        <v>0.19401179423264137</v>
      </c>
      <c r="W55" s="26">
        <v>0.23925578318260321</v>
      </c>
      <c r="X55" s="26">
        <v>0.27871979262298674</v>
      </c>
      <c r="Y55" s="26">
        <v>0.313839157364455</v>
      </c>
      <c r="Z55" s="26">
        <v>0.3455612673401165</v>
      </c>
    </row>
    <row r="56" spans="2:26" x14ac:dyDescent="0.2">
      <c r="U56" s="26">
        <v>0.2</v>
      </c>
      <c r="V56" s="26">
        <v>0.17317664245706288</v>
      </c>
      <c r="W56" s="26">
        <v>0.21763113721504257</v>
      </c>
      <c r="X56" s="26">
        <v>0.25640651139207704</v>
      </c>
      <c r="Y56" s="26">
        <v>0.29091305363197129</v>
      </c>
      <c r="Z56" s="26">
        <v>0.32208162219440983</v>
      </c>
    </row>
    <row r="57" spans="2:26" x14ac:dyDescent="0.2">
      <c r="B57" s="36" t="s">
        <v>142</v>
      </c>
      <c r="T57" s="21" t="s">
        <v>134</v>
      </c>
      <c r="U57" s="26">
        <v>0.3</v>
      </c>
      <c r="V57" s="26">
        <v>0.15434870357932828</v>
      </c>
      <c r="W57" s="38">
        <v>0.19808976228696951</v>
      </c>
      <c r="X57" s="26">
        <v>0.23624284281397223</v>
      </c>
      <c r="Y57" s="26">
        <v>0.27019560053015312</v>
      </c>
      <c r="Z57" s="26">
        <v>0.30086395464698934</v>
      </c>
    </row>
    <row r="58" spans="2:26" x14ac:dyDescent="0.2">
      <c r="B58" s="21" t="s">
        <v>144</v>
      </c>
      <c r="Q58" s="21">
        <f>Q54*Q52</f>
        <v>2810.7222000000002</v>
      </c>
      <c r="U58" s="26">
        <v>0.4</v>
      </c>
      <c r="V58" s="26">
        <v>0.1371996902045689</v>
      </c>
      <c r="W58" s="26">
        <v>0.18029093140171493</v>
      </c>
      <c r="X58" s="26">
        <v>0.21787720946580769</v>
      </c>
      <c r="Y58" s="26">
        <v>0.25132556474762935</v>
      </c>
      <c r="Z58" s="26">
        <v>0.28153830955568337</v>
      </c>
    </row>
    <row r="59" spans="2:26" x14ac:dyDescent="0.2">
      <c r="B59" s="21" t="s">
        <v>145</v>
      </c>
      <c r="Q59" s="21">
        <f>Main!K6</f>
        <v>1717.16</v>
      </c>
      <c r="U59" s="26">
        <v>0.5</v>
      </c>
      <c r="V59" s="26">
        <v>0.12147403219170516</v>
      </c>
      <c r="W59" s="26">
        <v>0.1639693902486663</v>
      </c>
      <c r="X59" s="38">
        <v>0.20103591003292154</v>
      </c>
      <c r="Y59" s="26">
        <v>0.23402172790747411</v>
      </c>
      <c r="Z59" s="26">
        <v>0.26381667864068459</v>
      </c>
    </row>
    <row r="60" spans="2:26" x14ac:dyDescent="0.2">
      <c r="B60" s="21" t="s">
        <v>146</v>
      </c>
      <c r="Q60" s="21">
        <v>100</v>
      </c>
    </row>
    <row r="61" spans="2:26" x14ac:dyDescent="0.2">
      <c r="B61" s="34" t="s">
        <v>147</v>
      </c>
      <c r="Q61" s="34">
        <f>SUM(Q58:Q60)</f>
        <v>4627.8822</v>
      </c>
      <c r="R61" s="24"/>
      <c r="S61" s="24"/>
      <c r="V61" s="21" t="s">
        <v>162</v>
      </c>
    </row>
    <row r="62" spans="2:26" x14ac:dyDescent="0.2">
      <c r="T62" s="21" t="s">
        <v>160</v>
      </c>
    </row>
    <row r="63" spans="2:26" x14ac:dyDescent="0.2">
      <c r="B63" s="36" t="s">
        <v>143</v>
      </c>
    </row>
    <row r="64" spans="2:26" x14ac:dyDescent="0.2">
      <c r="B64" s="21" t="s">
        <v>148</v>
      </c>
      <c r="Q64" s="21">
        <f>6*P11</f>
        <v>1322.88</v>
      </c>
      <c r="R64" s="26">
        <f>Q64/$Q$66</f>
        <v>0.32224635486337244</v>
      </c>
    </row>
    <row r="65" spans="2:23" x14ac:dyDescent="0.2">
      <c r="B65" s="21" t="s">
        <v>149</v>
      </c>
      <c r="Q65" s="21">
        <f>Q61-Q64-Main!K5</f>
        <v>2782.3022000000001</v>
      </c>
      <c r="R65" s="26">
        <f>Q65/$Q$66</f>
        <v>0.6777536451366275</v>
      </c>
    </row>
    <row r="66" spans="2:23" x14ac:dyDescent="0.2">
      <c r="B66" s="21" t="s">
        <v>161</v>
      </c>
      <c r="Q66" s="21">
        <f>SUM(Q64:Q65)</f>
        <v>4105.1822000000002</v>
      </c>
    </row>
    <row r="67" spans="2:23" x14ac:dyDescent="0.2">
      <c r="B67" s="21" t="s">
        <v>129</v>
      </c>
      <c r="Q67" s="20">
        <f>Q66/P11</f>
        <v>18.619295174165458</v>
      </c>
      <c r="S67" s="20"/>
    </row>
    <row r="68" spans="2:23" x14ac:dyDescent="0.2">
      <c r="Q68" s="23"/>
      <c r="S68" s="23"/>
      <c r="T68" s="23"/>
      <c r="U68" s="23"/>
    </row>
    <row r="69" spans="2:23" x14ac:dyDescent="0.2">
      <c r="B69" s="21" t="s">
        <v>150</v>
      </c>
      <c r="Q69" s="21">
        <f>Q64</f>
        <v>1322.88</v>
      </c>
      <c r="R69" s="21">
        <f>Q37</f>
        <v>1322.88</v>
      </c>
      <c r="S69" s="21">
        <f>R37</f>
        <v>1322.88</v>
      </c>
      <c r="T69" s="21">
        <f>S37</f>
        <v>1322.88</v>
      </c>
      <c r="U69" s="21">
        <f>T37</f>
        <v>1322.88</v>
      </c>
    </row>
    <row r="70" spans="2:23" x14ac:dyDescent="0.2">
      <c r="B70" s="21" t="s">
        <v>151</v>
      </c>
      <c r="Q70" s="21">
        <f>1%*$Q$64</f>
        <v>13.228800000000001</v>
      </c>
      <c r="R70" s="21">
        <f t="shared" ref="R70:U70" si="25">1%*$Q$64</f>
        <v>13.228800000000001</v>
      </c>
      <c r="S70" s="21">
        <f t="shared" si="25"/>
        <v>13.228800000000001</v>
      </c>
      <c r="T70" s="21">
        <f t="shared" si="25"/>
        <v>13.228800000000001</v>
      </c>
      <c r="U70" s="21">
        <f t="shared" si="25"/>
        <v>13.228800000000001</v>
      </c>
    </row>
    <row r="71" spans="2:23" x14ac:dyDescent="0.2">
      <c r="B71" s="21" t="s">
        <v>152</v>
      </c>
      <c r="Q71" s="21">
        <f>MIN(Q69-Q70,Q75)</f>
        <v>1309.6512</v>
      </c>
      <c r="R71" s="21">
        <f t="shared" ref="R71:U71" si="26">MIN(R69-R70,R75)</f>
        <v>572.56727999999998</v>
      </c>
      <c r="S71" s="21">
        <f t="shared" si="26"/>
        <v>575.92985279999994</v>
      </c>
      <c r="T71" s="21">
        <f t="shared" si="26"/>
        <v>579.32605132799995</v>
      </c>
      <c r="U71" s="21">
        <f t="shared" si="26"/>
        <v>582.75621184127999</v>
      </c>
    </row>
    <row r="72" spans="2:23" x14ac:dyDescent="0.2">
      <c r="B72" s="21" t="s">
        <v>153</v>
      </c>
      <c r="Q72" s="21">
        <f>Q69-Q70-Q71</f>
        <v>0</v>
      </c>
      <c r="R72" s="21">
        <f t="shared" ref="R72:U72" si="27">R69-R70-R71</f>
        <v>737.08392000000003</v>
      </c>
      <c r="S72" s="21">
        <f t="shared" si="27"/>
        <v>733.72134720000008</v>
      </c>
      <c r="T72" s="21">
        <f t="shared" si="27"/>
        <v>730.32514867200007</v>
      </c>
      <c r="U72" s="21">
        <f t="shared" si="27"/>
        <v>726.89498815872003</v>
      </c>
    </row>
    <row r="73" spans="2:23" x14ac:dyDescent="0.2">
      <c r="B73" s="21" t="s">
        <v>128</v>
      </c>
      <c r="Q73" s="21">
        <f>AVERAGE(Q69,Q72)*8%</f>
        <v>52.915200000000006</v>
      </c>
      <c r="R73" s="21">
        <f t="shared" ref="R73:U73" si="28">AVERAGE(R69,R72)*8%</f>
        <v>82.398556800000009</v>
      </c>
      <c r="S73" s="21">
        <f t="shared" si="28"/>
        <v>82.264053888000021</v>
      </c>
      <c r="T73" s="21">
        <f t="shared" si="28"/>
        <v>82.128205946880016</v>
      </c>
      <c r="U73" s="21">
        <f t="shared" si="28"/>
        <v>81.990999526348801</v>
      </c>
      <c r="V73" s="34"/>
      <c r="W73" s="26"/>
    </row>
    <row r="74" spans="2:23" x14ac:dyDescent="0.2">
      <c r="U74" s="24"/>
      <c r="V74" s="24"/>
      <c r="W74" s="24"/>
    </row>
    <row r="75" spans="2:23" x14ac:dyDescent="0.2">
      <c r="B75" s="21" t="s">
        <v>131</v>
      </c>
      <c r="Q75" s="21">
        <f>Q11</f>
        <v>1341.31</v>
      </c>
      <c r="R75" s="21">
        <f>R11</f>
        <v>572.56727999999998</v>
      </c>
      <c r="S75" s="21">
        <f t="shared" ref="S75:U75" si="29">S11</f>
        <v>575.92985279999994</v>
      </c>
      <c r="T75" s="21">
        <f t="shared" si="29"/>
        <v>579.32605132799995</v>
      </c>
      <c r="U75" s="21">
        <f t="shared" si="29"/>
        <v>582.75621184127999</v>
      </c>
    </row>
    <row r="76" spans="2:23" x14ac:dyDescent="0.2">
      <c r="B76" s="21" t="s">
        <v>154</v>
      </c>
      <c r="Q76" s="21">
        <f>Q75-Q73-Q14-Q47-Q48</f>
        <v>1024.9088000000002</v>
      </c>
      <c r="R76" s="21">
        <f>R75-R73-R14-R47-R48</f>
        <v>378.85478719999998</v>
      </c>
      <c r="S76" s="21">
        <f>S75-S73-S14-S47-S48</f>
        <v>379.89832537599989</v>
      </c>
      <c r="T76" s="21">
        <f>T75-T73-T14-T47-T48</f>
        <v>380.93085256294393</v>
      </c>
      <c r="U76" s="21">
        <f>U75-U73-U14-U47-U48</f>
        <v>381.95191550900836</v>
      </c>
    </row>
    <row r="78" spans="2:23" x14ac:dyDescent="0.2">
      <c r="B78" s="21" t="s">
        <v>155</v>
      </c>
      <c r="Q78" s="21">
        <f>U11</f>
        <v>582.75621184127999</v>
      </c>
    </row>
    <row r="79" spans="2:23" x14ac:dyDescent="0.2">
      <c r="B79" s="21" t="s">
        <v>130</v>
      </c>
      <c r="Q79" s="37">
        <v>12</v>
      </c>
      <c r="V79" s="20"/>
    </row>
    <row r="80" spans="2:23" x14ac:dyDescent="0.2">
      <c r="B80" s="21" t="s">
        <v>156</v>
      </c>
      <c r="Q80" s="21">
        <f>Q78*Q79+U23</f>
        <v>8033.841338735755</v>
      </c>
    </row>
    <row r="81" spans="2:17" x14ac:dyDescent="0.2">
      <c r="B81" s="21" t="s">
        <v>133</v>
      </c>
      <c r="Q81" s="20">
        <f>Q80/Q65</f>
        <v>2.8874797779823322</v>
      </c>
    </row>
    <row r="82" spans="2:17" x14ac:dyDescent="0.2">
      <c r="B82" s="21" t="s">
        <v>132</v>
      </c>
      <c r="Q82" s="26">
        <f>POWER(Q81,1/5)-1</f>
        <v>0.23624284281397223</v>
      </c>
    </row>
  </sheetData>
  <conditionalFormatting sqref="V55:Z5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hyperlinks>
    <hyperlink ref="A1" location="Main!A1" display="Main" xr:uid="{E7D2AB81-0BD9-40CF-9991-10683543A777}"/>
  </hyperlinks>
  <pageMargins left="0.7" right="0.7" top="0.75" bottom="0.75" header="0.3" footer="0.3"/>
  <pageSetup orientation="portrait" horizontalDpi="300" verticalDpi="30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A2F66-F77F-4FF1-81E8-6D4E8B2BBB7B}">
  <dimension ref="A1:E2"/>
  <sheetViews>
    <sheetView zoomScale="115" zoomScaleNormal="11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E2" sqref="E2"/>
    </sheetView>
  </sheetViews>
  <sheetFormatPr defaultRowHeight="12.75" x14ac:dyDescent="0.2"/>
  <cols>
    <col min="1" max="1" width="5" bestFit="1" customWidth="1"/>
  </cols>
  <sheetData>
    <row r="1" spans="1:5" x14ac:dyDescent="0.2">
      <c r="A1" s="27" t="s">
        <v>13</v>
      </c>
    </row>
    <row r="2" spans="1:5" x14ac:dyDescent="0.2">
      <c r="B2" t="s">
        <v>90</v>
      </c>
      <c r="C2" t="s">
        <v>86</v>
      </c>
      <c r="D2" t="s">
        <v>88</v>
      </c>
      <c r="E2" t="s">
        <v>91</v>
      </c>
    </row>
  </sheetData>
  <hyperlinks>
    <hyperlink ref="A1" location="Main!A1" display="Main" xr:uid="{411B41BB-FE21-41A9-8138-142297573DC4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30355-589F-41A0-8BDC-82712836F060}">
  <dimension ref="A1:E3"/>
  <sheetViews>
    <sheetView zoomScale="115" zoomScaleNormal="115" workbookViewId="0">
      <pane ySplit="2" topLeftCell="A3" activePane="bottomLeft" state="frozen"/>
      <selection pane="bottomLeft" activeCell="D26" sqref="D26"/>
    </sheetView>
  </sheetViews>
  <sheetFormatPr defaultRowHeight="12.75" x14ac:dyDescent="0.2"/>
  <cols>
    <col min="1" max="1" width="5" bestFit="1" customWidth="1"/>
    <col min="3" max="3" width="9.85546875" style="13" bestFit="1" customWidth="1"/>
  </cols>
  <sheetData>
    <row r="1" spans="1:5" x14ac:dyDescent="0.2">
      <c r="A1" s="27" t="s">
        <v>13</v>
      </c>
      <c r="C1"/>
    </row>
    <row r="2" spans="1:5" x14ac:dyDescent="0.2">
      <c r="B2" s="13" t="s">
        <v>85</v>
      </c>
      <c r="C2" s="13" t="s">
        <v>86</v>
      </c>
      <c r="D2" s="13" t="s">
        <v>87</v>
      </c>
      <c r="E2" s="13" t="s">
        <v>88</v>
      </c>
    </row>
    <row r="3" spans="1:5" x14ac:dyDescent="0.2">
      <c r="E3" t="s">
        <v>89</v>
      </c>
    </row>
  </sheetData>
  <hyperlinks>
    <hyperlink ref="A1" location="Main!A1" display="Main" xr:uid="{E2015FD0-0F64-414E-A25D-956753729386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6E37D-39D8-4DCA-A95F-E6EADC0FC071}">
  <dimension ref="A1:P35"/>
  <sheetViews>
    <sheetView topLeftCell="A13" zoomScale="130" zoomScaleNormal="130" workbookViewId="0">
      <selection activeCell="A30" sqref="A30"/>
    </sheetView>
  </sheetViews>
  <sheetFormatPr defaultRowHeight="12.75" x14ac:dyDescent="0.2"/>
  <cols>
    <col min="1" max="1" width="5" bestFit="1" customWidth="1"/>
    <col min="2" max="2" width="14.42578125" bestFit="1" customWidth="1"/>
    <col min="3" max="3" width="9.85546875" customWidth="1"/>
  </cols>
  <sheetData>
    <row r="1" spans="1:3" x14ac:dyDescent="0.2">
      <c r="A1" s="27" t="s">
        <v>13</v>
      </c>
    </row>
    <row r="2" spans="1:3" x14ac:dyDescent="0.2">
      <c r="B2" t="s">
        <v>74</v>
      </c>
      <c r="C2" t="s">
        <v>83</v>
      </c>
    </row>
    <row r="3" spans="1:3" x14ac:dyDescent="0.2">
      <c r="B3" t="s">
        <v>75</v>
      </c>
      <c r="C3" t="s">
        <v>84</v>
      </c>
    </row>
    <row r="4" spans="1:3" x14ac:dyDescent="0.2">
      <c r="B4" t="s">
        <v>7</v>
      </c>
      <c r="C4" t="s">
        <v>73</v>
      </c>
    </row>
    <row r="5" spans="1:3" x14ac:dyDescent="0.2">
      <c r="B5" t="s">
        <v>10</v>
      </c>
      <c r="C5" t="s">
        <v>109</v>
      </c>
    </row>
    <row r="6" spans="1:3" x14ac:dyDescent="0.2">
      <c r="B6" t="s">
        <v>77</v>
      </c>
    </row>
    <row r="7" spans="1:3" x14ac:dyDescent="0.2">
      <c r="B7" t="s">
        <v>78</v>
      </c>
    </row>
    <row r="8" spans="1:3" x14ac:dyDescent="0.2">
      <c r="B8" t="s">
        <v>11</v>
      </c>
      <c r="C8" t="s">
        <v>124</v>
      </c>
    </row>
    <row r="9" spans="1:3" x14ac:dyDescent="0.2">
      <c r="C9" t="s">
        <v>123</v>
      </c>
    </row>
    <row r="10" spans="1:3" x14ac:dyDescent="0.2">
      <c r="C10" t="s">
        <v>125</v>
      </c>
    </row>
    <row r="11" spans="1:3" x14ac:dyDescent="0.2">
      <c r="B11" t="s">
        <v>76</v>
      </c>
    </row>
    <row r="12" spans="1:3" x14ac:dyDescent="0.2">
      <c r="C12" s="28" t="s">
        <v>79</v>
      </c>
    </row>
    <row r="15" spans="1:3" x14ac:dyDescent="0.2">
      <c r="C15" s="28" t="s">
        <v>80</v>
      </c>
    </row>
    <row r="18" spans="2:16" x14ac:dyDescent="0.2">
      <c r="C18" s="28" t="s">
        <v>93</v>
      </c>
    </row>
    <row r="21" spans="2:16" x14ac:dyDescent="0.2">
      <c r="C21" s="28" t="s">
        <v>92</v>
      </c>
    </row>
    <row r="24" spans="2:16" x14ac:dyDescent="0.2">
      <c r="C24" s="28" t="s">
        <v>111</v>
      </c>
    </row>
    <row r="25" spans="2:16" x14ac:dyDescent="0.2">
      <c r="C25">
        <v>2025</v>
      </c>
      <c r="D25">
        <f>C25+1</f>
        <v>2026</v>
      </c>
      <c r="E25">
        <f t="shared" ref="E25:L25" si="0">D25+1</f>
        <v>2027</v>
      </c>
      <c r="F25">
        <f t="shared" si="0"/>
        <v>2028</v>
      </c>
      <c r="G25">
        <f t="shared" si="0"/>
        <v>2029</v>
      </c>
      <c r="H25">
        <f t="shared" si="0"/>
        <v>2030</v>
      </c>
      <c r="I25">
        <f t="shared" si="0"/>
        <v>2031</v>
      </c>
      <c r="J25">
        <f t="shared" si="0"/>
        <v>2032</v>
      </c>
      <c r="K25">
        <f t="shared" si="0"/>
        <v>2033</v>
      </c>
      <c r="L25">
        <f t="shared" si="0"/>
        <v>2034</v>
      </c>
      <c r="M25">
        <f t="shared" ref="M25" si="1">L25+1</f>
        <v>2035</v>
      </c>
      <c r="N25">
        <f t="shared" ref="N25" si="2">M25+1</f>
        <v>2036</v>
      </c>
      <c r="O25">
        <f t="shared" ref="O25" si="3">N25+1</f>
        <v>2037</v>
      </c>
    </row>
    <row r="26" spans="2:16" x14ac:dyDescent="0.2">
      <c r="B26" t="s">
        <v>81</v>
      </c>
      <c r="C26" s="21">
        <f>15000*0.8</f>
        <v>12000</v>
      </c>
      <c r="D26" s="21">
        <f>C26*1.01</f>
        <v>12120</v>
      </c>
      <c r="E26" s="21">
        <f t="shared" ref="E26:L26" si="4">D26*1.01</f>
        <v>12241.2</v>
      </c>
      <c r="F26" s="21">
        <f t="shared" si="4"/>
        <v>12363.612000000001</v>
      </c>
      <c r="G26" s="21">
        <f t="shared" si="4"/>
        <v>12487.248120000002</v>
      </c>
      <c r="H26" s="21">
        <f t="shared" si="4"/>
        <v>12612.120601200002</v>
      </c>
      <c r="I26" s="21">
        <f t="shared" si="4"/>
        <v>12738.241807212002</v>
      </c>
      <c r="J26" s="21">
        <f t="shared" si="4"/>
        <v>12865.624225284122</v>
      </c>
      <c r="K26" s="21">
        <f t="shared" si="4"/>
        <v>12994.280467536963</v>
      </c>
      <c r="L26" s="21">
        <f t="shared" si="4"/>
        <v>13124.223272212332</v>
      </c>
      <c r="M26" s="21">
        <f t="shared" ref="M26" si="5">L26*1.01</f>
        <v>13255.465504934455</v>
      </c>
      <c r="N26" s="21">
        <f t="shared" ref="N26" si="6">M26*1.01</f>
        <v>13388.0201599838</v>
      </c>
      <c r="O26" s="21">
        <f t="shared" ref="O26" si="7">N26*1.01</f>
        <v>13521.900361583639</v>
      </c>
      <c r="P26" s="21"/>
    </row>
    <row r="27" spans="2:16" x14ac:dyDescent="0.2">
      <c r="B27" t="s">
        <v>82</v>
      </c>
      <c r="C27" s="21">
        <v>0</v>
      </c>
      <c r="D27" s="21">
        <f t="shared" ref="D27:L27" si="8">D26*0.02</f>
        <v>242.4</v>
      </c>
      <c r="E27" s="21">
        <f t="shared" si="8"/>
        <v>244.82400000000001</v>
      </c>
      <c r="F27" s="21">
        <f t="shared" si="8"/>
        <v>247.27224000000004</v>
      </c>
      <c r="G27" s="21">
        <f t="shared" si="8"/>
        <v>249.74496240000005</v>
      </c>
      <c r="H27" s="21">
        <f t="shared" si="8"/>
        <v>252.24241202400006</v>
      </c>
      <c r="I27" s="21">
        <f t="shared" si="8"/>
        <v>254.76483614424004</v>
      </c>
      <c r="J27" s="21">
        <f t="shared" si="8"/>
        <v>257.31248450568245</v>
      </c>
      <c r="K27" s="21">
        <f t="shared" si="8"/>
        <v>259.88560935073923</v>
      </c>
      <c r="L27" s="21">
        <f t="shared" si="8"/>
        <v>262.48446544424667</v>
      </c>
      <c r="M27" s="21">
        <f t="shared" ref="M27:O27" si="9">M26*0.02</f>
        <v>265.10931009868909</v>
      </c>
      <c r="N27" s="21">
        <f t="shared" si="9"/>
        <v>267.76040319967603</v>
      </c>
      <c r="O27" s="21">
        <f t="shared" si="9"/>
        <v>270.43800723167277</v>
      </c>
      <c r="P27" s="21"/>
    </row>
    <row r="28" spans="2:16" x14ac:dyDescent="0.2">
      <c r="B28" t="s">
        <v>0</v>
      </c>
      <c r="C28" s="21">
        <v>3200000</v>
      </c>
      <c r="D28" s="21">
        <v>3200000</v>
      </c>
      <c r="E28" s="21">
        <v>3200000</v>
      </c>
      <c r="F28" s="21">
        <v>3200000</v>
      </c>
      <c r="G28" s="21">
        <v>3200000</v>
      </c>
      <c r="H28" s="21">
        <v>3200000</v>
      </c>
      <c r="I28" s="21">
        <v>3200000</v>
      </c>
      <c r="J28" s="21">
        <v>3200000</v>
      </c>
      <c r="K28" s="21">
        <v>3200000</v>
      </c>
      <c r="L28" s="21">
        <v>3200000</v>
      </c>
      <c r="M28" s="21">
        <v>3200000</v>
      </c>
      <c r="N28" s="21">
        <v>3200000</v>
      </c>
      <c r="O28" s="21">
        <v>3200000</v>
      </c>
      <c r="P28" s="21"/>
    </row>
    <row r="29" spans="2:16" x14ac:dyDescent="0.2">
      <c r="B29" t="s">
        <v>28</v>
      </c>
      <c r="C29" s="21">
        <f>C28*C27/1000000*0.85</f>
        <v>0</v>
      </c>
      <c r="D29" s="21">
        <f t="shared" ref="D29:L29" si="10">D28*D27/1000000*0.85</f>
        <v>659.32799999999997</v>
      </c>
      <c r="E29" s="21">
        <f t="shared" si="10"/>
        <v>665.92127999999991</v>
      </c>
      <c r="F29" s="21">
        <f t="shared" si="10"/>
        <v>672.58049280000012</v>
      </c>
      <c r="G29" s="21">
        <f t="shared" si="10"/>
        <v>679.30629772800012</v>
      </c>
      <c r="H29" s="21">
        <f t="shared" si="10"/>
        <v>686.09936070528011</v>
      </c>
      <c r="I29" s="21">
        <f t="shared" si="10"/>
        <v>692.96035431233292</v>
      </c>
      <c r="J29" s="21">
        <f t="shared" si="10"/>
        <v>699.88995785545626</v>
      </c>
      <c r="K29" s="21">
        <f t="shared" si="10"/>
        <v>706.88885743401067</v>
      </c>
      <c r="L29" s="21">
        <f t="shared" si="10"/>
        <v>713.95774600835091</v>
      </c>
      <c r="M29" s="21">
        <f t="shared" ref="M29:O29" si="11">M28*M27/1000000*0.85</f>
        <v>721.0973234684343</v>
      </c>
      <c r="N29" s="21">
        <f t="shared" si="11"/>
        <v>728.30829670311891</v>
      </c>
      <c r="O29" s="21">
        <f t="shared" si="11"/>
        <v>735.59137967014988</v>
      </c>
      <c r="P29" s="21"/>
    </row>
    <row r="30" spans="2:16" x14ac:dyDescent="0.2">
      <c r="B30" t="s">
        <v>136</v>
      </c>
      <c r="D30" s="21">
        <f>D29*0.6</f>
        <v>395.59679999999997</v>
      </c>
      <c r="E30" s="21">
        <f t="shared" ref="E30:O30" si="12">E29*0.6</f>
        <v>399.55276799999996</v>
      </c>
      <c r="F30" s="21">
        <f t="shared" si="12"/>
        <v>403.54829568000008</v>
      </c>
      <c r="G30" s="21">
        <f t="shared" si="12"/>
        <v>407.58377863680005</v>
      </c>
      <c r="H30" s="21">
        <f t="shared" si="12"/>
        <v>411.65961642316807</v>
      </c>
      <c r="I30" s="21">
        <f t="shared" si="12"/>
        <v>415.77621258739975</v>
      </c>
      <c r="J30" s="21">
        <f t="shared" si="12"/>
        <v>419.93397471327376</v>
      </c>
      <c r="K30" s="21">
        <f t="shared" si="12"/>
        <v>424.13331446040638</v>
      </c>
      <c r="L30" s="21">
        <f t="shared" si="12"/>
        <v>428.37464760501052</v>
      </c>
      <c r="M30" s="21">
        <f t="shared" si="12"/>
        <v>432.65839408106058</v>
      </c>
      <c r="N30" s="21">
        <f t="shared" si="12"/>
        <v>436.98497802187131</v>
      </c>
      <c r="O30" s="21">
        <f t="shared" si="12"/>
        <v>441.35482780208991</v>
      </c>
    </row>
    <row r="32" spans="2:16" x14ac:dyDescent="0.2">
      <c r="B32" t="s">
        <v>54</v>
      </c>
      <c r="C32" s="26">
        <v>0.15</v>
      </c>
      <c r="D32" s="20"/>
      <c r="E32" s="20"/>
      <c r="F32" s="20"/>
      <c r="G32" s="20"/>
    </row>
    <row r="33" spans="2:3" x14ac:dyDescent="0.2">
      <c r="B33" t="s">
        <v>55</v>
      </c>
      <c r="C33" s="29">
        <f>NPV(C32,C29:XFD29)*0.2+1700</f>
        <v>2346.5414144586516</v>
      </c>
    </row>
    <row r="34" spans="2:3" x14ac:dyDescent="0.2">
      <c r="C34" t="s">
        <v>112</v>
      </c>
    </row>
    <row r="35" spans="2:3" x14ac:dyDescent="0.2">
      <c r="C35" t="s">
        <v>113</v>
      </c>
    </row>
  </sheetData>
  <hyperlinks>
    <hyperlink ref="A1" location="Main!A1" display="Main" xr:uid="{F4D7F899-E715-4F27-9DC1-97C1D482042E}"/>
  </hyperlinks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812AF-8CB0-4381-BE7D-253674B7F7B2}">
  <dimension ref="A1:C9"/>
  <sheetViews>
    <sheetView zoomScale="130" zoomScaleNormal="130" workbookViewId="0">
      <selection activeCell="E32" sqref="E32"/>
    </sheetView>
  </sheetViews>
  <sheetFormatPr defaultRowHeight="12.75" x14ac:dyDescent="0.2"/>
  <cols>
    <col min="1" max="1" width="5" bestFit="1" customWidth="1"/>
    <col min="2" max="2" width="12" bestFit="1" customWidth="1"/>
  </cols>
  <sheetData>
    <row r="1" spans="1:3" x14ac:dyDescent="0.2">
      <c r="A1" s="27" t="s">
        <v>13</v>
      </c>
    </row>
    <row r="2" spans="1:3" x14ac:dyDescent="0.2">
      <c r="B2" t="s">
        <v>74</v>
      </c>
    </row>
    <row r="3" spans="1:3" x14ac:dyDescent="0.2">
      <c r="B3" t="s">
        <v>75</v>
      </c>
    </row>
    <row r="4" spans="1:3" x14ac:dyDescent="0.2">
      <c r="B4" t="s">
        <v>7</v>
      </c>
      <c r="C4" t="s">
        <v>105</v>
      </c>
    </row>
    <row r="5" spans="1:3" x14ac:dyDescent="0.2">
      <c r="B5" t="s">
        <v>10</v>
      </c>
    </row>
    <row r="6" spans="1:3" x14ac:dyDescent="0.2">
      <c r="B6" t="s">
        <v>77</v>
      </c>
    </row>
    <row r="7" spans="1:3" x14ac:dyDescent="0.2">
      <c r="B7" t="s">
        <v>78</v>
      </c>
    </row>
    <row r="8" spans="1:3" x14ac:dyDescent="0.2">
      <c r="B8" t="s">
        <v>76</v>
      </c>
    </row>
    <row r="9" spans="1:3" x14ac:dyDescent="0.2">
      <c r="C9" t="s">
        <v>106</v>
      </c>
    </row>
  </sheetData>
  <hyperlinks>
    <hyperlink ref="A1" location="Main!A1" display="Main" xr:uid="{1F820F37-225C-40DA-963F-E4D8CD606926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602C2-867C-44AB-9B8C-1BF074121D29}">
  <dimension ref="A1:C10"/>
  <sheetViews>
    <sheetView zoomScale="130" zoomScaleNormal="130" workbookViewId="0">
      <selection activeCell="C11" sqref="C11"/>
    </sheetView>
  </sheetViews>
  <sheetFormatPr defaultRowHeight="12.75" x14ac:dyDescent="0.2"/>
  <cols>
    <col min="1" max="1" width="5" bestFit="1" customWidth="1"/>
    <col min="2" max="2" width="12" bestFit="1" customWidth="1"/>
  </cols>
  <sheetData>
    <row r="1" spans="1:3" x14ac:dyDescent="0.2">
      <c r="A1" s="27" t="s">
        <v>13</v>
      </c>
    </row>
    <row r="2" spans="1:3" x14ac:dyDescent="0.2">
      <c r="B2" t="s">
        <v>74</v>
      </c>
    </row>
    <row r="3" spans="1:3" x14ac:dyDescent="0.2">
      <c r="B3" t="s">
        <v>75</v>
      </c>
    </row>
    <row r="4" spans="1:3" x14ac:dyDescent="0.2">
      <c r="B4" t="s">
        <v>7</v>
      </c>
      <c r="C4" t="s">
        <v>103</v>
      </c>
    </row>
    <row r="5" spans="1:3" x14ac:dyDescent="0.2">
      <c r="B5" t="s">
        <v>10</v>
      </c>
    </row>
    <row r="6" spans="1:3" x14ac:dyDescent="0.2">
      <c r="B6" t="s">
        <v>77</v>
      </c>
    </row>
    <row r="7" spans="1:3" x14ac:dyDescent="0.2">
      <c r="B7" t="s">
        <v>78</v>
      </c>
      <c r="C7" t="s">
        <v>101</v>
      </c>
    </row>
    <row r="8" spans="1:3" x14ac:dyDescent="0.2">
      <c r="B8" t="s">
        <v>76</v>
      </c>
    </row>
    <row r="9" spans="1:3" x14ac:dyDescent="0.2">
      <c r="C9" t="s">
        <v>104</v>
      </c>
    </row>
    <row r="10" spans="1:3" x14ac:dyDescent="0.2">
      <c r="C10" t="s">
        <v>108</v>
      </c>
    </row>
  </sheetData>
  <hyperlinks>
    <hyperlink ref="A1" location="Main!A1" display="Main" xr:uid="{536D2D40-8F15-4BE5-83F8-589C59FF31E4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2C050-9F2A-4A08-A168-79D717BC14CA}">
  <dimension ref="A1:C9"/>
  <sheetViews>
    <sheetView zoomScale="130" zoomScaleNormal="130" workbookViewId="0">
      <selection activeCell="E26" sqref="E26"/>
    </sheetView>
  </sheetViews>
  <sheetFormatPr defaultRowHeight="12.75" x14ac:dyDescent="0.2"/>
  <cols>
    <col min="1" max="1" width="5" bestFit="1" customWidth="1"/>
    <col min="2" max="2" width="12" bestFit="1" customWidth="1"/>
  </cols>
  <sheetData>
    <row r="1" spans="1:3" x14ac:dyDescent="0.2">
      <c r="A1" s="27" t="s">
        <v>13</v>
      </c>
    </row>
    <row r="2" spans="1:3" x14ac:dyDescent="0.2">
      <c r="B2" t="s">
        <v>74</v>
      </c>
    </row>
    <row r="3" spans="1:3" x14ac:dyDescent="0.2">
      <c r="B3" t="s">
        <v>75</v>
      </c>
    </row>
    <row r="4" spans="1:3" x14ac:dyDescent="0.2">
      <c r="B4" t="s">
        <v>7</v>
      </c>
    </row>
    <row r="5" spans="1:3" x14ac:dyDescent="0.2">
      <c r="B5" t="s">
        <v>10</v>
      </c>
    </row>
    <row r="6" spans="1:3" x14ac:dyDescent="0.2">
      <c r="B6" t="s">
        <v>77</v>
      </c>
    </row>
    <row r="7" spans="1:3" x14ac:dyDescent="0.2">
      <c r="B7" t="s">
        <v>78</v>
      </c>
      <c r="C7" t="s">
        <v>102</v>
      </c>
    </row>
    <row r="8" spans="1:3" x14ac:dyDescent="0.2">
      <c r="B8" t="s">
        <v>76</v>
      </c>
    </row>
    <row r="9" spans="1:3" x14ac:dyDescent="0.2">
      <c r="C9" t="s">
        <v>107</v>
      </c>
    </row>
  </sheetData>
  <hyperlinks>
    <hyperlink ref="A1" location="Main!A1" display="Main" xr:uid="{7DE3D7C5-89AC-474D-9197-196E070A0225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0F2A4-9ADA-433D-BCB4-1FF4E813C47E}">
  <dimension ref="A1:C11"/>
  <sheetViews>
    <sheetView zoomScale="130" zoomScaleNormal="130" workbookViewId="0">
      <selection activeCell="E27" sqref="E27"/>
    </sheetView>
  </sheetViews>
  <sheetFormatPr defaultRowHeight="12.75" x14ac:dyDescent="0.2"/>
  <cols>
    <col min="1" max="1" width="5" bestFit="1" customWidth="1"/>
    <col min="2" max="2" width="12" bestFit="1" customWidth="1"/>
  </cols>
  <sheetData>
    <row r="1" spans="1:3" x14ac:dyDescent="0.2">
      <c r="A1" s="27" t="s">
        <v>13</v>
      </c>
    </row>
    <row r="2" spans="1:3" x14ac:dyDescent="0.2">
      <c r="B2" t="s">
        <v>74</v>
      </c>
      <c r="C2" t="s">
        <v>121</v>
      </c>
    </row>
    <row r="3" spans="1:3" x14ac:dyDescent="0.2">
      <c r="B3" t="s">
        <v>75</v>
      </c>
      <c r="C3" t="s">
        <v>122</v>
      </c>
    </row>
    <row r="4" spans="1:3" x14ac:dyDescent="0.2">
      <c r="B4" t="s">
        <v>7</v>
      </c>
      <c r="C4" t="s">
        <v>116</v>
      </c>
    </row>
    <row r="5" spans="1:3" x14ac:dyDescent="0.2">
      <c r="B5" t="s">
        <v>10</v>
      </c>
    </row>
    <row r="6" spans="1:3" x14ac:dyDescent="0.2">
      <c r="B6" t="s">
        <v>77</v>
      </c>
    </row>
    <row r="7" spans="1:3" x14ac:dyDescent="0.2">
      <c r="B7" t="s">
        <v>78</v>
      </c>
    </row>
    <row r="8" spans="1:3" x14ac:dyDescent="0.2">
      <c r="B8" t="s">
        <v>76</v>
      </c>
    </row>
    <row r="9" spans="1:3" x14ac:dyDescent="0.2">
      <c r="C9" s="28" t="s">
        <v>119</v>
      </c>
    </row>
    <row r="11" spans="1:3" x14ac:dyDescent="0.2">
      <c r="C11" s="28" t="s">
        <v>120</v>
      </c>
    </row>
  </sheetData>
  <hyperlinks>
    <hyperlink ref="A1" location="Main!A1" display="Main" xr:uid="{B86D2320-D43C-4DF7-A258-66ED9E14EB8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Main</vt:lpstr>
      <vt:lpstr>Model</vt:lpstr>
      <vt:lpstr>IP</vt:lpstr>
      <vt:lpstr>Literature</vt:lpstr>
      <vt:lpstr>elevidys</vt:lpstr>
      <vt:lpstr>exondys</vt:lpstr>
      <vt:lpstr>vyondys</vt:lpstr>
      <vt:lpstr>amondys</vt:lpstr>
      <vt:lpstr>SRP-9003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Liam R</dc:creator>
  <cp:lastModifiedBy>Liam R</cp:lastModifiedBy>
  <dcterms:created xsi:type="dcterms:W3CDTF">2025-07-20T23:50:07Z</dcterms:created>
  <dcterms:modified xsi:type="dcterms:W3CDTF">2026-01-26T12:41:56Z</dcterms:modified>
</cp:coreProperties>
</file>